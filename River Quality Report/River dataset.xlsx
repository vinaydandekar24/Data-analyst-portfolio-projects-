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hp\Desktop\Data-analyst-portfolio-projects-\River Quality Report\"/>
    </mc:Choice>
  </mc:AlternateContent>
  <xr:revisionPtr revIDLastSave="0" documentId="13_ncr:1_{C5652E06-F95B-4648-B21E-6BEC31290C35}" xr6:coauthVersionLast="47" xr6:coauthVersionMax="47" xr10:uidLastSave="{00000000-0000-0000-0000-000000000000}"/>
  <bookViews>
    <workbookView xWindow="-108" yWindow="-108" windowWidth="23256" windowHeight="12456" activeTab="2" xr2:uid="{EEC3A8D1-2D38-4283-9809-E3478FA768AD}"/>
  </bookViews>
  <sheets>
    <sheet name="River_quality_data " sheetId="2" r:id="rId1"/>
    <sheet name="Calculations " sheetId="54" r:id="rId2"/>
    <sheet name="Dashboard of the rivers dataset" sheetId="55" r:id="rId3"/>
  </sheets>
  <definedNames>
    <definedName name="_xlchart.v1.0" hidden="1">'Calculations '!$B$43:$B$52</definedName>
    <definedName name="_xlchart.v1.1" hidden="1">'Calculations '!$C$43:$C$52</definedName>
    <definedName name="ExternalData_1" localSheetId="0" hidden="1">'River_quality_data '!$A$1:$U$1429</definedName>
    <definedName name="Slicer_State">#N/A</definedName>
    <definedName name="table">River_data[#All]</definedName>
  </definedNames>
  <calcPr calcId="191029"/>
  <pivotCaches>
    <pivotCache cacheId="0" r:id="rId4"/>
    <pivotCache cacheId="1" r:id="rId5"/>
    <pivotCache cacheId="6" r:id="rId6"/>
    <pivotCache cacheId="3" r:id="rId7"/>
    <pivotCache cacheId="4" r:id="rId8"/>
    <pivotCache cacheId="5"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2" i="2" l="1"/>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X501" i="2"/>
  <c r="X502" i="2"/>
  <c r="X503" i="2"/>
  <c r="X504" i="2"/>
  <c r="X505" i="2"/>
  <c r="X506" i="2"/>
  <c r="X507" i="2"/>
  <c r="X508" i="2"/>
  <c r="X509" i="2"/>
  <c r="X510" i="2"/>
  <c r="X511" i="2"/>
  <c r="X512" i="2"/>
  <c r="X513" i="2"/>
  <c r="X514" i="2"/>
  <c r="X515" i="2"/>
  <c r="X516" i="2"/>
  <c r="X517" i="2"/>
  <c r="X518" i="2"/>
  <c r="X519" i="2"/>
  <c r="X520" i="2"/>
  <c r="X521" i="2"/>
  <c r="X522" i="2"/>
  <c r="X523" i="2"/>
  <c r="X524" i="2"/>
  <c r="X525" i="2"/>
  <c r="X526" i="2"/>
  <c r="X527" i="2"/>
  <c r="X528" i="2"/>
  <c r="X529" i="2"/>
  <c r="X530" i="2"/>
  <c r="X531" i="2"/>
  <c r="X532" i="2"/>
  <c r="X533" i="2"/>
  <c r="X534" i="2"/>
  <c r="X535" i="2"/>
  <c r="X536" i="2"/>
  <c r="X537" i="2"/>
  <c r="X538" i="2"/>
  <c r="X539" i="2"/>
  <c r="X540" i="2"/>
  <c r="X541" i="2"/>
  <c r="X542" i="2"/>
  <c r="X543" i="2"/>
  <c r="X544" i="2"/>
  <c r="X545" i="2"/>
  <c r="X546" i="2"/>
  <c r="X547" i="2"/>
  <c r="X548" i="2"/>
  <c r="X549" i="2"/>
  <c r="X550" i="2"/>
  <c r="X551" i="2"/>
  <c r="X552" i="2"/>
  <c r="X553" i="2"/>
  <c r="X554" i="2"/>
  <c r="X555" i="2"/>
  <c r="X556" i="2"/>
  <c r="X557" i="2"/>
  <c r="X558" i="2"/>
  <c r="X559" i="2"/>
  <c r="X560" i="2"/>
  <c r="X561" i="2"/>
  <c r="X562" i="2"/>
  <c r="X563" i="2"/>
  <c r="X564" i="2"/>
  <c r="X565" i="2"/>
  <c r="X566" i="2"/>
  <c r="X567" i="2"/>
  <c r="X568" i="2"/>
  <c r="X569" i="2"/>
  <c r="X570" i="2"/>
  <c r="X571" i="2"/>
  <c r="X572" i="2"/>
  <c r="X573" i="2"/>
  <c r="X574" i="2"/>
  <c r="X575" i="2"/>
  <c r="X576" i="2"/>
  <c r="X577" i="2"/>
  <c r="X578" i="2"/>
  <c r="X579" i="2"/>
  <c r="X580" i="2"/>
  <c r="X581" i="2"/>
  <c r="X582" i="2"/>
  <c r="X583" i="2"/>
  <c r="X584" i="2"/>
  <c r="X585" i="2"/>
  <c r="X586" i="2"/>
  <c r="X587" i="2"/>
  <c r="X588" i="2"/>
  <c r="X589" i="2"/>
  <c r="X590" i="2"/>
  <c r="X591" i="2"/>
  <c r="X592" i="2"/>
  <c r="X593" i="2"/>
  <c r="X594" i="2"/>
  <c r="X595" i="2"/>
  <c r="X596" i="2"/>
  <c r="X597" i="2"/>
  <c r="X598" i="2"/>
  <c r="X599" i="2"/>
  <c r="X600" i="2"/>
  <c r="X601" i="2"/>
  <c r="X602" i="2"/>
  <c r="X603" i="2"/>
  <c r="X604" i="2"/>
  <c r="X605" i="2"/>
  <c r="X606" i="2"/>
  <c r="X607" i="2"/>
  <c r="X608" i="2"/>
  <c r="X609" i="2"/>
  <c r="X610" i="2"/>
  <c r="X611" i="2"/>
  <c r="X612" i="2"/>
  <c r="X613" i="2"/>
  <c r="X614" i="2"/>
  <c r="X615" i="2"/>
  <c r="X616" i="2"/>
  <c r="X617" i="2"/>
  <c r="X618" i="2"/>
  <c r="X619" i="2"/>
  <c r="X620" i="2"/>
  <c r="X621" i="2"/>
  <c r="X622" i="2"/>
  <c r="X623" i="2"/>
  <c r="X624" i="2"/>
  <c r="X625" i="2"/>
  <c r="X626" i="2"/>
  <c r="X627" i="2"/>
  <c r="X628" i="2"/>
  <c r="X629" i="2"/>
  <c r="X630" i="2"/>
  <c r="X631" i="2"/>
  <c r="X632" i="2"/>
  <c r="X633" i="2"/>
  <c r="X634" i="2"/>
  <c r="X635" i="2"/>
  <c r="X636" i="2"/>
  <c r="X637" i="2"/>
  <c r="X638" i="2"/>
  <c r="X639" i="2"/>
  <c r="X640" i="2"/>
  <c r="X641" i="2"/>
  <c r="X642" i="2"/>
  <c r="X643" i="2"/>
  <c r="X644" i="2"/>
  <c r="X645" i="2"/>
  <c r="X646" i="2"/>
  <c r="X647" i="2"/>
  <c r="X648" i="2"/>
  <c r="X649" i="2"/>
  <c r="X650" i="2"/>
  <c r="X651" i="2"/>
  <c r="X652" i="2"/>
  <c r="X653" i="2"/>
  <c r="X654" i="2"/>
  <c r="X655" i="2"/>
  <c r="X656" i="2"/>
  <c r="X657" i="2"/>
  <c r="X658" i="2"/>
  <c r="X659" i="2"/>
  <c r="X660" i="2"/>
  <c r="X661" i="2"/>
  <c r="X662" i="2"/>
  <c r="X663" i="2"/>
  <c r="X664" i="2"/>
  <c r="X665" i="2"/>
  <c r="X666" i="2"/>
  <c r="X667" i="2"/>
  <c r="X668" i="2"/>
  <c r="X669" i="2"/>
  <c r="X670" i="2"/>
  <c r="X671" i="2"/>
  <c r="X672" i="2"/>
  <c r="X673" i="2"/>
  <c r="X674" i="2"/>
  <c r="X675" i="2"/>
  <c r="X676" i="2"/>
  <c r="X677" i="2"/>
  <c r="X678" i="2"/>
  <c r="X679" i="2"/>
  <c r="X680" i="2"/>
  <c r="X681" i="2"/>
  <c r="X682" i="2"/>
  <c r="X683" i="2"/>
  <c r="X684" i="2"/>
  <c r="X685" i="2"/>
  <c r="X686" i="2"/>
  <c r="X687" i="2"/>
  <c r="X688" i="2"/>
  <c r="X689" i="2"/>
  <c r="X690" i="2"/>
  <c r="X691" i="2"/>
  <c r="X692" i="2"/>
  <c r="X693" i="2"/>
  <c r="X694" i="2"/>
  <c r="X695" i="2"/>
  <c r="X696" i="2"/>
  <c r="X697" i="2"/>
  <c r="X698" i="2"/>
  <c r="X699" i="2"/>
  <c r="X700" i="2"/>
  <c r="X701" i="2"/>
  <c r="X702" i="2"/>
  <c r="X703" i="2"/>
  <c r="X704" i="2"/>
  <c r="X705" i="2"/>
  <c r="X706" i="2"/>
  <c r="X707" i="2"/>
  <c r="X708" i="2"/>
  <c r="X709" i="2"/>
  <c r="X710" i="2"/>
  <c r="X711" i="2"/>
  <c r="X712" i="2"/>
  <c r="X713" i="2"/>
  <c r="X714" i="2"/>
  <c r="X715" i="2"/>
  <c r="X716" i="2"/>
  <c r="X717" i="2"/>
  <c r="X718" i="2"/>
  <c r="X719" i="2"/>
  <c r="X720" i="2"/>
  <c r="X721" i="2"/>
  <c r="X722" i="2"/>
  <c r="X723" i="2"/>
  <c r="X724" i="2"/>
  <c r="X725" i="2"/>
  <c r="X726" i="2"/>
  <c r="X727" i="2"/>
  <c r="X728" i="2"/>
  <c r="X729" i="2"/>
  <c r="X730" i="2"/>
  <c r="X731" i="2"/>
  <c r="X732" i="2"/>
  <c r="X733" i="2"/>
  <c r="X734" i="2"/>
  <c r="X735" i="2"/>
  <c r="X736" i="2"/>
  <c r="X737" i="2"/>
  <c r="X738" i="2"/>
  <c r="X739" i="2"/>
  <c r="X740" i="2"/>
  <c r="X741" i="2"/>
  <c r="X742" i="2"/>
  <c r="X743" i="2"/>
  <c r="X744" i="2"/>
  <c r="X745" i="2"/>
  <c r="X746" i="2"/>
  <c r="X747" i="2"/>
  <c r="X748" i="2"/>
  <c r="X749" i="2"/>
  <c r="X750" i="2"/>
  <c r="X751" i="2"/>
  <c r="X752" i="2"/>
  <c r="X753" i="2"/>
  <c r="X754" i="2"/>
  <c r="X755" i="2"/>
  <c r="X756" i="2"/>
  <c r="X757" i="2"/>
  <c r="X758" i="2"/>
  <c r="X759" i="2"/>
  <c r="X760" i="2"/>
  <c r="X761" i="2"/>
  <c r="X762" i="2"/>
  <c r="X763" i="2"/>
  <c r="X764" i="2"/>
  <c r="X765" i="2"/>
  <c r="X766" i="2"/>
  <c r="X767" i="2"/>
  <c r="X768" i="2"/>
  <c r="X769" i="2"/>
  <c r="X770" i="2"/>
  <c r="X771" i="2"/>
  <c r="X772" i="2"/>
  <c r="X773" i="2"/>
  <c r="X774" i="2"/>
  <c r="X775" i="2"/>
  <c r="X776" i="2"/>
  <c r="X777" i="2"/>
  <c r="X778" i="2"/>
  <c r="X779" i="2"/>
  <c r="X780" i="2"/>
  <c r="X781" i="2"/>
  <c r="X782" i="2"/>
  <c r="X783" i="2"/>
  <c r="X784" i="2"/>
  <c r="X785" i="2"/>
  <c r="X786" i="2"/>
  <c r="X787" i="2"/>
  <c r="X788" i="2"/>
  <c r="X789" i="2"/>
  <c r="X790" i="2"/>
  <c r="X791" i="2"/>
  <c r="X792" i="2"/>
  <c r="X793" i="2"/>
  <c r="X794" i="2"/>
  <c r="X795" i="2"/>
  <c r="X796" i="2"/>
  <c r="X797" i="2"/>
  <c r="X798" i="2"/>
  <c r="X799" i="2"/>
  <c r="X800" i="2"/>
  <c r="X801" i="2"/>
  <c r="X802" i="2"/>
  <c r="X803" i="2"/>
  <c r="X804" i="2"/>
  <c r="X805" i="2"/>
  <c r="X806" i="2"/>
  <c r="X807" i="2"/>
  <c r="X808" i="2"/>
  <c r="X809" i="2"/>
  <c r="X810" i="2"/>
  <c r="X811" i="2"/>
  <c r="X812" i="2"/>
  <c r="X813" i="2"/>
  <c r="X814" i="2"/>
  <c r="X815" i="2"/>
  <c r="X816" i="2"/>
  <c r="X817" i="2"/>
  <c r="X818" i="2"/>
  <c r="X819" i="2"/>
  <c r="X820" i="2"/>
  <c r="X821" i="2"/>
  <c r="X822" i="2"/>
  <c r="X823" i="2"/>
  <c r="X824" i="2"/>
  <c r="X825" i="2"/>
  <c r="X826" i="2"/>
  <c r="X827" i="2"/>
  <c r="X828" i="2"/>
  <c r="X829" i="2"/>
  <c r="X830" i="2"/>
  <c r="X831" i="2"/>
  <c r="X832" i="2"/>
  <c r="X833" i="2"/>
  <c r="X834" i="2"/>
  <c r="X835" i="2"/>
  <c r="X836" i="2"/>
  <c r="X837" i="2"/>
  <c r="X838" i="2"/>
  <c r="X839" i="2"/>
  <c r="X840" i="2"/>
  <c r="X841" i="2"/>
  <c r="X842" i="2"/>
  <c r="X843" i="2"/>
  <c r="X844" i="2"/>
  <c r="X845" i="2"/>
  <c r="X846" i="2"/>
  <c r="X847" i="2"/>
  <c r="X848" i="2"/>
  <c r="X849" i="2"/>
  <c r="X850" i="2"/>
  <c r="X851" i="2"/>
  <c r="X852" i="2"/>
  <c r="X853" i="2"/>
  <c r="X854" i="2"/>
  <c r="X855" i="2"/>
  <c r="X856" i="2"/>
  <c r="X857" i="2"/>
  <c r="X858" i="2"/>
  <c r="X859" i="2"/>
  <c r="X860" i="2"/>
  <c r="X861" i="2"/>
  <c r="X862" i="2"/>
  <c r="X863" i="2"/>
  <c r="X864" i="2"/>
  <c r="X865" i="2"/>
  <c r="X866" i="2"/>
  <c r="X867" i="2"/>
  <c r="X868" i="2"/>
  <c r="X869" i="2"/>
  <c r="X870" i="2"/>
  <c r="X871" i="2"/>
  <c r="X872" i="2"/>
  <c r="X873" i="2"/>
  <c r="X874" i="2"/>
  <c r="X875" i="2"/>
  <c r="X876" i="2"/>
  <c r="X877" i="2"/>
  <c r="X878" i="2"/>
  <c r="X879" i="2"/>
  <c r="X880" i="2"/>
  <c r="X881" i="2"/>
  <c r="X882" i="2"/>
  <c r="X883" i="2"/>
  <c r="X884" i="2"/>
  <c r="X885" i="2"/>
  <c r="X886" i="2"/>
  <c r="X887" i="2"/>
  <c r="X888" i="2"/>
  <c r="X889" i="2"/>
  <c r="X890" i="2"/>
  <c r="X891" i="2"/>
  <c r="X892" i="2"/>
  <c r="X893" i="2"/>
  <c r="X894" i="2"/>
  <c r="X895" i="2"/>
  <c r="X896" i="2"/>
  <c r="X897" i="2"/>
  <c r="X898" i="2"/>
  <c r="X899" i="2"/>
  <c r="X900" i="2"/>
  <c r="X901" i="2"/>
  <c r="X902" i="2"/>
  <c r="X903" i="2"/>
  <c r="X904" i="2"/>
  <c r="X905" i="2"/>
  <c r="X906" i="2"/>
  <c r="X907" i="2"/>
  <c r="X908" i="2"/>
  <c r="X909" i="2"/>
  <c r="X910" i="2"/>
  <c r="X911" i="2"/>
  <c r="X912" i="2"/>
  <c r="X913" i="2"/>
  <c r="X914" i="2"/>
  <c r="X915" i="2"/>
  <c r="X916" i="2"/>
  <c r="X917" i="2"/>
  <c r="X918" i="2"/>
  <c r="X919" i="2"/>
  <c r="X920" i="2"/>
  <c r="X921" i="2"/>
  <c r="X922" i="2"/>
  <c r="X923" i="2"/>
  <c r="X924" i="2"/>
  <c r="X925" i="2"/>
  <c r="X926" i="2"/>
  <c r="X927" i="2"/>
  <c r="X928" i="2"/>
  <c r="X929" i="2"/>
  <c r="X930" i="2"/>
  <c r="X931" i="2"/>
  <c r="X932" i="2"/>
  <c r="X933" i="2"/>
  <c r="X934" i="2"/>
  <c r="X935" i="2"/>
  <c r="X936" i="2"/>
  <c r="X937" i="2"/>
  <c r="X938" i="2"/>
  <c r="X939" i="2"/>
  <c r="X940" i="2"/>
  <c r="X941" i="2"/>
  <c r="X942" i="2"/>
  <c r="X943" i="2"/>
  <c r="X944" i="2"/>
  <c r="X945" i="2"/>
  <c r="X946" i="2"/>
  <c r="X947" i="2"/>
  <c r="X948" i="2"/>
  <c r="X949" i="2"/>
  <c r="X950" i="2"/>
  <c r="X951" i="2"/>
  <c r="X952" i="2"/>
  <c r="X953" i="2"/>
  <c r="X954" i="2"/>
  <c r="X955" i="2"/>
  <c r="X956" i="2"/>
  <c r="X957" i="2"/>
  <c r="X958" i="2"/>
  <c r="X959" i="2"/>
  <c r="X960" i="2"/>
  <c r="X961" i="2"/>
  <c r="X962" i="2"/>
  <c r="X963" i="2"/>
  <c r="X964" i="2"/>
  <c r="X965" i="2"/>
  <c r="X966" i="2"/>
  <c r="X967" i="2"/>
  <c r="X968" i="2"/>
  <c r="X969" i="2"/>
  <c r="X970" i="2"/>
  <c r="X971" i="2"/>
  <c r="X972" i="2"/>
  <c r="X973" i="2"/>
  <c r="X974" i="2"/>
  <c r="X975" i="2"/>
  <c r="X976" i="2"/>
  <c r="X977" i="2"/>
  <c r="X978" i="2"/>
  <c r="X979" i="2"/>
  <c r="X980" i="2"/>
  <c r="X981" i="2"/>
  <c r="X982" i="2"/>
  <c r="X983" i="2"/>
  <c r="X984" i="2"/>
  <c r="X985" i="2"/>
  <c r="X986" i="2"/>
  <c r="X987" i="2"/>
  <c r="X988" i="2"/>
  <c r="X989" i="2"/>
  <c r="X990" i="2"/>
  <c r="X991" i="2"/>
  <c r="X992" i="2"/>
  <c r="X993" i="2"/>
  <c r="X994" i="2"/>
  <c r="X995" i="2"/>
  <c r="X996" i="2"/>
  <c r="X997" i="2"/>
  <c r="X998" i="2"/>
  <c r="X999" i="2"/>
  <c r="X1000" i="2"/>
  <c r="X1001" i="2"/>
  <c r="X1002" i="2"/>
  <c r="X1003" i="2"/>
  <c r="X1004" i="2"/>
  <c r="X1005" i="2"/>
  <c r="X1006" i="2"/>
  <c r="X1007" i="2"/>
  <c r="X1008" i="2"/>
  <c r="X1009" i="2"/>
  <c r="X1010" i="2"/>
  <c r="X1011" i="2"/>
  <c r="X1012" i="2"/>
  <c r="X1013" i="2"/>
  <c r="X1014" i="2"/>
  <c r="X1015" i="2"/>
  <c r="X1016" i="2"/>
  <c r="X1017" i="2"/>
  <c r="X1018" i="2"/>
  <c r="X1019" i="2"/>
  <c r="X1020" i="2"/>
  <c r="X1021" i="2"/>
  <c r="X1022" i="2"/>
  <c r="X1023" i="2"/>
  <c r="X1024" i="2"/>
  <c r="X1025" i="2"/>
  <c r="X1026" i="2"/>
  <c r="X1027" i="2"/>
  <c r="X1028" i="2"/>
  <c r="X1029" i="2"/>
  <c r="X1030" i="2"/>
  <c r="X1031" i="2"/>
  <c r="X1032" i="2"/>
  <c r="X1033" i="2"/>
  <c r="X1034" i="2"/>
  <c r="X1035" i="2"/>
  <c r="X1036" i="2"/>
  <c r="X1037" i="2"/>
  <c r="X1038" i="2"/>
  <c r="X1039" i="2"/>
  <c r="X1040" i="2"/>
  <c r="X1041" i="2"/>
  <c r="X1042" i="2"/>
  <c r="X1043" i="2"/>
  <c r="X1044" i="2"/>
  <c r="X1045" i="2"/>
  <c r="X1046" i="2"/>
  <c r="X1047" i="2"/>
  <c r="X1048" i="2"/>
  <c r="X1049" i="2"/>
  <c r="X1050" i="2"/>
  <c r="X1051" i="2"/>
  <c r="X1052" i="2"/>
  <c r="X1053" i="2"/>
  <c r="X1054" i="2"/>
  <c r="X1055" i="2"/>
  <c r="X1056" i="2"/>
  <c r="X1057" i="2"/>
  <c r="X1058" i="2"/>
  <c r="X1059" i="2"/>
  <c r="X1060" i="2"/>
  <c r="X1061" i="2"/>
  <c r="X1062" i="2"/>
  <c r="X1063" i="2"/>
  <c r="X1064" i="2"/>
  <c r="X1065" i="2"/>
  <c r="X1066" i="2"/>
  <c r="X1067" i="2"/>
  <c r="X1068" i="2"/>
  <c r="X1069" i="2"/>
  <c r="X1070" i="2"/>
  <c r="X1071" i="2"/>
  <c r="X1072" i="2"/>
  <c r="X1073" i="2"/>
  <c r="X1074" i="2"/>
  <c r="X1075" i="2"/>
  <c r="X1076" i="2"/>
  <c r="X1077" i="2"/>
  <c r="X1078" i="2"/>
  <c r="X1079" i="2"/>
  <c r="X1080" i="2"/>
  <c r="X1081" i="2"/>
  <c r="X1082" i="2"/>
  <c r="X1083" i="2"/>
  <c r="X1084" i="2"/>
  <c r="X1085" i="2"/>
  <c r="X1086" i="2"/>
  <c r="X1087" i="2"/>
  <c r="X1088" i="2"/>
  <c r="X1089" i="2"/>
  <c r="X1090" i="2"/>
  <c r="X1091" i="2"/>
  <c r="X1092" i="2"/>
  <c r="X1093" i="2"/>
  <c r="X1094" i="2"/>
  <c r="X1095" i="2"/>
  <c r="X1096" i="2"/>
  <c r="X1097" i="2"/>
  <c r="X1098" i="2"/>
  <c r="X1099" i="2"/>
  <c r="X1100" i="2"/>
  <c r="X1101" i="2"/>
  <c r="X1102" i="2"/>
  <c r="X1103" i="2"/>
  <c r="X1104" i="2"/>
  <c r="X1105" i="2"/>
  <c r="X1106" i="2"/>
  <c r="X1107" i="2"/>
  <c r="X1108" i="2"/>
  <c r="X1109" i="2"/>
  <c r="X1110" i="2"/>
  <c r="X1111" i="2"/>
  <c r="X1112" i="2"/>
  <c r="X1113" i="2"/>
  <c r="X1114" i="2"/>
  <c r="X1115" i="2"/>
  <c r="X1116" i="2"/>
  <c r="X1117" i="2"/>
  <c r="X1118" i="2"/>
  <c r="X1119" i="2"/>
  <c r="X1120" i="2"/>
  <c r="X1121" i="2"/>
  <c r="X1122" i="2"/>
  <c r="X1123" i="2"/>
  <c r="X1124" i="2"/>
  <c r="X1125" i="2"/>
  <c r="X1126" i="2"/>
  <c r="X1127" i="2"/>
  <c r="X1128" i="2"/>
  <c r="X1129" i="2"/>
  <c r="X1130" i="2"/>
  <c r="X1131" i="2"/>
  <c r="X1132" i="2"/>
  <c r="X1133" i="2"/>
  <c r="X1134" i="2"/>
  <c r="X1135" i="2"/>
  <c r="X1136" i="2"/>
  <c r="X1137" i="2"/>
  <c r="X1138" i="2"/>
  <c r="X1139" i="2"/>
  <c r="X1140" i="2"/>
  <c r="X1141" i="2"/>
  <c r="X1142" i="2"/>
  <c r="X1143" i="2"/>
  <c r="X1144" i="2"/>
  <c r="X1145" i="2"/>
  <c r="X1146" i="2"/>
  <c r="X1147" i="2"/>
  <c r="X1148" i="2"/>
  <c r="X1149" i="2"/>
  <c r="X1150" i="2"/>
  <c r="X1151" i="2"/>
  <c r="X1152" i="2"/>
  <c r="X1153" i="2"/>
  <c r="X1154" i="2"/>
  <c r="X1155" i="2"/>
  <c r="X1156" i="2"/>
  <c r="X1157" i="2"/>
  <c r="X1158" i="2"/>
  <c r="X1159" i="2"/>
  <c r="X1160" i="2"/>
  <c r="X1161" i="2"/>
  <c r="X1162" i="2"/>
  <c r="X1163" i="2"/>
  <c r="X1164" i="2"/>
  <c r="X1165" i="2"/>
  <c r="X1166" i="2"/>
  <c r="X1167" i="2"/>
  <c r="X1168" i="2"/>
  <c r="X1169" i="2"/>
  <c r="X1170" i="2"/>
  <c r="X1171" i="2"/>
  <c r="X1172" i="2"/>
  <c r="X1173" i="2"/>
  <c r="X1174" i="2"/>
  <c r="X1175" i="2"/>
  <c r="X1176" i="2"/>
  <c r="X1177" i="2"/>
  <c r="X1178" i="2"/>
  <c r="X1179" i="2"/>
  <c r="X1180" i="2"/>
  <c r="X1181" i="2"/>
  <c r="X1182" i="2"/>
  <c r="X1183" i="2"/>
  <c r="X1184" i="2"/>
  <c r="X1185" i="2"/>
  <c r="X1186" i="2"/>
  <c r="X1187" i="2"/>
  <c r="X1188" i="2"/>
  <c r="X1189" i="2"/>
  <c r="X1190" i="2"/>
  <c r="X1191" i="2"/>
  <c r="X1192" i="2"/>
  <c r="X1193" i="2"/>
  <c r="X1194" i="2"/>
  <c r="X1195" i="2"/>
  <c r="X1196" i="2"/>
  <c r="X1197" i="2"/>
  <c r="X1198" i="2"/>
  <c r="X1199" i="2"/>
  <c r="X1200" i="2"/>
  <c r="X1201" i="2"/>
  <c r="X1202" i="2"/>
  <c r="X1203" i="2"/>
  <c r="X1204" i="2"/>
  <c r="X1205" i="2"/>
  <c r="X1206" i="2"/>
  <c r="X1207" i="2"/>
  <c r="X1208" i="2"/>
  <c r="X1209" i="2"/>
  <c r="X1210" i="2"/>
  <c r="X1211" i="2"/>
  <c r="X1212" i="2"/>
  <c r="X1213" i="2"/>
  <c r="X1214" i="2"/>
  <c r="X1215" i="2"/>
  <c r="X1216" i="2"/>
  <c r="X1217" i="2"/>
  <c r="X1218" i="2"/>
  <c r="X1219" i="2"/>
  <c r="X1220" i="2"/>
  <c r="X1221" i="2"/>
  <c r="X1222" i="2"/>
  <c r="X1223" i="2"/>
  <c r="X1224" i="2"/>
  <c r="X1225" i="2"/>
  <c r="X1226" i="2"/>
  <c r="X1227" i="2"/>
  <c r="X1228" i="2"/>
  <c r="X1229" i="2"/>
  <c r="X1230" i="2"/>
  <c r="X1231" i="2"/>
  <c r="X1232" i="2"/>
  <c r="X1233" i="2"/>
  <c r="X1234" i="2"/>
  <c r="X1235" i="2"/>
  <c r="X1236" i="2"/>
  <c r="X1237" i="2"/>
  <c r="X1238" i="2"/>
  <c r="X1239" i="2"/>
  <c r="X1240" i="2"/>
  <c r="X1241" i="2"/>
  <c r="X1242" i="2"/>
  <c r="X1243" i="2"/>
  <c r="X1244" i="2"/>
  <c r="X1245" i="2"/>
  <c r="X1246" i="2"/>
  <c r="X1247" i="2"/>
  <c r="X1248" i="2"/>
  <c r="X1249" i="2"/>
  <c r="X1250" i="2"/>
  <c r="X1251" i="2"/>
  <c r="X1252" i="2"/>
  <c r="X1253" i="2"/>
  <c r="X1254" i="2"/>
  <c r="X1255" i="2"/>
  <c r="X1256" i="2"/>
  <c r="X1257" i="2"/>
  <c r="X1258" i="2"/>
  <c r="X1259" i="2"/>
  <c r="X1260" i="2"/>
  <c r="X1261" i="2"/>
  <c r="X1262" i="2"/>
  <c r="X1263" i="2"/>
  <c r="X1264" i="2"/>
  <c r="X1265" i="2"/>
  <c r="X1266" i="2"/>
  <c r="X1267" i="2"/>
  <c r="X1268" i="2"/>
  <c r="X1269" i="2"/>
  <c r="X1270" i="2"/>
  <c r="X1271" i="2"/>
  <c r="X1272" i="2"/>
  <c r="X1273" i="2"/>
  <c r="X1274" i="2"/>
  <c r="X1275" i="2"/>
  <c r="X1276" i="2"/>
  <c r="X1277" i="2"/>
  <c r="X1278" i="2"/>
  <c r="X1279" i="2"/>
  <c r="X1280" i="2"/>
  <c r="X1281" i="2"/>
  <c r="X1282" i="2"/>
  <c r="X1283" i="2"/>
  <c r="X1284" i="2"/>
  <c r="X1285" i="2"/>
  <c r="X1286" i="2"/>
  <c r="X1287" i="2"/>
  <c r="X1288" i="2"/>
  <c r="X1289" i="2"/>
  <c r="X1290" i="2"/>
  <c r="X1291" i="2"/>
  <c r="X1292" i="2"/>
  <c r="X1293" i="2"/>
  <c r="X1294" i="2"/>
  <c r="X1295" i="2"/>
  <c r="X1296" i="2"/>
  <c r="X1297" i="2"/>
  <c r="X1298" i="2"/>
  <c r="X1299" i="2"/>
  <c r="X1300" i="2"/>
  <c r="X1301" i="2"/>
  <c r="X1302" i="2"/>
  <c r="X1303" i="2"/>
  <c r="X1304" i="2"/>
  <c r="X1305" i="2"/>
  <c r="X1306" i="2"/>
  <c r="X1307" i="2"/>
  <c r="X1308" i="2"/>
  <c r="X1309" i="2"/>
  <c r="X1310" i="2"/>
  <c r="X1311" i="2"/>
  <c r="X1312" i="2"/>
  <c r="X1313" i="2"/>
  <c r="X1314" i="2"/>
  <c r="X1315" i="2"/>
  <c r="X1316" i="2"/>
  <c r="X1317" i="2"/>
  <c r="X1318" i="2"/>
  <c r="X1319" i="2"/>
  <c r="X1320" i="2"/>
  <c r="X1321" i="2"/>
  <c r="X1322" i="2"/>
  <c r="X1323" i="2"/>
  <c r="X1324" i="2"/>
  <c r="X1325" i="2"/>
  <c r="X1326" i="2"/>
  <c r="X1327" i="2"/>
  <c r="X1328" i="2"/>
  <c r="X1329" i="2"/>
  <c r="X1330" i="2"/>
  <c r="X1331" i="2"/>
  <c r="X1332" i="2"/>
  <c r="X1333" i="2"/>
  <c r="X1334" i="2"/>
  <c r="X1335" i="2"/>
  <c r="X1336" i="2"/>
  <c r="X1337" i="2"/>
  <c r="X1338" i="2"/>
  <c r="X1339" i="2"/>
  <c r="X1340" i="2"/>
  <c r="X1341" i="2"/>
  <c r="X1342" i="2"/>
  <c r="X1343" i="2"/>
  <c r="X1344" i="2"/>
  <c r="X1345" i="2"/>
  <c r="X1346" i="2"/>
  <c r="X1347" i="2"/>
  <c r="X1348" i="2"/>
  <c r="X1349" i="2"/>
  <c r="X1350" i="2"/>
  <c r="X1351" i="2"/>
  <c r="X1352" i="2"/>
  <c r="X1353" i="2"/>
  <c r="X1354" i="2"/>
  <c r="X1355" i="2"/>
  <c r="X1356" i="2"/>
  <c r="X1357" i="2"/>
  <c r="X1358" i="2"/>
  <c r="X1359" i="2"/>
  <c r="X1360" i="2"/>
  <c r="X1361" i="2"/>
  <c r="X1362" i="2"/>
  <c r="X1363" i="2"/>
  <c r="X1364" i="2"/>
  <c r="X1365" i="2"/>
  <c r="X1366" i="2"/>
  <c r="X1367" i="2"/>
  <c r="X1368" i="2"/>
  <c r="X1369" i="2"/>
  <c r="X1370" i="2"/>
  <c r="X1371" i="2"/>
  <c r="X1372" i="2"/>
  <c r="X1373" i="2"/>
  <c r="X1374" i="2"/>
  <c r="X1375" i="2"/>
  <c r="X1376" i="2"/>
  <c r="X1377" i="2"/>
  <c r="X1378" i="2"/>
  <c r="X1379" i="2"/>
  <c r="X1380" i="2"/>
  <c r="X1381" i="2"/>
  <c r="X1382" i="2"/>
  <c r="X1383" i="2"/>
  <c r="X1384" i="2"/>
  <c r="X1385" i="2"/>
  <c r="X1386" i="2"/>
  <c r="X1387" i="2"/>
  <c r="X1388" i="2"/>
  <c r="X1389" i="2"/>
  <c r="X1390" i="2"/>
  <c r="X1391" i="2"/>
  <c r="X1392" i="2"/>
  <c r="X1393" i="2"/>
  <c r="X1394" i="2"/>
  <c r="X1395" i="2"/>
  <c r="X1396" i="2"/>
  <c r="X1397" i="2"/>
  <c r="X1398" i="2"/>
  <c r="X1399" i="2"/>
  <c r="X1400" i="2"/>
  <c r="X1401" i="2"/>
  <c r="X1402" i="2"/>
  <c r="X1403" i="2"/>
  <c r="X1404" i="2"/>
  <c r="X1405" i="2"/>
  <c r="X1406" i="2"/>
  <c r="X1407" i="2"/>
  <c r="X1408" i="2"/>
  <c r="X1409" i="2"/>
  <c r="X1410" i="2"/>
  <c r="X1411" i="2"/>
  <c r="X1412" i="2"/>
  <c r="X1413" i="2"/>
  <c r="X1414" i="2"/>
  <c r="X1415" i="2"/>
  <c r="X1416" i="2"/>
  <c r="X1417" i="2"/>
  <c r="X1418" i="2"/>
  <c r="X1419" i="2"/>
  <c r="X1420" i="2"/>
  <c r="X1421" i="2"/>
  <c r="X1422" i="2"/>
  <c r="X1423" i="2"/>
  <c r="X1424" i="2"/>
  <c r="X1425" i="2"/>
  <c r="X1426" i="2"/>
  <c r="X1427" i="2"/>
  <c r="X1428" i="2"/>
  <c r="X1429" i="2"/>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2584DBF-7A6D-4242-8E69-029EB8B95954}" keepAlive="1" name="Query - River data" description="Connection to the 'River data' query in the workbook." type="5" refreshedVersion="7" background="1" saveData="1">
    <dbPr connection="Provider=Microsoft.Mashup.OleDb.1;Data Source=$Workbook$;Location=&quot;River data&quot;;Extended Properties=&quot;&quot;" command="SELECT * FROM [River data]"/>
  </connection>
  <connection id="2" xr16:uid="{25A226BE-0104-4908-8A78-A712452E82F6}" keepAlive="1" name="Query - River data (2)" description="Connection to the 'River data (2)' query in the workbook." type="5" refreshedVersion="7" background="1" saveData="1">
    <dbPr connection="Provider=Microsoft.Mashup.OleDb.1;Data Source=$Workbook$;Location=&quot;River data (2)&quot;;Extended Properties=&quot;&quot;" command="SELECT * FROM [River data (2)]"/>
  </connection>
  <connection id="3" xr16:uid="{3EAB452A-97B6-46B2-A8BE-F0C39907354B}" keepAlive="1" name="Query - Table001 (Page 1) (2)" description="Connection to the 'Table001 (Page 1) (2)' query in the workbook." type="5" refreshedVersion="7" background="1" saveData="1">
    <dbPr connection="Provider=Microsoft.Mashup.OleDb.1;Data Source=$Workbook$;Location=&quot;Table001 (Page 1) (2)&quot;;Extended Properties=&quot;&quot;" command="SELECT * FROM [Table001 (Page 1) (2)]"/>
  </connection>
  <connection id="4" xr16:uid="{111ACCAB-2B8F-48F4-9330-86575174E473}" keepAlive="1" name="Query - Table002 (Page 2)" description="Connection to the 'Table002 (Page 2)' query in the workbook." type="5" refreshedVersion="0" background="1">
    <dbPr connection="Provider=Microsoft.Mashup.OleDb.1;Data Source=$Workbook$;Location=&quot;Table002 (Page 2)&quot;;Extended Properties=&quot;&quot;" command="SELECT * FROM [Table002 (Page 2)]"/>
  </connection>
  <connection id="5" xr16:uid="{C14B743F-AB0F-41DE-A317-E7F604669F29}" keepAlive="1" name="Query - Table003 (Page 3)" description="Connection to the 'Table003 (Page 3)' query in the workbook." type="5" refreshedVersion="7" background="1" saveData="1">
    <dbPr connection="Provider=Microsoft.Mashup.OleDb.1;Data Source=$Workbook$;Location=&quot;Table003 (Page 3)&quot;;Extended Properties=&quot;&quot;" command="SELECT * FROM [Table003 (Page 3)]"/>
  </connection>
  <connection id="6" xr16:uid="{E43B3BFA-1307-4645-BE13-E258A962C7D7}" keepAlive="1" name="Query - Table004 (Page 4)" description="Connection to the 'Table004 (Page 4)' query in the workbook." type="5" refreshedVersion="7" background="1" saveData="1">
    <dbPr connection="Provider=Microsoft.Mashup.OleDb.1;Data Source=$Workbook$;Location=&quot;Table004 (Page 4)&quot;;Extended Properties=&quot;&quot;" command="SELECT * FROM [Table004 (Page 4)]"/>
  </connection>
  <connection id="7" xr16:uid="{A26433C5-64BF-46D7-8241-DFC9FB7EBB30}" keepAlive="1" name="Query - Table005 (Page 5)" description="Connection to the 'Table005 (Page 5)' query in the workbook." type="5" refreshedVersion="7" background="1" saveData="1">
    <dbPr connection="Provider=Microsoft.Mashup.OleDb.1;Data Source=$Workbook$;Location=&quot;Table005 (Page 5)&quot;;Extended Properties=&quot;&quot;" command="SELECT * FROM [Table005 (Page 5)]"/>
  </connection>
  <connection id="8" xr16:uid="{26023CB8-86E9-4D05-A01E-9A1E7AC06093}" keepAlive="1" name="Query - Table006 (Page 5)" description="Connection to the 'Table006 (Page 5)' query in the workbook." type="5" refreshedVersion="7" background="1" saveData="1">
    <dbPr connection="Provider=Microsoft.Mashup.OleDb.1;Data Source=$Workbook$;Location=&quot;Table006 (Page 5)&quot;;Extended Properties=&quot;&quot;" command="SELECT * FROM [Table006 (Page 5)]"/>
  </connection>
  <connection id="9" xr16:uid="{A232A5AC-55A8-4B1B-A019-3B6C93D9A4D4}" keepAlive="1" name="Query - Table007 (Page 6)" description="Connection to the 'Table007 (Page 6)' query in the workbook." type="5" refreshedVersion="7" background="1" saveData="1">
    <dbPr connection="Provider=Microsoft.Mashup.OleDb.1;Data Source=$Workbook$;Location=&quot;Table007 (Page 6)&quot;;Extended Properties=&quot;&quot;" command="SELECT * FROM [Table007 (Page 6)]"/>
  </connection>
  <connection id="10" xr16:uid="{D22BA1EC-9F71-40BC-BD9A-8E6F21F16DBE}" keepAlive="1" name="Query - Table008 (Page 7-8)" description="Connection to the 'Table008 (Page 7-8)' query in the workbook." type="5" refreshedVersion="7" background="1" saveData="1">
    <dbPr connection="Provider=Microsoft.Mashup.OleDb.1;Data Source=$Workbook$;Location=&quot;Table008 (Page 7-8)&quot;;Extended Properties=&quot;&quot;" command="SELECT * FROM [Table008 (Page 7-8)]"/>
  </connection>
  <connection id="11" xr16:uid="{2B6D4AE4-E715-4642-83B3-D146C2EB90A2}" keepAlive="1" name="Query - Table009 (Page 9)" description="Connection to the 'Table009 (Page 9)' query in the workbook." type="5" refreshedVersion="7" background="1" saveData="1">
    <dbPr connection="Provider=Microsoft.Mashup.OleDb.1;Data Source=$Workbook$;Location=&quot;Table009 (Page 9)&quot;;Extended Properties=&quot;&quot;" command="SELECT * FROM [Table009 (Page 9)]"/>
  </connection>
  <connection id="12" xr16:uid="{6F1222DC-74C8-4F8D-8497-F404085F5D1B}" keepAlive="1" name="Query - Table010 (Page 10)" description="Connection to the 'Table010 (Page 10)' query in the workbook." type="5" refreshedVersion="7" background="1" saveData="1">
    <dbPr connection="Provider=Microsoft.Mashup.OleDb.1;Data Source=$Workbook$;Location=&quot;Table010 (Page 10)&quot;;Extended Properties=&quot;&quot;" command="SELECT * FROM [Table010 (Page 10)]"/>
  </connection>
  <connection id="13" xr16:uid="{A243F026-E974-4352-9401-10E3911A55FC}" keepAlive="1" name="Query - Table011 (Page 11)" description="Connection to the 'Table011 (Page 11)' query in the workbook." type="5" refreshedVersion="7" background="1" saveData="1">
    <dbPr connection="Provider=Microsoft.Mashup.OleDb.1;Data Source=$Workbook$;Location=&quot;Table011 (Page 11)&quot;;Extended Properties=&quot;&quot;" command="SELECT * FROM [Table011 (Page 11)]"/>
  </connection>
  <connection id="14" xr16:uid="{521A0577-2445-4C08-9088-6126AA15DBCA}" keepAlive="1" name="Query - Table012 (Page 11-16)" description="Connection to the 'Table012 (Page 11-16)' query in the workbook." type="5" refreshedVersion="7" background="1" saveData="1">
    <dbPr connection="Provider=Microsoft.Mashup.OleDb.1;Data Source=$Workbook$;Location=&quot;Table012 (Page 11-16)&quot;;Extended Properties=&quot;&quot;" command="SELECT * FROM [Table012 (Page 11-16)]"/>
  </connection>
  <connection id="15" xr16:uid="{7ACCE9D4-85B7-4CE0-A2A3-4DC1858FECA0}" keepAlive="1" name="Query - Table013 (Page 17-19)" description="Connection to the 'Table013 (Page 17-19)' query in the workbook." type="5" refreshedVersion="7" background="1" saveData="1">
    <dbPr connection="Provider=Microsoft.Mashup.OleDb.1;Data Source=$Workbook$;Location=&quot;Table013 (Page 17-19)&quot;;Extended Properties=&quot;&quot;" command="SELECT * FROM [Table013 (Page 17-19)]"/>
  </connection>
  <connection id="16" xr16:uid="{CF66DBAD-D05E-49A3-9114-F25ECF796FD3}" keepAlive="1" name="Query - Table014 (Page 19-21)" description="Connection to the 'Table014 (Page 19-21)' query in the workbook." type="5" refreshedVersion="7" background="1" saveData="1">
    <dbPr connection="Provider=Microsoft.Mashup.OleDb.1;Data Source=$Workbook$;Location=&quot;Table014 (Page 19-21)&quot;;Extended Properties=&quot;&quot;" command="SELECT * FROM [Table014 (Page 19-21)]"/>
  </connection>
  <connection id="17" xr16:uid="{59FE0E86-2089-47FD-A0DA-E0CAC86CE745}" keepAlive="1" name="Query - Table015 (Page 22)" description="Connection to the 'Table015 (Page 22)' query in the workbook." type="5" refreshedVersion="7" background="1" saveData="1">
    <dbPr connection="Provider=Microsoft.Mashup.OleDb.1;Data Source=$Workbook$;Location=&quot;Table015 (Page 22)&quot;;Extended Properties=&quot;&quot;" command="SELECT * FROM [Table015 (Page 22)]"/>
  </connection>
  <connection id="18" xr16:uid="{F32344B5-89EC-4753-BA64-D1F9B17074F8}" keepAlive="1" name="Query - Table016 (Page 23)" description="Connection to the 'Table016 (Page 23)' query in the workbook." type="5" refreshedVersion="7" background="1" saveData="1">
    <dbPr connection="Provider=Microsoft.Mashup.OleDb.1;Data Source=$Workbook$;Location=&quot;Table016 (Page 23)&quot;;Extended Properties=&quot;&quot;" command="SELECT * FROM [Table016 (Page 23)]"/>
  </connection>
  <connection id="19" xr16:uid="{52086917-FB77-46EF-95F9-DCEA80426180}" keepAlive="1" name="Query - Table017 (Page 24)" description="Connection to the 'Table017 (Page 24)' query in the workbook." type="5" refreshedVersion="7" background="1" saveData="1">
    <dbPr connection="Provider=Microsoft.Mashup.OleDb.1;Data Source=$Workbook$;Location=&quot;Table017 (Page 24)&quot;;Extended Properties=&quot;&quot;" command="SELECT * FROM [Table017 (Page 24)]"/>
  </connection>
  <connection id="20" xr16:uid="{2157CABC-EC8C-43F8-9782-6A2FA329725B}" keepAlive="1" name="Query - Table018 (Page 25-28)" description="Connection to the 'Table018 (Page 25-28)' query in the workbook." type="5" refreshedVersion="7" background="1" saveData="1">
    <dbPr connection="Provider=Microsoft.Mashup.OleDb.1;Data Source=$Workbook$;Location=&quot;Table018 (Page 25-28)&quot;;Extended Properties=&quot;&quot;" command="SELECT * FROM [Table018 (Page 25-28)]"/>
  </connection>
  <connection id="21" xr16:uid="{AFF520BD-759F-45ED-9735-7F4B083520F2}" keepAlive="1" name="Query - Table019 (Page 28)" description="Connection to the 'Table019 (Page 28)' query in the workbook." type="5" refreshedVersion="7" background="1" saveData="1">
    <dbPr connection="Provider=Microsoft.Mashup.OleDb.1;Data Source=$Workbook$;Location=&quot;Table019 (Page 28)&quot;;Extended Properties=&quot;&quot;" command="SELECT * FROM [Table019 (Page 28)]"/>
  </connection>
  <connection id="22" xr16:uid="{A50ABC5E-D1F9-4E39-BF44-A8396B805422}" keepAlive="1" name="Query - Table020 (Page 29)" description="Connection to the 'Table020 (Page 29)' query in the workbook." type="5" refreshedVersion="7" background="1" saveData="1">
    <dbPr connection="Provider=Microsoft.Mashup.OleDb.1;Data Source=$Workbook$;Location=&quot;Table020 (Page 29)&quot;;Extended Properties=&quot;&quot;" command="SELECT * FROM [Table020 (Page 29)]"/>
  </connection>
  <connection id="23" xr16:uid="{05064A8D-E351-4065-AEF4-D9B52E4E0D2D}" keepAlive="1" name="Query - Table021 (Page 30-32)" description="Connection to the 'Table021 (Page 30-32)' query in the workbook." type="5" refreshedVersion="7" background="1" saveData="1">
    <dbPr connection="Provider=Microsoft.Mashup.OleDb.1;Data Source=$Workbook$;Location=&quot;Table021 (Page 30-32)&quot;;Extended Properties=&quot;&quot;" command="SELECT * FROM [Table021 (Page 30-32)]"/>
  </connection>
  <connection id="24" xr16:uid="{1E042BC6-6F82-4B69-A4C7-CD6DD3041BC4}" keepAlive="1" name="Query - Table022 (Page 33-34)" description="Connection to the 'Table022 (Page 33-34)' query in the workbook." type="5" refreshedVersion="7" background="1" saveData="1">
    <dbPr connection="Provider=Microsoft.Mashup.OleDb.1;Data Source=$Workbook$;Location=&quot;Table022 (Page 33-34)&quot;;Extended Properties=&quot;&quot;" command="SELECT * FROM [Table022 (Page 33-34)]"/>
  </connection>
  <connection id="25" xr16:uid="{C96C0308-43AF-4104-B1FF-0B78B55C8F36}" keepAlive="1" name="Query - Table023 (Page 35)" description="Connection to the 'Table023 (Page 35)' query in the workbook." type="5" refreshedVersion="7" background="1" saveData="1">
    <dbPr connection="Provider=Microsoft.Mashup.OleDb.1;Data Source=$Workbook$;Location=&quot;Table023 (Page 35)&quot;;Extended Properties=&quot;&quot;" command="SELECT * FROM [Table023 (Page 35)]"/>
  </connection>
  <connection id="26" xr16:uid="{177AE188-876D-49FD-867F-3FA6088CB282}" keepAlive="1" name="Query - Table024 (Page 35)" description="Connection to the 'Table024 (Page 35)' query in the workbook." type="5" refreshedVersion="7" background="1" saveData="1">
    <dbPr connection="Provider=Microsoft.Mashup.OleDb.1;Data Source=$Workbook$;Location=&quot;Table024 (Page 35)&quot;;Extended Properties=&quot;&quot;" command="SELECT * FROM [Table024 (Page 35)]"/>
  </connection>
  <connection id="27" xr16:uid="{F0862681-ECF3-4807-9A6C-D8038D557C7D}" keepAlive="1" name="Query - Table025 (Page 36)" description="Connection to the 'Table025 (Page 36)' query in the workbook." type="5" refreshedVersion="7" background="1" saveData="1">
    <dbPr connection="Provider=Microsoft.Mashup.OleDb.1;Data Source=$Workbook$;Location=&quot;Table025 (Page 36)&quot;;Extended Properties=&quot;&quot;" command="SELECT * FROM [Table025 (Page 36)]"/>
  </connection>
  <connection id="28" xr16:uid="{AE8BB888-6D07-4D57-A391-BF4FA525D8EF}" keepAlive="1" name="Query - Table026 (Page 37-38)" description="Connection to the 'Table026 (Page 37-38)' query in the workbook." type="5" refreshedVersion="7" background="1" saveData="1">
    <dbPr connection="Provider=Microsoft.Mashup.OleDb.1;Data Source=$Workbook$;Location=&quot;Table026 (Page 37-38)&quot;;Extended Properties=&quot;&quot;" command="SELECT * FROM [Table026 (Page 37-38)]"/>
  </connection>
  <connection id="29" xr16:uid="{D2FC86FA-37DA-4926-AF6D-26CEE9C97081}" keepAlive="1" name="Query - Table027 (Page 39-43)" description="Connection to the 'Table027 (Page 39-43)' query in the workbook." type="5" refreshedVersion="7" background="1" saveData="1">
    <dbPr connection="Provider=Microsoft.Mashup.OleDb.1;Data Source=$Workbook$;Location=&quot;Table027 (Page 39-43)&quot;;Extended Properties=&quot;&quot;" command="SELECT * FROM [Table027 (Page 39-43)]"/>
  </connection>
  <connection id="30" xr16:uid="{BA65F7C9-91D1-4010-825B-CC7EBA5BE0A9}" keepAlive="1" name="Query - Table028 (Page 44)" description="Connection to the 'Table028 (Page 44)' query in the workbook." type="5" refreshedVersion="7" background="1" saveData="1">
    <dbPr connection="Provider=Microsoft.Mashup.OleDb.1;Data Source=$Workbook$;Location=&quot;Table028 (Page 44)&quot;;Extended Properties=&quot;&quot;" command="SELECT * FROM [Table028 (Page 44)]"/>
  </connection>
  <connection id="31" xr16:uid="{F53B9F9E-5BD9-4241-9FF0-2CAED9632B26}" keepAlive="1" name="Query - Table029 (Page 45-46)" description="Connection to the 'Table029 (Page 45-46)' query in the workbook." type="5" refreshedVersion="7" background="1" saveData="1">
    <dbPr connection="Provider=Microsoft.Mashup.OleDb.1;Data Source=$Workbook$;Location=&quot;Table029 (Page 45-46)&quot;;Extended Properties=&quot;&quot;" command="SELECT * FROM [Table029 (Page 45-46)]"/>
  </connection>
  <connection id="32" xr16:uid="{8FDF7DA8-3472-4971-90A1-4F06A52172DF}" keepAlive="1" name="Query - Table030 (Page 46)" description="Connection to the 'Table030 (Page 46)' query in the workbook." type="5" refreshedVersion="7" background="1" saveData="1">
    <dbPr connection="Provider=Microsoft.Mashup.OleDb.1;Data Source=$Workbook$;Location=&quot;Table030 (Page 46)&quot;;Extended Properties=&quot;&quot;" command="SELECT * FROM [Table030 (Page 46)]"/>
  </connection>
  <connection id="33" xr16:uid="{28237B97-AADB-4626-8672-07D43BD7FA05}" keepAlive="1" name="Query - Table031 (Page 47)" description="Connection to the 'Table031 (Page 47)' query in the workbook." type="5" refreshedVersion="7" background="1" saveData="1">
    <dbPr connection="Provider=Microsoft.Mashup.OleDb.1;Data Source=$Workbook$;Location=&quot;Table031 (Page 47)&quot;;Extended Properties=&quot;&quot;" command="SELECT * FROM [Table031 (Page 47)]"/>
  </connection>
  <connection id="34" xr16:uid="{5D845FB3-D184-41A1-B81D-F571AC148DD5}" keepAlive="1" name="Query - Table032 (Page 47)" description="Connection to the 'Table032 (Page 47)' query in the workbook." type="5" refreshedVersion="7" background="1" saveData="1">
    <dbPr connection="Provider=Microsoft.Mashup.OleDb.1;Data Source=$Workbook$;Location=&quot;Table032 (Page 47)&quot;;Extended Properties=&quot;&quot;" command="SELECT * FROM [Table032 (Page 47)]"/>
  </connection>
  <connection id="35" xr16:uid="{9B580AF4-088E-451D-A708-0116FFAEAC15}" keepAlive="1" name="Query - Table033 (Page 48)" description="Connection to the 'Table033 (Page 48)' query in the workbook." type="5" refreshedVersion="7" background="1" saveData="1">
    <dbPr connection="Provider=Microsoft.Mashup.OleDb.1;Data Source=$Workbook$;Location=&quot;Table033 (Page 48)&quot;;Extended Properties=&quot;&quot;" command="SELECT * FROM [Table033 (Page 48)]"/>
  </connection>
  <connection id="36" xr16:uid="{54407E45-9AA1-4393-BF2B-3DC8F1A12A6B}" keepAlive="1" name="Query - Table034 (Page 48)" description="Connection to the 'Table034 (Page 48)' query in the workbook." type="5" refreshedVersion="7" background="1" saveData="1">
    <dbPr connection="Provider=Microsoft.Mashup.OleDb.1;Data Source=$Workbook$;Location=&quot;Table034 (Page 48)&quot;;Extended Properties=&quot;&quot;" command="SELECT * FROM [Table034 (Page 48)]"/>
  </connection>
  <connection id="37" xr16:uid="{CB44CC87-9872-4C3C-93F7-439F68F4CB79}" keepAlive="1" name="Query - Table035 (Page 49)" description="Connection to the 'Table035 (Page 49)' query in the workbook." type="5" refreshedVersion="7" background="1" saveData="1">
    <dbPr connection="Provider=Microsoft.Mashup.OleDb.1;Data Source=$Workbook$;Location=&quot;Table035 (Page 49)&quot;;Extended Properties=&quot;&quot;" command="SELECT * FROM [Table035 (Page 49)]"/>
  </connection>
  <connection id="38" xr16:uid="{3183A9B7-5C0B-4329-BD26-7E8DBE1A9FD0}" keepAlive="1" name="Query - Table036 (Page 49-52)" description="Connection to the 'Table036 (Page 49-52)' query in the workbook." type="5" refreshedVersion="7" background="1" saveData="1">
    <dbPr connection="Provider=Microsoft.Mashup.OleDb.1;Data Source=$Workbook$;Location=&quot;Table036 (Page 49-52)&quot;;Extended Properties=&quot;&quot;" command="SELECT * FROM [Table036 (Page 49-52)]"/>
  </connection>
  <connection id="39" xr16:uid="{0E851BF8-AF14-4411-AD1B-DD25E25960F5}" keepAlive="1" name="Query - Table037 (Page 52)" description="Connection to the 'Table037 (Page 52)' query in the workbook." type="5" refreshedVersion="7" background="1" saveData="1">
    <dbPr connection="Provider=Microsoft.Mashup.OleDb.1;Data Source=$Workbook$;Location=&quot;Table037 (Page 52)&quot;;Extended Properties=&quot;&quot;" command="SELECT * FROM [Table037 (Page 52)]"/>
  </connection>
  <connection id="40" xr16:uid="{A1955A77-AAC4-49F4-A04A-ED4A51873137}" keepAlive="1" name="Query - Table038 (Page 53-54)" description="Connection to the 'Table038 (Page 53-54)' query in the workbook." type="5" refreshedVersion="7" background="1" saveData="1">
    <dbPr connection="Provider=Microsoft.Mashup.OleDb.1;Data Source=$Workbook$;Location=&quot;Table038 (Page 53-54)&quot;;Extended Properties=&quot;&quot;" command="SELECT * FROM [Table038 (Page 53-54)]"/>
  </connection>
  <connection id="41" xr16:uid="{D38C5B6E-4F85-4732-A575-3F17EC69D094}" keepAlive="1" name="Query - Table039 (Page 55)" description="Connection to the 'Table039 (Page 55)' query in the workbook." type="5" refreshedVersion="7" background="1" saveData="1">
    <dbPr connection="Provider=Microsoft.Mashup.OleDb.1;Data Source=$Workbook$;Location=&quot;Table039 (Page 55)&quot;;Extended Properties=&quot;&quot;" command="SELECT * FROM [Table039 (Page 55)]"/>
  </connection>
  <connection id="42" xr16:uid="{AAC5EE02-6A02-4FAA-809D-6AEDCE5448CC}" keepAlive="1" name="Query - Table040 (Page 56)" description="Connection to the 'Table040 (Page 56)' query in the workbook." type="5" refreshedVersion="7" background="1" saveData="1">
    <dbPr connection="Provider=Microsoft.Mashup.OleDb.1;Data Source=$Workbook$;Location=&quot;Table040 (Page 56)&quot;;Extended Properties=&quot;&quot;" command="SELECT * FROM [Table040 (Page 56)]"/>
  </connection>
  <connection id="43" xr16:uid="{B67A8316-12C4-47CF-9AAB-B2828102F993}" keepAlive="1" name="Query - Table041 (Page 56-59)" description="Connection to the 'Table041 (Page 56-59)' query in the workbook." type="5" refreshedVersion="7" background="1" saveData="1">
    <dbPr connection="Provider=Microsoft.Mashup.OleDb.1;Data Source=$Workbook$;Location=&quot;Table041 (Page 56-59)&quot;;Extended Properties=&quot;&quot;" command="SELECT * FROM [Table041 (Page 56-59)]"/>
  </connection>
  <connection id="44" xr16:uid="{EBCC458F-0CD9-4C2C-ABBC-3F5122AD1096}" keepAlive="1" name="Query - Table042 (Page 59-60)" description="Connection to the 'Table042 (Page 59-60)' query in the workbook." type="5" refreshedVersion="7" background="1" saveData="1">
    <dbPr connection="Provider=Microsoft.Mashup.OleDb.1;Data Source=$Workbook$;Location=&quot;Table042 (Page 59-60)&quot;;Extended Properties=&quot;&quot;" command="SELECT * FROM [Table042 (Page 59-60)]"/>
  </connection>
  <connection id="45" xr16:uid="{D0853EA2-F746-47DD-A92C-09973C4B3B9C}" keepAlive="1" name="Query - Table043 (Page 61-64)" description="Connection to the 'Table043 (Page 61-64)' query in the workbook." type="5" refreshedVersion="7" background="1" saveData="1">
    <dbPr connection="Provider=Microsoft.Mashup.OleDb.1;Data Source=$Workbook$;Location=&quot;Table043 (Page 61-64)&quot;;Extended Properties=&quot;&quot;" command="SELECT * FROM [Table043 (Page 61-64)]"/>
  </connection>
  <connection id="46" xr16:uid="{22668252-3137-498A-BC40-42BB6E254B74}" keepAlive="1" name="Query - Table044 (Page 64-67)" description="Connection to the 'Table044 (Page 64-67)' query in the workbook." type="5" refreshedVersion="7" background="1" saveData="1">
    <dbPr connection="Provider=Microsoft.Mashup.OleDb.1;Data Source=$Workbook$;Location=&quot;Table044 (Page 64-67)&quot;;Extended Properties=&quot;&quot;" command="SELECT * FROM [Table044 (Page 64-67)]"/>
  </connection>
  <connection id="47" xr16:uid="{A1B3EA03-5DBA-44E2-A742-6FD1DDF72F60}" keepAlive="1" name="Query - Table045 (Page 67-69)" description="Connection to the 'Table045 (Page 67-69)' query in the workbook." type="5" refreshedVersion="7" background="1" saveData="1">
    <dbPr connection="Provider=Microsoft.Mashup.OleDb.1;Data Source=$Workbook$;Location=&quot;Table045 (Page 67-69)&quot;;Extended Properties=&quot;&quot;" command="SELECT * FROM [Table045 (Page 67-69)]"/>
  </connection>
  <connection id="48" xr16:uid="{39E71C50-F79D-49C2-92EE-95D2AAA09504}" keepAlive="1" name="Query - Table046 (Page 69-75)" description="Connection to the 'Table046 (Page 69-75)' query in the workbook." type="5" refreshedVersion="7" background="1" saveData="1">
    <dbPr connection="Provider=Microsoft.Mashup.OleDb.1;Data Source=$Workbook$;Location=&quot;Table046 (Page 69-75)&quot;;Extended Properties=&quot;&quot;" command="SELECT * FROM [Table046 (Page 69-75)]"/>
  </connection>
  <connection id="49" xr16:uid="{A9E25996-3637-4006-B190-2282D5474845}" keepAlive="1" name="Query - Table047 (Page 75)" description="Connection to the 'Table047 (Page 75)' query in the workbook." type="5" refreshedVersion="7" background="1" saveData="1">
    <dbPr connection="Provider=Microsoft.Mashup.OleDb.1;Data Source=$Workbook$;Location=&quot;Table047 (Page 75)&quot;;Extended Properties=&quot;&quot;" command="SELECT * FROM [Table047 (Page 75)]"/>
  </connection>
  <connection id="50" xr16:uid="{2D239047-909D-483A-891E-F2B48E9D9A29}" keepAlive="1" name="Query - Table048 (Page 75-77)" description="Connection to the 'Table048 (Page 75-77)' query in the workbook." type="5" refreshedVersion="7" background="1" saveData="1">
    <dbPr connection="Provider=Microsoft.Mashup.OleDb.1;Data Source=$Workbook$;Location=&quot;Table048 (Page 75-77)&quot;;Extended Properties=&quot;&quot;" command="SELECT * FROM [Table048 (Page 75-77)]"/>
  </connection>
  <connection id="51" xr16:uid="{07081170-AEF6-4618-8CC2-62455D9B9248}" keepAlive="1" name="Query - Table049 (Page 78)" description="Connection to the 'Table049 (Page 78)' query in the workbook." type="5" refreshedVersion="7" background="1" saveData="1">
    <dbPr connection="Provider=Microsoft.Mashup.OleDb.1;Data Source=$Workbook$;Location=&quot;Table049 (Page 78)&quot;;Extended Properties=&quot;&quot;" command="SELECT * FROM [Table049 (Page 78)]"/>
  </connection>
  <connection id="52" xr16:uid="{974CA2C3-E295-4400-A830-F6AAA68383FA}" keepAlive="1" name="Query - Table050 (Page 78-81)" description="Connection to the 'Table050 (Page 78-81)' query in the workbook." type="5" refreshedVersion="7" background="1" saveData="1">
    <dbPr connection="Provider=Microsoft.Mashup.OleDb.1;Data Source=$Workbook$;Location=&quot;Table050 (Page 78-81)&quot;;Extended Properties=&quot;&quot;" command="SELECT * FROM [Table050 (Page 78-81)]"/>
  </connection>
  <connection id="53" xr16:uid="{063B3892-8FEE-4D01-B213-434B0B044172}" keepAlive="1" name="Query - Table051 (Page 81-82)" description="Connection to the 'Table051 (Page 81-82)' query in the workbook." type="5" refreshedVersion="7" background="1" saveData="1">
    <dbPr connection="Provider=Microsoft.Mashup.OleDb.1;Data Source=$Workbook$;Location=&quot;Table051 (Page 81-82)&quot;;Extended Properties=&quot;&quot;" command="SELECT * FROM [Table051 (Page 81-82)]"/>
  </connection>
</connections>
</file>

<file path=xl/sharedStrings.xml><?xml version="1.0" encoding="utf-8"?>
<sst xmlns="http://schemas.openxmlformats.org/spreadsheetml/2006/main" count="2976" uniqueCount="1493">
  <si>
    <t>HIMACHAL
PRADESH</t>
  </si>
  <si>
    <t>PUNJAB</t>
  </si>
  <si>
    <t>RIVER SUTLEJ BEFORE CONF. WITH RIVER SPITI AT
KHAB</t>
  </si>
  <si>
    <t>RIVER SUTLEJ AFTER CONF. WITH RIVER SPIT AT KHAB</t>
  </si>
  <si>
    <t>RIVER SUTLEJ D/S TIDONG HEP</t>
  </si>
  <si>
    <t>RIVER SUTLEJ BEFORE CONFLUENCES WITH RIVER
TIDONG</t>
  </si>
  <si>
    <t>RIVER SUTLEJ AFTER CONFLUENCES WITH RIVER
TIDONG</t>
  </si>
  <si>
    <t>RIVER SUTLEJ BEFORE CONFLUENCES OF RIVER
BASPA</t>
  </si>
  <si>
    <t>RIVER SUTLEJ D/S POWER HOUSE KASHANG HEP</t>
  </si>
  <si>
    <t>RIVER SUTLEJ AFTER CONF. OF RIVER BASPA AT
KARCHAM DAM</t>
  </si>
  <si>
    <t>RIVER SUTLEJ AT WANGTOO BRIDGE</t>
  </si>
  <si>
    <t>RIVER SUTLEJ AFTER CONFLUENCES OF RIVER BASPA</t>
  </si>
  <si>
    <t>RIVER SUTLEJ D/S TRT OF RAMPUR HYDEL ELECTRIC
PROJECT</t>
  </si>
  <si>
    <t>RIVER SUTLEJ AT U/S RAMPUR</t>
  </si>
  <si>
    <t>RIVER SUTLEJ AT D/S RAMPUR</t>
  </si>
  <si>
    <t>RIVER SUTLEJ AT U/S TATAPANI</t>
  </si>
  <si>
    <t>RIVER SUTLEJ U/S IANDFILL SITE RAMPUR</t>
  </si>
  <si>
    <t>RIVER STLUJ D/S LANDFILL SITE RAMPUR</t>
  </si>
  <si>
    <t>RIVER SUTLEJ D/S ACC BARMANA</t>
  </si>
  <si>
    <t>RIVER SUTLEJ NEAR LUHNOO GROUND</t>
  </si>
  <si>
    <t>RIVER SUTLEJ BEFORE CONFLUENCE WITH GANVI
KHAND</t>
  </si>
  <si>
    <t>RIVER SUTLEJ AFTER CONFLUENCE WITH GANVI KHAD</t>
  </si>
  <si>
    <t>RIVER SUTLEJ AT NANGAL (H.P.)</t>
  </si>
  <si>
    <t>RIVER SUTLEJ U/S OF EXIT POINT OF DEHAR POWER
HOUSE</t>
  </si>
  <si>
    <t>RIVER SUTLEJ D/S OF EXIT POINT OF DEHAR POWER
HOUSE</t>
  </si>
  <si>
    <t>RIVER SUTLEJ D/S BHAKHRA</t>
  </si>
  <si>
    <t>RIVER SUTLEJ U/S AT OLINDA, NEAR BHAKRA DAM, H.P.</t>
  </si>
  <si>
    <t>RIVER SUTLEJ D/S OLINDA, NEAR BHAKRA DAM, H.P.</t>
  </si>
  <si>
    <t>RIVER SUTLEJ AT NOORPUR BEDI ROAD (PUNJAB)</t>
  </si>
  <si>
    <t>RIVER SUTLEJ AT D/S KIRATPUR SAHIB, PUNJAB</t>
  </si>
  <si>
    <t>RIVER SUTLEJ AT D/S NFL, PUNJAB</t>
  </si>
  <si>
    <t>RIVER SUTLEJ AT 100 MT. D/S OF PACL, NANGAL</t>
  </si>
  <si>
    <t>RIVER SUTLEJ AT ANANDPUR SAHIB</t>
  </si>
  <si>
    <t>RIVER SUTLEJ AT BUNGA SAHIB</t>
  </si>
  <si>
    <t>RIVER SUTLEJ AT PHILLAUR U/S</t>
  </si>
  <si>
    <t>RIVER SUTLEJ AT PHAGWARA U/S (CHAHERU BRIDGE)</t>
  </si>
  <si>
    <t>RIVER SUTLEJ AT PHAGWARA D/S (KANGANIWAL
BRIDGE)</t>
  </si>
  <si>
    <t>RIVER SUTLEJ AT LUDHIANA U/S</t>
  </si>
  <si>
    <t>RIVER SUTLEJ AT LUDHIANA D/S</t>
  </si>
  <si>
    <t>RIVER SUTLEJ AT 100M U/S OF HEADWORKS, NANGAL</t>
  </si>
  <si>
    <t>RIVER SUTLEJ AT 100M D/S , NANGAL</t>
  </si>
  <si>
    <t>RIVER SUTLEJ AT 1 KM. D/S OF ZENITH, PUNJAB</t>
  </si>
  <si>
    <t>RIVER SUTLEJ AT U/S HEAD WORKS ROPAR</t>
  </si>
  <si>
    <t>RIVER SUTLEJ AT U/S BUDHA NALLAH (UPPER), PUNJAB</t>
  </si>
  <si>
    <t>RIVER SUTLEJ AT 100M D/S BUDHA NALA CONFL.,
LUDHIANA</t>
  </si>
  <si>
    <t>RIVER SUTLEJ AT BRIDGE HARIKE, AMRITSAR</t>
  </si>
  <si>
    <t>RIVER SUTLEJ AT JALANDHAR U/S (PEERU SHAH KA
DARGAH)</t>
  </si>
  <si>
    <t>RIVER SUTLEJ AT JALANDHAR D/S (MALSIAN BRIDGE)</t>
  </si>
  <si>
    <t>RIVER SUTLEJ AT BOAT BDG. DHARMKOTNAKODAR
ROAD, JALANDHAR</t>
  </si>
  <si>
    <t>RIVER SUTLEJ AT D/S EAST BEIN, PUNJAB</t>
  </si>
  <si>
    <t>RIVER SUTLEJ AT U/S HUSSANIWALA - H/W FEROZEPUR,
PUNJAB</t>
  </si>
  <si>
    <t>RIVER SUTLEJ AT D/S HUSSANIWALA-H/W FEROZEPUR,
PUNJAB</t>
  </si>
  <si>
    <t>RIVER RAVI AT RANJIT SAGAR DAM, AT PANAGAR
(BASOHIL)</t>
  </si>
  <si>
    <t>JAMMU &amp;
KASHMIR</t>
  </si>
  <si>
    <t>RIVER RAVI AT DAM-SITE AT THEIN</t>
  </si>
  <si>
    <t>RIVER RAVI AT LAKHANPUR, 1 KM D/S FROM
MADHOPUR BRIDGE</t>
  </si>
  <si>
    <t>RIVER RAVI U/S CHAMBA</t>
  </si>
  <si>
    <t>RIVER RAVI AT U/S MADHOPUR</t>
  </si>
  <si>
    <t>RIVER RAVI CHAMERA-I RESERVOIR</t>
  </si>
  <si>
    <t>RIVER RAVI D/S CHAMERA- III HEP DAM</t>
  </si>
  <si>
    <t>RIVER RAVI AT D/S OF CHAMBA TOWN</t>
  </si>
  <si>
    <t>RIVER RAVI U/S STP AT BHARGA</t>
  </si>
  <si>
    <t>RIVER RAVI D/S STP AT BHAGOT</t>
  </si>
  <si>
    <t>RIVER RAVI AT LAKHANPUR,</t>
  </si>
  <si>
    <t>RIVER RAVI AT MADHOPUR</t>
  </si>
  <si>
    <t>RIVER RAVI AT U/S OF MADHOPUR HEADWORKS,
GURDASPUR, PUNJAB</t>
  </si>
  <si>
    <t>RIVER PARVATI BEFORE CONF. TO RIVER BEAS AT
BHUNTER</t>
  </si>
  <si>
    <t>RIVER SAINJ D/S LARJI</t>
  </si>
  <si>
    <t>RIVER PARVATI AT U/S MANIKARAN</t>
  </si>
  <si>
    <t>RIVER PARVATI AT D/S MANIKARAN</t>
  </si>
  <si>
    <t>RIVER SIRSA U/S SITOMAJRI NALLAH</t>
  </si>
  <si>
    <t>RIVER SIRSA D/S NALAGARH BRIDGE</t>
  </si>
  <si>
    <t>RIVER SIRSA D/S NALAGARH TOWN</t>
  </si>
  <si>
    <t>RIVER SIRSA U/S SANDHOLI NALLAH</t>
  </si>
  <si>
    <t>RIVER BALD D/S LANDFILLSITE AT BADDI</t>
  </si>
  <si>
    <t>RIVER SIRSA D/S HOUSING BOARD NALLAH</t>
  </si>
  <si>
    <t>RIVER SIRSA AFTER CONF. TO RIVER RATTA</t>
  </si>
  <si>
    <t>RIVER SARSA AT BADDI , ,GHANOLI VILLAGE) PUNJAB</t>
  </si>
  <si>
    <t>RIVER CONFLUENCE POINT OF SARSA NADI WITH
SUTLEJ, NR VILL ASPUR, ROOPNAGAR</t>
  </si>
  <si>
    <t>RIVER BAIRA SIUL D/S SURGANI</t>
  </si>
  <si>
    <t>SUKETI KHAD BEFORE CONF. WITH RIVER BEAS</t>
  </si>
  <si>
    <t>RIVER BINWA AT D/S PAPROLA/BAIJNATH</t>
  </si>
  <si>
    <t>NEUGAL KHAD D/S THURAL</t>
  </si>
  <si>
    <t>RIVER SPITI BEFORE CONF.WITH RIVER SUTLEJ AT
KHAB</t>
  </si>
  <si>
    <t>RIVER BASPA U/S RESERVOIR BASPA HEP AT KUPPA</t>
  </si>
  <si>
    <t>RIVER ANDHRA B/C TO RIVER PABBAR AT CHIRGAON</t>
  </si>
  <si>
    <t>BANOI KHAD AT KALAPUL ON CANT ROAD
DHARAMSHALA</t>
  </si>
  <si>
    <t>RIVER BANGANGA (BATHING GHAT), KATRA,</t>
  </si>
  <si>
    <t>RIVER BANGANGA (IN FRONT OF PONY SHED NEAR
REASI BRIDGE)KATRA</t>
  </si>
  <si>
    <t>RIVER BASANTER U/S (R.H.S) SAMBA (BELOW NH-1A
BRIDGE),</t>
  </si>
  <si>
    <t>RIVER BASANTER D/S(R.H.S.) SAMBA (AT CHAK MANGA
GUJJAR</t>
  </si>
  <si>
    <t>RIVER TAWI AT SURAJPUR CHATHA(10 KM D/S TAWI
BRIDGE)BELOW BRIDGE NEAR CHATHA MSW DUMPING
SITE, J&amp;K</t>
  </si>
  <si>
    <t>RIVER CHENAB AT L.H.S.(BELOW BRIDGE CHENAB)</t>
  </si>
  <si>
    <t>RIVER CHENAB AT BLIND CURVE SHAMSHAN GHAT (1.5
KM U/S FROM SPOT)</t>
  </si>
  <si>
    <t>RIVER CHENAB AT CHADRA GAON VIEW POINT(4 KM U/S
FROM SPOT)</t>
  </si>
  <si>
    <t>RIVER CHENAB AT JAL PATAN MANDIR AFTER MEETING
WITH MAIN DRAIN OF AKHNOOR CITY(1.5 KMD/S FROM
SPOT)</t>
  </si>
  <si>
    <t>RIVER DEVAK UDHAMPUR(NEAR SHIV MANDIR
D/S)L.H.S.</t>
  </si>
  <si>
    <t>RIVER DEVAK AT UTTERBEHNI</t>
  </si>
  <si>
    <t>RIVER DEVAK AT PURMANDAL, NEAR TEMPLE</t>
  </si>
  <si>
    <t>RIVER DEVAK 2 KM D/S FROM SHIV MANDIR AT
UDHAMPUR,</t>
  </si>
  <si>
    <t>RIVER DEVAK ABOUT 10 KM D/S FROM SHIV MANDIR,
BELOW RAILWAY BRIDGE, UDHAMPUR</t>
  </si>
  <si>
    <t>SURAN RIVER BELOW SHER-E-KASHMIR BRIDGE AT
POONCH</t>
  </si>
  <si>
    <t>RIVER JHELUM AT BARAMULLA D/S</t>
  </si>
  <si>
    <t>RIVER JHELAM AT DALAGATE (INLET), SRINAGAR</t>
  </si>
  <si>
    <t>RIVER JHELAM AT CHATTABAL WEIR (OUTLET</t>
  </si>
  <si>
    <t>RIVER JHELUM AT VERINAG</t>
  </si>
  <si>
    <t>RIVER JHELUM AT SANGAM, CONFLUENCE POINT OF
VISHAV NALLAH</t>
  </si>
  <si>
    <t>RIVER JHELUM AT AWANTIPORA</t>
  </si>
  <si>
    <t>RIVER JHELUM AT PAMPORE</t>
  </si>
  <si>
    <t>RIVER JHELUM AT SOPORE, CONFLUENCE POINT OF
WULAR LAKE</t>
  </si>
  <si>
    <t>RIVER JHELUM AT BIJEHARA</t>
  </si>
  <si>
    <t>RIVER JHELUM AT PANTHACHOWK</t>
  </si>
  <si>
    <t>RIVER TAWI AT SHETALI LIFTING POINT NAGROTA(5KM
U/S TAWI BRIDGE)</t>
  </si>
  <si>
    <t>RIVER TAWI AT BAGH-E-BAHU LIFTING POINT(1 KM U/S
TAWI BRIDGE)</t>
  </si>
  <si>
    <t>RIVER TAWI AT JAMMU U/S, (TAWI BRIDGE )</t>
  </si>
  <si>
    <t>RIVER TAWI BELOW TAWI BRIDGE</t>
  </si>
  <si>
    <t>RIVER TAWI BAGHWATI NAGAR (2KM D/S TAWI BRIDGE</t>
  </si>
  <si>
    <t>RIVER TAWI AT BELICHARANA(4KM D/S TAWI BRIDGE)</t>
  </si>
  <si>
    <t>RIVER TAWI AT 1 KM D/S BELOW STP DISCHARGE POINT
AT BHAGWATI NAGAR</t>
  </si>
  <si>
    <t>RIVER TAWI AT BALOL NALLAH, NEAR NIT COLLEGE,
MIRAN SAHIB, BEFORE MIXING</t>
  </si>
  <si>
    <t>RIVER SINDH AT SONAMARG D/S</t>
  </si>
  <si>
    <t>RIVER SINDH AT WAIL BRIDGE</t>
  </si>
  <si>
    <t>RIVER SINDH AT DUDERHAMA</t>
  </si>
  <si>
    <t>RIVER SINDH AT RANGIL, SRINAGAR</t>
  </si>
  <si>
    <t>MANJHI KHAD U/S DHARAMSHALA OF KHANIYARA</t>
  </si>
  <si>
    <t>MANJHI KHAD D/S DHARAMSHALA AT CHETRU</t>
  </si>
  <si>
    <t>MOL KHAD U/S PALAMPUR</t>
  </si>
  <si>
    <t>MOL KHAD D/S PALAMPUR</t>
  </si>
  <si>
    <t>RIVER TIRTHAN BEFORE CONF. TO RIVER SUTLEJ</t>
  </si>
  <si>
    <t>RAW WATER FOR LWSS OF NAUTI KHAD AT GUMMA
(BASANTPUR)</t>
  </si>
  <si>
    <t>DHAULI KHAD AT CHARAN GANGA MEDI</t>
  </si>
  <si>
    <t>BANER KHAD U/S CHAMUNDA TEMPLE</t>
  </si>
  <si>
    <t>BANER KHAD D/S CHAMUNDA TEMPLE</t>
  </si>
  <si>
    <t>CHARAN KHAND U/S BHAGSUNAG</t>
  </si>
  <si>
    <t>GAJ KHAD NEAR WATER SUPPLY SCHEME
DHARAMSHALA CANTT.</t>
  </si>
  <si>
    <t>BATHER KHAD WATER SUPPLY SCHEME AT DAL LAKE</t>
  </si>
  <si>
    <t>NEUGAL KHAD NEAR WATER SUPPLY SCHEME AT
BANDLA, PALAMPUR</t>
  </si>
  <si>
    <t>RIVER RATTA BEFORE CONF. TO RIVER SIRSA</t>
  </si>
  <si>
    <t>RIVER BHAWA KHAD AT RESERVIOR SITE OF ALLIAN
DUHANGAN HEP,PRINI,MANALI</t>
  </si>
  <si>
    <t>CHAKKI KHAD AT LAHROO D/S OF PHINNA SINGH
IRRIGATION SCHEME</t>
  </si>
  <si>
    <t>RIVER GAWKADAL, SRG (SHERGHARI, SRG)</t>
  </si>
  <si>
    <t>RIVER UHL D/S OF IIT, MANDI</t>
  </si>
  <si>
    <t>SUKETI KHAD D/S SWM SITE AT SUNDER NAGAR</t>
  </si>
  <si>
    <t>SEER KHAD U/S INTAKE POINT OF WSS GHUMARWIN
TOWN</t>
  </si>
  <si>
    <t>RIVER BHAGGA U/S BEFORE CONFLUENCE TO RIVER
CHENAB</t>
  </si>
  <si>
    <t>RIVER CHANDRA U/S BEFORE CONFLUENCE TO RIVER
CHENAB</t>
  </si>
  <si>
    <t>RIVER CHENAB D/S AT TANDI (L &amp; S)</t>
  </si>
  <si>
    <t>RIVER BHAGIRATHI AT GANGOTRI,</t>
  </si>
  <si>
    <t>UTTARAKHAND</t>
  </si>
  <si>
    <t>RIVER MANDAKINI AT KEDARNATH</t>
  </si>
  <si>
    <t>RIVER ALAKNANDA AT BADRINATH</t>
  </si>
  <si>
    <t>RIVER ALAKNANDA B/C TO RIVER MANDAKINI AT RUDRA
PRAYAG</t>
  </si>
  <si>
    <t>RIVER MANDAKINI B/C TO RIVER ALKALNADA AT
RUDRAPRAYAG,</t>
  </si>
  <si>
    <t>RIVER ALAKNANDA A/C OF RIVER MANDAKINI AND
RIVER ALAKNANDA AT RUDRAPRAYAG</t>
  </si>
  <si>
    <t>RIVER ALAKNANDA B/C TORIVER BHAGIRATHI AT
DEVPRAYAG,</t>
  </si>
  <si>
    <t>RIVER BHAGIRATHI B/C TO RIVER ALAKNANDA AT
DEVPRAYAG,DIST-TEHRI GARHWAL</t>
  </si>
  <si>
    <t>RIVER GANGA AFTER CONFLUENCE OF RIVER
BHAGIRATHI AND RIVER ALAKNANDA AT DEVPRAYAG
,DIST-TEFRI GARHWAL</t>
  </si>
  <si>
    <t>RIVER GANGA AT SWARG ASHRAM ,RISHIKESH</t>
  </si>
  <si>
    <t>RIVER GANGA U/S AT LAXMANJHULA,RISHIKESH</t>
  </si>
  <si>
    <t>RIVER GANGA NEAR VISTHAPHIT COLONY, RISHIKESH</t>
  </si>
  <si>
    <t>RIVER GANGA D/S AT BAIRAAJ,RISHIKESH</t>
  </si>
  <si>
    <t>RIVER GANGA AFTER CONFLUENCE OF SONG NEAR
SATYANARAYAN TEMPLE D/S RAIWALA, DEHRADUN</t>
  </si>
  <si>
    <t>RIVER GANGA AT HAR-KI-PAURI GHAT</t>
  </si>
  <si>
    <t>RIVER GANGA U/S AT ABINDUGHAT, DUDHIYABAD,
HARIDWAR</t>
  </si>
  <si>
    <t>RIVER GANGA D/S AT BALKUMARI MANDIR, AJEETPUR,
HARIDWAR</t>
  </si>
  <si>
    <t>RIVER GANGA NEAR BISHANPUR KUNDI, HARIDWAR</t>
  </si>
  <si>
    <t>UPPER GANGA CANAL D/S AT ROORKEE, HARIDWAR</t>
  </si>
  <si>
    <t>RIVER GANGA AT SULTANPUR (UTTARAKHAND)</t>
  </si>
  <si>
    <t>RIVER GANGA AT BIJNOR (U.P.)</t>
  </si>
  <si>
    <t>UTTAR
PRADESH</t>
  </si>
  <si>
    <t>RIVER GANGA AT U/S BRIJ GHAT ,GHARMUKTESHWAR</t>
  </si>
  <si>
    <t>RIVER GANGA AT D/S GARHMUKTESHWAR, U.P</t>
  </si>
  <si>
    <t>RIVER GANGA U/S, ANOOPSHAHAR</t>
  </si>
  <si>
    <t>RIVER GANGA D/S, ANOOPSHAHAR</t>
  </si>
  <si>
    <t>RIVER GANGA AT NARORA (BULANDSAHAR), U.P.</t>
  </si>
  <si>
    <t>RIVER GANGA AT KACHHLA GHAT, ALIGARH</t>
  </si>
  <si>
    <t>RIVER GANGA AT GHATIYAGHAT FARRUKABAD</t>
  </si>
  <si>
    <t>RIVER GANGA AT KANNAUJ U/S (NEAR MEHNDIGHAT
BRIDGE), U.P</t>
  </si>
  <si>
    <t>RIVER GANGA AT DURJANPUR, KANNAUJ D/S, U.P</t>
  </si>
  <si>
    <t>RIVER GANGAÂ NANAMAU GANGA BRIDGE, LUCKNOW
MOHAN-HASANGANJ- RASULABAD MARG, KARTI
AKBERPUR SENG</t>
  </si>
  <si>
    <t>RIVER GANGA AT BITHOOR (KANPUR), U.P.</t>
  </si>
  <si>
    <t>RIVER GANGA AT BATHING GHAT (BHARAOGHAT)</t>
  </si>
  <si>
    <t>RIVER GANGA AT KANPUR U/S (SHUKLAGANJ U/S), U.P</t>
  </si>
  <si>
    <t>RIVER GANGA AT D/S (SHUKLAGANJ)</t>
  </si>
  <si>
    <t>RIVER GANGA AT BATHING GHAT (GOLA GHAT)</t>
  </si>
  <si>
    <t>RIVER GANGA AT BATHING GHAT (JAJMAU BRIDGE)</t>
  </si>
  <si>
    <t>RIVER GANGA AT KANPUR D/S (JANA VILLAGE), U.P</t>
  </si>
  <si>
    <t>RIVER GANGA PURANA RAJAPUR, RAJAPUR, KANPUR</t>
  </si>
  <si>
    <t>RIVER GANGA A/C PANDU RIVER AT MADEVESHWAR
BABA TAMPLE DEOMAI AHT.</t>
  </si>
  <si>
    <t>RIVER GANGA AT DALMAU (RAI BAREILLY), U.P.</t>
  </si>
  <si>
    <t>RIVER GANGA AT KALA KANKAR, RAEBARELI</t>
  </si>
  <si>
    <t>RIVER GANGA AT KADAGHAT, KAUSHAMABI</t>
  </si>
  <si>
    <t>RIVER GANGA AT GANGA BRIDGE .NH19, DHEEMI</t>
  </si>
  <si>
    <t>RIVER GANGA AT PRAYAGRAJ (RASOOLABAD), U.P.</t>
  </si>
  <si>
    <t>RIVER GANGA AT PRAYAGRAJ D/S (SANGAM), U.P.</t>
  </si>
  <si>
    <t>RIVER GANGA B/CÂ TAMSA RIVER AT PRACHIN
SHIVALAYA DUMDUMA GHAT</t>
  </si>
  <si>
    <t>RIVER GANGA A/C TAMSA RIVER, SIRSA, SON BARSA</t>
  </si>
  <si>
    <t>RIVER GANGA U/S, VINDHYACHAL, MIRZAPUR</t>
  </si>
  <si>
    <t>RIVER GANGA D/S, MIRZAPUR</t>
  </si>
  <si>
    <t>RIVER GANGA AT CHUNAR</t>
  </si>
  <si>
    <t>RIVER GANGA AT VARANASI U/S NEAR VISHWASUNDARI
BRIDGE B/C DRAINS( NAGWA NALA, SAMNE GHAT
NALA,NAKHHI NALA)</t>
  </si>
  <si>
    <t>RIVER GANGA AT VARANASI D/S , A/C RIVER VARUNA ,
U.P</t>
  </si>
  <si>
    <t>RIVER GANGAÂ B/C GOMTI RIVER AT BALUA GHAT
BRIDGE, VARANASI</t>
  </si>
  <si>
    <t>RIVER GANGA A/C GOMTI RIVER, BHUSAULA</t>
  </si>
  <si>
    <t>RIVER GANGAÂ ZAMANIA GANGA BRIDGE , ZAMANIZ,
UP</t>
  </si>
  <si>
    <t>RIVER GANGA AT TARIGHAT (GHAZIPUR), U.P</t>
  </si>
  <si>
    <t>RIVER GANGA AT U/S JAIL GHAT, BUXAR</t>
  </si>
  <si>
    <t>BIHAR</t>
  </si>
  <si>
    <t>RIVER GANGA CHUSA AT BUXAR</t>
  </si>
  <si>
    <t>RIVER GANGA AT BUXAR, RAMREKHAGHAT</t>
  </si>
  <si>
    <t>RIVER GANGA AT D/S BUXAR NEAR VEER KUNWAR
SINGH ROAD BRIDGE</t>
  </si>
  <si>
    <t>RIVER GANGA AT ARA- CHAPRA ROAD BRIDGE
(KOIILWAR BARHARA-CHAPRA ROAD)</t>
  </si>
  <si>
    <t>RIVER GANGA AT THE BALUGHAT, DORIGANJ, SARAN</t>
  </si>
  <si>
    <t>RIVER GANGA AT MAA AMBIKA ASTHAN, AAMI, SARAN</t>
  </si>
  <si>
    <t>RIVER GANGA NEAR DANAPUR (NEAR PIPA PUL) ,PATNA</t>
  </si>
  <si>
    <t>RIVER GANGA AT DIGHA, NEAR J P SETU, PATNA U/S</t>
  </si>
  <si>
    <t>RIVER GANGA AT GANDHIGHAT, NIT PATNA</t>
  </si>
  <si>
    <t>RIVER GANGA AT GULABI GHAT, PATNA</t>
  </si>
  <si>
    <t>RIVER GANGA AT PATNA D/S (GANGA BRIDGE),
GAIGHAT, PATNA</t>
  </si>
  <si>
    <t>RIVER GANGA AT MALSALAMI, PATNA CITY, PATNA</t>
  </si>
  <si>
    <t>RIVER GANGA AT KACHCHI-DARGAH-BIDUPUR NEAR
ROAD BRIDGE, PATNA</t>
  </si>
  <si>
    <t>RIVER GANGA AT TRIVENI GHAT, PATNA</t>
  </si>
  <si>
    <t>RIVER GANGA AT KEWALA GHAT,FATUHA, PATNA</t>
  </si>
  <si>
    <t>RIVER GANGA AT BAKHTIYARPUR-TAJPUR BRIDGE ON
GANGA, ATHMALGOLA, PATNA</t>
  </si>
  <si>
    <t>RIVER GANGA AT UMA NATH MANDIR,BARH</t>
  </si>
  <si>
    <t>RIVER GANGA U/S OF M/S NTPC, BARH WATER INTAKE
POINT, BARH</t>
  </si>
  <si>
    <t>RIVER GANGA D/S OF M/S NTPC, BARH WATER INTAKE
POINT,PATHANICHAK, BINDTOLA BARH</t>
  </si>
  <si>
    <t>RIVER GANGA AT MOKAMA (U/S), MAHADEO ASTHAN,
PATNA</t>
  </si>
  <si>
    <t>RIVER GANGA AT MOKAMA (D/S), NEAR RAJENDRA
BRIDGE , SIMIRIYA GHAT</t>
  </si>
  <si>
    <t>RIVER GANGA AT BARAHIYA, NEPALITOLA, MARANCHI,
HATHIDAH AT MOKAMA, PATNA</t>
  </si>
  <si>
    <t>RIVER GANGA AT U/S MUNGER KASHATHARNI GHAT</t>
  </si>
  <si>
    <t>RIVER GANGA AT MUNGER D/S, CREAMINATION GHAT</t>
  </si>
  <si>
    <t>RIVER GANGA AT U/S AJGABINATH MANDIR
SULTANGANJ, BHAGALPUR</t>
  </si>
  <si>
    <t>RIVER GANGA D/S CREMINATION GHAT AT
SULTANGANJ, BHAGALPUR</t>
  </si>
  <si>
    <t>RIVER GANGA AT CHAMPANAGAR, RASIDPUR,
BHAGALPUR</t>
  </si>
  <si>
    <t>RIVER GANGA AT BHAGALPUR, OPP. KUPPA GHAT</t>
  </si>
  <si>
    <t>RIVER GANGA AT WATER INTAKE POINT, BHAGALPUR</t>
  </si>
  <si>
    <t>RIVER GANGA AT D/S BHAGALPUR NEAR BARARIGHAT</t>
  </si>
  <si>
    <t>RIVER GANGA, JHAJGHAT AT KAHALGAON</t>
  </si>
  <si>
    <t>RIVER GANGA D/S NEAR CREMATION GHAT, KHALGOAN</t>
  </si>
  <si>
    <t>RIVER GANGA AT MANJHIGHAT DIST. CHHAPRA(BIHAR)</t>
  </si>
  <si>
    <t>RIVER GANGA U/S NEAR LCT GHAT</t>
  </si>
  <si>
    <t>JHARKHAND</t>
  </si>
  <si>
    <t>RIVER GANGA D/S NEAR JANTA GHAT</t>
  </si>
  <si>
    <t>RIVER GANGA AT RAJMAHAL, BIHAR</t>
  </si>
  <si>
    <t>RIVER GANGA AT SANGI DALAN</t>
  </si>
  <si>
    <t>RIVER GANGA AT FARAKKA, MUSHIDABAD</t>
  </si>
  <si>
    <t>WEST BENGAL</t>
  </si>
  <si>
    <t>RIVER GANGA AT BEHRAMPORE, (GORA
BAZAR),MURSHIDABAD</t>
  </si>
  <si>
    <t>RIVER GANGA AT BAHARAMPORE, MURSHIDABAD,
WEST BENGAL</t>
  </si>
  <si>
    <t>RIVER GANGA AT BEHRAMPORE(KHAGRA),
MURSHIDABAD</t>
  </si>
  <si>
    <t>RIVER NABADIP ON GANGA, GHOSHPARA NEAR
MONIPURGHAT,NADIA</t>
  </si>
  <si>
    <t>RIVER TRIBENI ON GANGA, NEAR BURNING GHAT,
HOOGHLY</t>
  </si>
  <si>
    <t>RIVER GANGA AT PALTA WEST BENGAL</t>
  </si>
  <si>
    <t>RIVER GANGA AT PALTA, SHITALTALA,</t>
  </si>
  <si>
    <t>RIVER GANGA AT SERAMPORE, HOOGHLY,WEST
BENGAL</t>
  </si>
  <si>
    <t>RIVER GANGA AT DAKSHMINESHWAR, KOLKATA, WEST
BENGAL</t>
  </si>
  <si>
    <t>RIVER GANGA AT HOWRAH-SHIVPUR WEST BENGAL</t>
  </si>
  <si>
    <t>RIVER GANGA AT GARDEN REACH, KOLKATA, WEST
BENGAL</t>
  </si>
  <si>
    <t>RIVER GANGA AT ULUBERIA , HOWRAH,WEST BENGAL</t>
  </si>
  <si>
    <t>RIVER GANGA AT DIAMOND HARBOUR, 24 PARGANAS
(S)WEST BENGAL</t>
  </si>
  <si>
    <t>RIVER GANGA AT PATIKALI NEAR DURGA CHAK WEST
BENGAL</t>
  </si>
  <si>
    <t>Station
Code</t>
  </si>
  <si>
    <t>Monitoring Location</t>
  </si>
  <si>
    <t>State</t>
  </si>
  <si>
    <t>RIVER BEAS AT U/S MANALI</t>
  </si>
  <si>
    <t>RIVER BEAS D/S OF WASTE PROCESSING FACILITY AT
MANALI</t>
  </si>
  <si>
    <t>RIVER BEAS U/S BEFORE CONF. OF MANALSU NALLAH</t>
  </si>
  <si>
    <t>RIVER BEAS D/S OF WASTE PROCESSING FACILITY AT
KULLU</t>
  </si>
  <si>
    <t>RIVER BEAS D/S AUT</t>
  </si>
  <si>
    <t>RIVER BEAS, D/S PANDOH DAM</t>
  </si>
  <si>
    <t>BEAS RIVER, U/S OF MANDI TOWN</t>
  </si>
  <si>
    <t>RIVER BEAS AT D/S JAISINGHPUR</t>
  </si>
  <si>
    <t>RIVER BEAS D/S NADAUN BRIDGE, VILL BHADOLI</t>
  </si>
  <si>
    <t>RIVER YAMUNA AT YAMUNOTRI</t>
  </si>
  <si>
    <t>RIVER YAMUNA AT HANUMANCHATTI</t>
  </si>
  <si>
    <t>RIVER YAMUNA AT U/S OF LAKHWAR DAM</t>
  </si>
  <si>
    <t>RIVER YAMUNA AT DAK PATHER (UTTARAKHAND)</t>
  </si>
  <si>
    <t>RIVER YAMUNA AT U/S DAKPATHER, DEHRADUN</t>
  </si>
  <si>
    <t>RIVER YAMUNA AT PONTA SAHIB (H.P)</t>
  </si>
  <si>
    <t>RIVER YAMUNA U/S PAONTA SAHIB</t>
  </si>
  <si>
    <t>RIVER YAMUNA D/S PAONTA SAHIB</t>
  </si>
  <si>
    <t>RIVER YAMUNA U/S SUN PHARMACEUTICALS</t>
  </si>
  <si>
    <t>RIVER YAMUNA D/S SUN PHARMACEUTICALS</t>
  </si>
  <si>
    <t>RIVER YAMUNA AT BURIYA U/S JAGADHARI, MANDOLI,
HARYANA</t>
  </si>
  <si>
    <t>HARYANA</t>
  </si>
  <si>
    <t>RIVER YAMUNA AT HATHNIKUND</t>
  </si>
  <si>
    <t>RIVER YAMUNA AT PALLA</t>
  </si>
  <si>
    <t>DELHI</t>
  </si>
  <si>
    <t>RIVER YAMUNA AT HASANPUR</t>
  </si>
  <si>
    <t>RIVER YAMUNA AT MOHENA PALWAL ROAD, HARYANA</t>
  </si>
  <si>
    <t>RIVER YAMUNA AT SHAHPUR</t>
  </si>
  <si>
    <t>RIVER YAMUNA AT KESIGHAT, VRINDAVAN</t>
  </si>
  <si>
    <t>RIVER YAMUNA AT MATHURA U/S ,NEAR GAUGHAT U.P.</t>
  </si>
  <si>
    <t>RIVER YAMUNA AT VISHRAMGHAT, MATHURA</t>
  </si>
  <si>
    <t>RIVER YAMUNA AT MATHURA D/S , NEAR SHAMSHAN
GHAT U.P.</t>
  </si>
  <si>
    <t>RIVER YAMUNA AT AGRA U/S, U.P.(KAILASH GHAT)</t>
  </si>
  <si>
    <t>RIVER YAMUNA AT D/S OF AGRA, U.P.</t>
  </si>
  <si>
    <t>RIVER YAMUNA AT BATESWAR, U.P</t>
  </si>
  <si>
    <t>RIVER YAMUNA AT ETAWAH D/S</t>
  </si>
  <si>
    <t>RIVER YAMUNA AT UDI</t>
  </si>
  <si>
    <t>RIVER YAMUNA AT ETAWAH, U.P.</t>
  </si>
  <si>
    <t>RIVER YAMUNA AT JUHIKA B/C WITH CHANBAL,
ETAWAH, U.P</t>
  </si>
  <si>
    <t>RIVER YAMUNA AT ETAWAH</t>
  </si>
  <si>
    <t>RIVER YAMUNA A/C OF CHAMBAL AT SHERGARH,
JUHIKA (U.P)</t>
  </si>
  <si>
    <t>RIVER YAMUNA AT HAMIRPUR</t>
  </si>
  <si>
    <t>RIVER YAMUNA AT PRAYAGRAJ D/S (BALUA GHAT),
U.P.</t>
  </si>
  <si>
    <t>RIVER TONS AT TIUNI (HIMACHAL PRADESH/UTTRA
KHAND BORDER)</t>
  </si>
  <si>
    <t>RIVER TONS AT HARIPUR (U.K.)</t>
  </si>
  <si>
    <t>RIVER GIRI D/S RAJGARH TOWN</t>
  </si>
  <si>
    <t>RIVER GIRI D/S KALGIDHAR TRUST, BARU SAHIB</t>
  </si>
  <si>
    <t>RIVER GIRI AT D/S YASHWANT NAGAR AFTER CONF.
WITH ASHWANI KHAD AT YASHWANT NAGAR- NEAR
SHANI MANDIR</t>
  </si>
  <si>
    <t>RIVER GIRI AFTER CONFLUENCE OF ASHWANI RIVER AT
VILLAGE MARYOG</t>
  </si>
  <si>
    <t>RIVER GIRI AT U/S CCI MINES AT VILLAGE NADI</t>
  </si>
  <si>
    <t>RIVER GIRI D/S SATAUN</t>
  </si>
  <si>
    <t>RIVER GIRI U/S LWSS AT SAINJ</t>
  </si>
  <si>
    <t>RIVER GIRI D/S LWSS AT SAINJ</t>
  </si>
  <si>
    <t>RIVER GIRI D/S CEMENT CORPORATION OF INDIA,
RAJBAN AT BANGRAN BRIDGE</t>
  </si>
  <si>
    <t>RIVER GIRI U/S CHAILLA</t>
  </si>
  <si>
    <t>RIVER GIRI U/S PROPOSED SITE OF SRI RENUKAJI DAM
SITE.</t>
  </si>
  <si>
    <t>RIVER GIRI D/S PROPOSED SITE OF SRI RENUKAJI DAM
SITE NEAR BRIDGE AT DADAHU- RENUKAJI</t>
  </si>
  <si>
    <t>RIVER GIRI D/S PROPOSED SITE OF RENUKA DAM</t>
  </si>
  <si>
    <t>RIVER GIRI AT NIHARI, KOTKHAL</t>
  </si>
  <si>
    <t>RIVER GIRI B/C WITH ASHWANI KHAD U/S OF WSS
YASHWANT NAGAR</t>
  </si>
  <si>
    <t>RIVER PABBAR AT U/S DHAMBARI</t>
  </si>
  <si>
    <t>RIVER PABBAR AT U/S ROHRU</t>
  </si>
  <si>
    <t>RIVER PABBAR D/S SWARAKUDDU</t>
  </si>
  <si>
    <t>RIVER PABBAR U/S HATKOTI</t>
  </si>
  <si>
    <t>RIVER PABBAR AT HATKOTI RESERVOIR</t>
  </si>
  <si>
    <t>ASHWANI KHAD U/S OF YASHWANT NAGAR BEFORE
CONF. WITH RIVER GIRI AT YASHWANT NAGAR</t>
  </si>
  <si>
    <t>RIVER BATTA U/S PAONTA AT KISHANPURA</t>
  </si>
  <si>
    <t>RIVER BATTA BEFORE CONFLUENCE TO YAMUNA</t>
  </si>
  <si>
    <t>ASHWANI KHAD U/S OF WEIR SITE OF WTP NEAR
ASHWANI BRIDGE</t>
  </si>
  <si>
    <t>ASHWANI KHAD AFTER CONFLUENCE OF LIFT NALLAH
NEAR DOGRHA BRIDGE</t>
  </si>
  <si>
    <t>ASHWANI KHAD D/S OF VILLAGE SADHUPIL, TEHSIL
KANDAGHAT, DISTRICT SOLAN.</t>
  </si>
  <si>
    <t>ASHWANI KHAD U/S OF SADHUPUL VILLAGE (NEARBY
800 METERS U/S OF THE BRIDGE)</t>
  </si>
  <si>
    <t>SHIKARI KHAD BEFORE CONFLUENCE TO RIVER
PABBAR NEAR HRTC ROHRU BUS STAND</t>
  </si>
  <si>
    <t>RIVER BANGANGA AT U/S IDRISHPUR (U.K.)</t>
  </si>
  <si>
    <t>RIVER BANGANGA AT D/S SHUKRATAL (BEFORE
CONFLUENCE OF LAKSAR DRAIN )</t>
  </si>
  <si>
    <t>RIVER HINDON AT MAHESHPUR D/S</t>
  </si>
  <si>
    <t>RIVER HINDON AT MOHAN NAGAR U/S</t>
  </si>
  <si>
    <t>RIVER HINDON AT MOHAN NAGAR D/S</t>
  </si>
  <si>
    <t>RIVER HINDON AT GHAZIABAD U/S</t>
  </si>
  <si>
    <t>RIVER HINDON AT BARNAWA U/S</t>
  </si>
  <si>
    <t>RIVER HINDON AT BARNAWA D/S</t>
  </si>
  <si>
    <t>RIVER HINDON AFTER CONFL. WITH R. KRISHNA &amp; KALI
NEAR BINAULI TOWN, PURA MAHADEV, MEERUT, U.P.</t>
  </si>
  <si>
    <t>RIVER HINDON AT SARDHANA BUDHANA ROAD, VILLAGE
BAPARSI, MEERUT</t>
  </si>
  <si>
    <t>RIVER HINDON AT GHAZIABAD D/S KULESHRA GB
NAGAR, U.P.</t>
  </si>
  <si>
    <t>RIVER HINDON AT NOIDA D/S</t>
  </si>
  <si>
    <t>RIVER KALINADI AT U/S OF MUZAFFAR NAGAR U.P.</t>
  </si>
  <si>
    <t>RIVER KALINADI AT D/S OF MUZAFFAR NAGAR, U.P.</t>
  </si>
  <si>
    <t>RIVER KEN NEAR ROAD BRIDGE AT PANNA</t>
  </si>
  <si>
    <t>MADHYA
PRADESH</t>
  </si>
  <si>
    <t>RIVER BETWA BEFORE CONF. YAMUNA AT HAMIRPUR,
U.P.</t>
  </si>
  <si>
    <t>RIVER KALIASOT DAM OUTLATE NEAR DAM
GATE,BHOPAL</t>
  </si>
  <si>
    <t>RIVER KHAN RAMWASA STOP DAM,UJJAIN</t>
  </si>
  <si>
    <t>RIVER MANDAKINI , ORIGIN POINT SATI ANSUIYA
,CHITRAKOOT</t>
  </si>
  <si>
    <t>RIVER CHAMBAL PALI NEAR ROAD BRIDGE ,SHEOPUR</t>
  </si>
  <si>
    <t>RIVER CHAMBAL ENTERING IN RAJASTHAN AT GANDHI
SAGAR DAM, RAWATBHATA,CHITTORGARH</t>
  </si>
  <si>
    <t>RAJASTHAN</t>
  </si>
  <si>
    <t>RIVER CHAMBAL AT KOTA U/S (PHED INTAKE POINT.
NEAR KOTA BARRAGE), RAJASTHAN</t>
  </si>
  <si>
    <t>RIVER CHAMBAL AT RANGPUR KOTA D/S (2 KM. FROM
CITY), RAJASTHAN</t>
  </si>
  <si>
    <t>RIVER CHAMBAL AT KESHORAIPATAN U/S, NEAR SHRI
RAJESHWAR MAHADEV TEMPLE, BUNDI</t>
  </si>
  <si>
    <t>RIVER CHAMBAL AT KESHORAIPATTAN D/S NEAR
AMBEDKAR NAGAR, BUNDI</t>
  </si>
  <si>
    <t>RIVER CHAMBAL, NEAR CHAMBAL BRIDGE, DHOLPUR
TO MURENA ROAD, NH-3</t>
  </si>
  <si>
    <t>RIVER CHAMBAL AT GWALIOR ROAD BRIDGE, UDI,
ETAWAH DIST.</t>
  </si>
  <si>
    <t>RIVER CHAMBAL AT FISH FARM NEAR GANDHISAGAR
DAM (MP &amp; RJASTHAN)</t>
  </si>
  <si>
    <t>RIVER CHAMBAL AT GANDHI SAGAR DAM, RAMPURA,
M.P</t>
  </si>
  <si>
    <t>RIVER CHAMBAL AT TAL VILLAGE NEAR BRIDGE, UJJAIN</t>
  </si>
  <si>
    <t>RIVER CHAMBAL AT NAGDA U/S (WATER INTAKE POINT)
M.P.</t>
  </si>
  <si>
    <t>RIVER CHAMBAL AT NAGDA D/S, M.P.</t>
  </si>
  <si>
    <t>RIVER CHAMBAL AT DHOLPUR,</t>
  </si>
  <si>
    <t>RIVER CHAMBAL AT JANAPAWA, FROM ORIGIN POINT,
INDORE</t>
  </si>
  <si>
    <t>RIVER CHAMBAL AT ITAWA ROAD BRIDGE BHIND</t>
  </si>
  <si>
    <t>RIVER CHAMBAL AT 100M D/S OF GANDHI SAGAR DAM.
MANDSAUR</t>
  </si>
  <si>
    <t>RIVER PARVATI BEFORE MEETING CHAMBAL AT
KHATOLI, KOTA, RAJASTHAN</t>
  </si>
  <si>
    <t>RIVER PARVATI AT NEEMKHEDI, GUNA</t>
  </si>
  <si>
    <t>RIVER PARVATI D/S AFTER VINDHYACHAL NALLA AT
PILUKHEDI ,RAJGARH</t>
  </si>
  <si>
    <t>RIVER PARVATI NEAR VILLAGE BATAODAPAR, M.P.</t>
  </si>
  <si>
    <t>RIVER KHAN AT KABIT KHEDI (NEAR INDORE) M.P.</t>
  </si>
  <si>
    <t>RIVER KHAN AT SAKKAR KHADI, INDORE</t>
  </si>
  <si>
    <t>RIVER KHAN AT SANWER</t>
  </si>
  <si>
    <t>RIVER MANDAKINI AT CHITRAKUT, M.P.</t>
  </si>
  <si>
    <t>RIVER KSHIPRA AT RAMGHAT AT UJJAIN, M.P.</t>
  </si>
  <si>
    <t>RIVER KSHIPRA AT TRIVENISANGAM (1 KM. D/S OF
SANGAM), M.P.</t>
  </si>
  <si>
    <t>RIVER KSHIPRA AT SIDDHAWAT (D/S) OF UJJAIN., M.P.</t>
  </si>
  <si>
    <t>RIVER KSHIPRA AT GAUGHAT, UJJAIN</t>
  </si>
  <si>
    <t>RIVER KSHIPRA AT U/S OF MAHIDPUR CITY, UJJAIN</t>
  </si>
  <si>
    <t>RIVER KSHIPRA AT W/S INTAKE POINT OF DEWAS,
UJJAIN</t>
  </si>
  <si>
    <t>RIVER SUSWA AT MATHURAWALA, DEHRADUN</t>
  </si>
  <si>
    <t>RIVER BHELLA U/S OF KASHIPUR,US NAGAR</t>
  </si>
  <si>
    <t>RIVER BHELLA D/S OF LOHIYA BRIDGE KASHIPUR,US
NAGAR</t>
  </si>
  <si>
    <t>RIVER DHELLA U/S AT KASHIPUR MORADABAD ROAD
BRIDGE,US NAGAR</t>
  </si>
  <si>
    <t>RIVER DHELLA D/S AT THAKURDWARA ALIGANJ
ROAD,US NAGAR</t>
  </si>
  <si>
    <t>RIVER DHELA AT ADAMPUR</t>
  </si>
  <si>
    <t>RIVER KOSI AT KASHIPUR BAJPUR ROAD
BRIDGE,KASHIPUR,US NAGAR</t>
  </si>
  <si>
    <t>RIVER KOSI AT DADIYAL BRIDGE, UTTRAKHAND</t>
  </si>
  <si>
    <t>RIVER GOLA AT HALDWANI</t>
  </si>
  <si>
    <t>RIVER KICHHA AT KICHHA U.S. NAGAR</t>
  </si>
  <si>
    <t>RIVER KICCHA AT PULL BHATTA</t>
  </si>
  <si>
    <t>RIVER PILKHAR AT BILASPUR, RAMPUR,US NAGAR</t>
  </si>
  <si>
    <t>RIVER PILKHAR AT RAMPUR, BHOT(U.P)</t>
  </si>
  <si>
    <t>RIVER BAHELA AT BADLI VILLAGE LOHIYA BRIDGE ,
TANDA (U.P.)</t>
  </si>
  <si>
    <t>RIVER NANDOUR U/S AT SITARGANJ INDUSTRIAL AREA,
US NAGAR</t>
  </si>
  <si>
    <t>RIVER NANDOUR D/S AT SITARGANJ INDUSTRIAL AREA,
US NAGAR</t>
  </si>
  <si>
    <t>RIVER KALYANI U/S OF PANTNAGAR INDUSRIAL AREA,
US NAGAR</t>
  </si>
  <si>
    <t>RIVER KALYANI D/S OF PANTNAGAR INDUSTRIAL AREA,
US NAGAR</t>
  </si>
  <si>
    <t>RIVER RAMGANGA AT ROAD BRIDGE SHERKOT,
DIST.BIJNAUR (U.P.)</t>
  </si>
  <si>
    <t>RIVER RAMGANGA AT
KALAGARHBARRAGE,KALAGARH,DIST,PAUDHIGADHWAL
(U.K.)</t>
  </si>
  <si>
    <t>RIVER RAMGANGA AT KANNAUJ (BEFORE CONF.), U.P</t>
  </si>
  <si>
    <t>RIVER KALINADI NEAR GUMATIYA VILLAGE ,KANNAUJ
(BEFORE CONF.), U.P</t>
  </si>
  <si>
    <t>RIVER KALINADI AT U/S OF GULAOTHI TOWN IN
BULANDSAHAR, U.P.</t>
  </si>
  <si>
    <t>RIVER KALI EAST AT KHARKHODA-PARIKSHIT GARH
ROAD, VILL. KOL, MEERUT</t>
  </si>
  <si>
    <t>RIVER VARUNA AT RAMESHWAR, VARANASI</t>
  </si>
  <si>
    <t>RIVER VARUNA B/C WITH GANGA AT VARANASI</t>
  </si>
  <si>
    <t>SHUKRA TAL GHAT (CONFLUENCE OF BANGANGA AND
SALONI RIVER), MUZAFFARNAGAR,</t>
  </si>
  <si>
    <t>RIVER SAI AT UNNAO AFTER DRAIN OUTFALL, U.P.</t>
  </si>
  <si>
    <t>RIVER SAI AT JALALPUR, JAUNPUR</t>
  </si>
  <si>
    <t>RIVER GOMTI AT VARANASI, RAJWARI U.P</t>
  </si>
  <si>
    <t>RIVER GOMTI AT JAUNPUR D/S, U.P.</t>
  </si>
  <si>
    <t>RIVER GOMTI AT SULTANPUR U/S</t>
  </si>
  <si>
    <t>RIVER GOMTI AT SULTANPUR D/S</t>
  </si>
  <si>
    <t>RIVER GOMTI AT JAUNPUR U/S</t>
  </si>
  <si>
    <t>RIVER RAPTI AFTER CONFL. OF R. HONIN NR.
DOMINGARH RLY BRIDGE, GORAKHPUR, U.P.</t>
  </si>
  <si>
    <t>RIVER RAPTI AT RAJGHAT, GORAKHPUR</t>
  </si>
  <si>
    <t>RIVER GHAGHARA NEAR CHAPRA, RIVILGANJ, MANJHI,
SARAN</t>
  </si>
  <si>
    <t>RIVER GHAGHARA AT TURTIPAR,DEORIA D/S, U.P.</t>
  </si>
  <si>
    <t>RIVER GHAGHRA AT BARHALGANJ, GORAKHPUR</t>
  </si>
  <si>
    <t>RIVER RIHAND AT RENUKUT U/S, U.P.</t>
  </si>
  <si>
    <t>RIVER RIHAND AT RENUKUT D/S, U.P.</t>
  </si>
  <si>
    <t>RIVER TONS AT CHAKGHAT, M.P.</t>
  </si>
  <si>
    <t>RIVER TONS AT MADHAVGARH, M.P.</t>
  </si>
  <si>
    <t>RIVER TONS AT MADHAVGARH, NEAR PHED W/S INTAKE
POINT, SATNA</t>
  </si>
  <si>
    <t>RIVER TONS AT BASAMAN MAMA TEMPLE, NEAR PURWA
FALL, TEHSIL-SEMARIYA, DIST- REWA</t>
  </si>
  <si>
    <t>RIVER TONS AT M.P-U.P BOUNDARY, BEFORE MIXING
RIVER BELAN CHAKGHAT REWA</t>
  </si>
  <si>
    <t>River BeeharÂ Khthuliya Intake Well Point ,Rewa</t>
  </si>
  <si>
    <t>RIVER GAMBHIR AT DAM SITE UJJAIN</t>
  </si>
  <si>
    <t>RIVER BASLI GOHAD DAM, GOHAD, M.P</t>
  </si>
  <si>
    <t>RIVER KALIASOT NEAR ROAD BRIDGE, MANDIDEEP</t>
  </si>
  <si>
    <t>River KALISINDH NEAR ROAD BRIDGE SARANGPUR,
RAJGARH</t>
  </si>
  <si>
    <t>RIVER HATHNI NANPUR FATA DAM ALIRAJPUR</t>
  </si>
  <si>
    <t>RIVER GANDAK GOPALGANJ PIPRAKOTHI ROAD BRIDGE
(DUMARIA GHAT)</t>
  </si>
  <si>
    <t>RIVER GANDAK AT REWAGHAT, MUZAFFARPUR</t>
  </si>
  <si>
    <t>RIVER GANDAK AT ROAD BRIDGE, U/S HAJIPUR,
VAISHALI (BORDER OF SARAN &amp; VAISHALI)</t>
  </si>
  <si>
    <t>RIVER GANDAK AT KONHARA GHAT, OPPOSITE
HARIHARNATH MANDIR,SONEPUR</t>
  </si>
  <si>
    <t>RIVER GANDAK AT SONEPUR NEAR HARIHARNATH
TEMPLE</t>
  </si>
  <si>
    <t>RIVER SIKRAHNA AT CHANPATIYA, NEAR CHANPATIYA
ROAD BRIDGE, WEST CHAMPARAN</t>
  </si>
  <si>
    <t>RIVER SIKRAHNA AT LAL PARSA, BETIAH, EAST
CHAMPARAN</t>
  </si>
  <si>
    <t>RIVER SIKRAHNA AT LAURIA, HARINAGAR ROAD BRIDGE</t>
  </si>
  <si>
    <t>RIVER SIKRAHNA LAURIA-NARKATIAGANJ ROAD
BRIDGE, WEST CHAMPARAN</t>
  </si>
  <si>
    <t>RIVER BURHI GANDAK AT AKHARAGHAT,
MUZAFFARPUR</t>
  </si>
  <si>
    <t>RIVER BURHI GANDAK NEAR MAGARDAHI GHAT AT
SAMASTIPUR ROAD BRIDGE, SAMASTIPUR</t>
  </si>
  <si>
    <t>RIVER BURHI GANDAK U/S ROAD BRIDGE NH NEAR
ZERO MILE MUZAFFARPUR</t>
  </si>
  <si>
    <t>RIVER BURHI GANDAK AT KHAGARIA ROAD BRIDGE
BEFORE CONFLUENCE WITH GANGA , KHAGARIA</t>
  </si>
  <si>
    <t>RIVER BURHI GANDAK AT LAL BAGLA GHAT, MOTIHARI
DHAKA ROAD, EAST CHAMPARAN</t>
  </si>
  <si>
    <t>RIVER BURHI GANDAK AT BARACHAKIA, EAST
CHAMPARAN</t>
  </si>
  <si>
    <t>RIVER SIRSIYA AT RAXAUL,BIRGANJ CHECK POST ROAD
BRIDGE EAST CHAMPARAN</t>
  </si>
  <si>
    <t>RIVER SIRSIYA D/S RAXAUL (KOERIA TOLA), EAST
CHAMPARAN</t>
  </si>
  <si>
    <t>RIVER HARBORA D/S AT NARKATIAGANJ, WEST
CHAMPARAN</t>
  </si>
  <si>
    <t>RIVER HARBORA,U/S AT NARKATIAGANJ, WEST
CHAMPARAN</t>
  </si>
  <si>
    <t>RIVER KOSHI AT MADHEPURA</t>
  </si>
  <si>
    <t>RIVER KOSHI AT BEERPUR, SUPAUL</t>
  </si>
  <si>
    <t>RIVER KOSHI AT KURSHELA AT KATIHAR</t>
  </si>
  <si>
    <t>RIVER DAHA U/S RAJENDRA ROAD BRIDGE AT SIWAN</t>
  </si>
  <si>
    <t>RIVER DAHA D/S AT SASAMUSA, GOPALGANJ</t>
  </si>
  <si>
    <t>RIVER DAHA AT ITWA BRIDGE, GOPALGANJ</t>
  </si>
  <si>
    <t>RIVER DAHA AT MEERGANJ NEAR BADARJHIMMI BAZAR,
GOPALGANJ</t>
  </si>
  <si>
    <t>RIVER DAHA U/S SASAMUSA, GOPALGANJ</t>
  </si>
  <si>
    <t>RIVER DAHA D/S AT RENUA, SIWAN</t>
  </si>
  <si>
    <t>RIVER DHOS AT SAHARGHAT, MADHUBANI</t>
  </si>
  <si>
    <t>RIVER DHOS AT MADHWAPUR, MADHUBANI</t>
  </si>
  <si>
    <t>RIVER RAMREKHA AT HARINAGAR, WEST CHAMPARAN</t>
  </si>
  <si>
    <t>RIVER RAMREKHA AT U/S HARINAGAR, WEST
CHAMPARAN</t>
  </si>
  <si>
    <t>RIVER BAGMATI AT MUZAFFARPUR- SITAMARHI ROAD
BRIDGE, SITAMARHI</t>
  </si>
  <si>
    <t>RIVER BAGMATI AT DARBHANGA, SAMASTIPUR ROAD
BRIDGE, DARBHANGA</t>
  </si>
  <si>
    <t>RIVER MANUSMAR AT RIGA, UPHRAULIA, SITAMARHI</t>
  </si>
  <si>
    <t>RIVER MANUSMAR U/S (RIGA), SITAMARHI</t>
  </si>
  <si>
    <t>RIVER MANUSMAR AT PARSHURAMPUR, RIGA -BELSAND ROAD, SITAMARHI</t>
  </si>
  <si>
    <t>RIVER PUNPUN NEAR PATNA FATUHA ROAD BRIDGE,
FATUHA</t>
  </si>
  <si>
    <t>RIVER UNPUN NEAR PUNPUN ROAD BRIDGE, PUNPUN</t>
  </si>
  <si>
    <t>RIVER PUNPUN AT KINJAR ROAD BRIDGE, JEHANABAD-ARWAL BORDER , JEHANABAD</t>
  </si>
  <si>
    <t>RIVER PUNPUN AT OBRA, AURANGABAD</t>
  </si>
  <si>
    <t>RIVER KOHRA U/S RAJ GHAT, MAJHAULIA, WEST
CHAMPARAN</t>
  </si>
  <si>
    <t>RIVER KOHRA D/S NEAR RAILWAY BRIDGE, MAJHAULIA,
WEST CHAMPARAN</t>
  </si>
  <si>
    <t>RIVER HARHA AT BAGHA, LAURIYA ROAD BRIDGE</t>
  </si>
  <si>
    <t>RIVER LAKHANDEI U/S SITAMARHI AT MEHANDI NAGAR</t>
  </si>
  <si>
    <t>RIVER LAKHANDEI D/S SITAMARHI AT PARORI ROAD
BRIDGE</t>
  </si>
  <si>
    <t>RIVER GANGI AT ARA, D/S</t>
  </si>
  <si>
    <t>RIVER PARMAR AT JOGBANI, ARARIA</t>
  </si>
  <si>
    <t>RIVER BICHIA,GOVINDGARH ROAD BRIDGE ,NEAR
INTAKE POINT,REWA</t>
  </si>
  <si>
    <t>RIVER SANKH AT TIGRA RESERVOIR, M.P.</t>
  </si>
  <si>
    <t>RIVER SONE AT KOILWAR, NEAR MANDIR, BHOJPUR</t>
  </si>
  <si>
    <t>RIVER SONE AT BAHIYARA, BHOJPUR</t>
  </si>
  <si>
    <t>RIVER SONE AT ARWAL NEAR BALUGHAT (SAHAR)</t>
  </si>
  <si>
    <t>RIVER SONE AT NASIRIGANJ DAM, ROHTAS</t>
  </si>
  <si>
    <t>RIVER SONE AT ROAD BRIDGE-DEHRI-ON-SONE,
ROHTAS</t>
  </si>
  <si>
    <t>RIVER SONE AT INDRAPURI DAM, DEHRI ON SONE,
ROHTAS</t>
  </si>
  <si>
    <t>RIVER SONE AT WATER INTAKE POINT BHARTIYA RAIL
BIJALI CO. LTD (BRBCL) NAVINAGAR, AURANGABAD</t>
  </si>
  <si>
    <t>RIVER SONE AT BANJARI NEAR BANJARI NEAR SUN
TEMPLE KALYANPUR, ROHTAS</t>
  </si>
  <si>
    <t>RIVER SONE AT ROAD BRIDGE CHOPAN,DIST-SONEBHADRA (U.P.)</t>
  </si>
  <si>
    <t>RIVER SONE UPSTREAM TOWARDS DEORA, DIST-SINGRAULI (M. P.)</t>
  </si>
  <si>
    <t>RIVER RIVER SONE AT VILLAGE- KHAIRPUR,(KUDHERI)
M.P- U.P.BOUNDARY, DISTT SIDHI</t>
  </si>
  <si>
    <t>RIVER SONE AT CHITAWAL NEAR ROAD BRIDGE
CHITRANGI, DIST
SINGROULI</t>
  </si>
  <si>
    <t>RIVER SONE ON KACHAN DAM NEAR IMILYA NORTH
COAL MINES VILL MAJHOULI, DIST SINGROULI</t>
  </si>
  <si>
    <t>RIVER SONE NEAR BHANVARSEN ROAD BRIDGE AFTER
CONFLUENCE OF BANAS RIVER, DIST SIDHI</t>
  </si>
  <si>
    <t>RIVER SONE AT CHURHAT,DISTT.SIDHI</t>
  </si>
  <si>
    <t>BANSAGAR CANAL AT SON RIVER, WATER SAMPLE AT
BAGHWAR VILLAGE, NEAR TOL PLAZA, DIST SIDHI</t>
  </si>
  <si>
    <t>RIVER SONE AT DEVLOAD OUT LET OF BANSAGAR DAM,
M.P</t>
  </si>
  <si>
    <t>RIVER SONE AT AMLAI, M.P.</t>
  </si>
  <si>
    <t>RIVER SONE AT JARWAHI NEAR ROAD BRIDGE,
SHAHDOL</t>
  </si>
  <si>
    <t>RIVER SONE AT BHATURAGHAT NEAR ROAD BRIDGE,
AMLAI</t>
  </si>
  <si>
    <t>RIVER SONE AT CHACHAI, M.P.</t>
  </si>
  <si>
    <t>RIVER SONE AT ORIGIN AMARKANTAK, M.P</t>
  </si>
  <si>
    <t>GOPAD AT NIGARI, SARAI DIST, SINGROULI</t>
  </si>
  <si>
    <t>RIVER JOHILA NEAR NAROJABAD NEAR UMARIA ROAD
BRIDGE, M.P</t>
  </si>
  <si>
    <t>RIVER BEEHAR D/S NEAR FOREST OFFICE</t>
  </si>
  <si>
    <t>RIVER SINDH AT DABRA, M.P</t>
  </si>
  <si>
    <t>RIVER CHOUPAN U/S AT
VIJAYPUR , GUNA</t>
  </si>
  <si>
    <t>RIVER CHOUPAN D/S AFTER NFL NALLA, AT VIJAYPUR
,GUNA</t>
  </si>
  <si>
    <t>RIVER JAMUNI AT BARIYAGHAT U/S NEAR INTAKE
POINT, TIKAMGARH</t>
  </si>
  <si>
    <t>RIVER AJAY AT MASANJORE DAM</t>
  </si>
  <si>
    <t>RIVER KURWA DUMKA WATER INTAKE POINT</t>
  </si>
  <si>
    <t>RIVER KHARKHAI BEFORE MEETING SWARNREKHA
RIVER</t>
  </si>
  <si>
    <t>RIVER KOINA RIVER, MANOHARPUR, W.S</t>
  </si>
  <si>
    <t>RIVER KAMALA AT BENIPATTI (MADHUBANI)</t>
  </si>
  <si>
    <t>RIVER KAMALA AT GAUSAGHAT, DARBHANGA</t>
  </si>
  <si>
    <t>RIVER KAMALA AT KAMALA GHAT NEAR BARRAGE
ATJAYNAGAR , MADHUBANI</t>
  </si>
  <si>
    <t>RIVER KAMALA (BIHAR) AT JEEWACH GHAT,
DARBHANGA</t>
  </si>
  <si>
    <t>RIVER MAHANANDA AT THAKURGANJ, KISHANGANJ
ROAD BRIDGE, KISHANGANJ</t>
  </si>
  <si>
    <t>RIVER BARAKAR AT ASANSOL (WATER INTAKE POINT),
BURDWAN,WEST BENGAL</t>
  </si>
  <si>
    <t>RIVER DAMODAR AT DISHERGARH VILL.(NR.BIHAR-WEST BENGAL BORDER) , BURDWAN,WEST BENGAL</t>
  </si>
  <si>
    <t>RIVER DAMODAR AT D/S OF IISCO AFTER 3RD OUTFALL
AT DHENNA VILLAGE, BURDWAN,WEST BENGAL</t>
  </si>
  <si>
    <t>RIVER DAMODAR AT NARAINPUR AFTER CONFL. OF
NUNIA NALLAH, BURDWAN,WEST BENGAL</t>
  </si>
  <si>
    <t>RIVER DAMODAR NEAR MUJHER MANA VILLAGE AFTER
CONF. OF TAMLA NALLAH, BURDWAN,WEST BENGAL</t>
  </si>
  <si>
    <t>RIVER WATER INTAKE POINT FOR BURDWAN TOWN,
BURDWAN</t>
  </si>
  <si>
    <t>RIVER DAMODAR AT SINDRI</t>
  </si>
  <si>
    <t>RIVER DAMODAR AT DISHERGARH (WEST BENGAL)</t>
  </si>
  <si>
    <t>RIVER DAMODAR AT ANDAL U/S, BURDWAN</t>
  </si>
  <si>
    <t>RIVER DAMODAR AT ANDAL D/S, BURDWAN</t>
  </si>
  <si>
    <t>RIVER DAMODAR AT ASANSOL U/S, BURDWAN</t>
  </si>
  <si>
    <t>RIVER DAMODAR AT DURGAPUR U/S, BURDWAN</t>
  </si>
  <si>
    <t>RIVER DAMODAR AT RANIGANJ D/S, BURDWAN</t>
  </si>
  <si>
    <t>RIVER GALUDIH BARRAGE, GALUDIH, E.S</t>
  </si>
  <si>
    <t>RIVER MATHABHANGA, GOBINDAPUR, NADIA</t>
  </si>
  <si>
    <t>RIVER MATHABHANGA AT GOVINDPUR (WEST BENGAL)</t>
  </si>
  <si>
    <t>RIVER CHURNI D/S OF RANAGHAT TOWN, WEST
BENGAL</t>
  </si>
  <si>
    <t>RIVER CHURNI, MAJHADIA, NADIA</t>
  </si>
  <si>
    <t>RIVER DWARAKESHWAR WATER INTAKE POINT FOR
BANKURA TOWN ON DWARAKESHWAR, BANKURA</t>
  </si>
  <si>
    <t>RIVER JALANGI, D/S OF KRISHNA NAGAR, NADIA</t>
  </si>
  <si>
    <t>RIVER RUPNARAYAN BEFORE CONFL. TO GANGA NEAR
GEONKHALI,MEDINIPOREÂ€, WEST BENGAL</t>
  </si>
  <si>
    <t>RIVER D/S OF RUPNARAYAN AT KOLAGHAT, NEAR
KOLAGHAT RAIL BRIDGE NO.3,MEDINIPOREÂ€</t>
  </si>
  <si>
    <t>RIVER U/S OF TARAPITH ON DWARKA AT SADHAK
BAMDEB GHAT, BIRBHUM</t>
  </si>
  <si>
    <t>RIVER D/S OF TARAPITH ON DWARKA, SATIGHAT</t>
  </si>
  <si>
    <t>RIVER U/S OF BINDYADHARI AT HAROA BRIDGE, 24
PARGANAS(N)</t>
  </si>
  <si>
    <t>RIVER D/S OF BIDYADHARI AT MALANCHA BURNING
GHAT</t>
  </si>
  <si>
    <t>RIVER D/S OF KANSI AT MIDNAPORE, NEAR NEW
HANUMAN MANDIR, GANDHIGHAT, MEDINIPORE(W)</t>
  </si>
  <si>
    <t>RIVER MAHANANDA D/S, RAMGHAT, DARJEELING</t>
  </si>
  <si>
    <t>RIVER MAHANANDA AT SILIGURI, DARJEELING</t>
  </si>
  <si>
    <t>RIVER MECHI AT NEHALJOTE</t>
  </si>
  <si>
    <t>RIVER BALASON AT KHAPRAIL MORE</t>
  </si>
  <si>
    <t>RIVER D/S OF SILABATI AT GHATAL, MEDINIPORE(W)</t>
  </si>
  <si>
    <t>RIVER WATER INTAKE POINT FOR SURI TOWN ON
MAYURAKSHI, BIRBHUM</t>
  </si>
  <si>
    <t>RIVER HALDI AT NORGHAT</t>
  </si>
  <si>
    <t>RIVER RASULPUR AT RASULPUR GHAT</t>
  </si>
  <si>
    <t>RIVER JALDHAKA AT DHUPGURI</t>
  </si>
  <si>
    <t>RIVER SILTORSA AT HASIMARA</t>
  </si>
  <si>
    <t>RIVER BURHIDIHING AT MARGHERITA, ASSAM</t>
  </si>
  <si>
    <t>ASSAM</t>
  </si>
  <si>
    <t>RIVER BURHIDIHING NEAR DULIAJAN AT D/S, TINSUKIA,
ASSAM</t>
  </si>
  <si>
    <t>RIVER BURHIDIHING AT DULIAJAN (INTAKE POINT OF OIL
INDIA LTD.), ASSAM</t>
  </si>
  <si>
    <t>RIVER DHANSIRI AT FULL NAGARJAN BRIDGE</t>
  </si>
  <si>
    <t>NAGALAND</t>
  </si>
  <si>
    <t>RIVER DHANSIRI AT BRIDGE NEAR PURANA BAZAAR</t>
  </si>
  <si>
    <t>RIVER DHANSIRI AT NOTUN BOSTI NEAR NAGA
CEMETERY (OLD)</t>
  </si>
  <si>
    <t>RIVER DHANSIRI AT KUSHIABILL , NEAR KACHARI LOCAL
GROUND</t>
  </si>
  <si>
    <t>RIVER DHANSIRI AT TOWN BOUNDARY BRIDGE (DIPHU
ROAD)</t>
  </si>
  <si>
    <t>RIVER DHANSIRI NEAR NAGALAND- ASSAM BORDER</t>
  </si>
  <si>
    <t>RIVER DHANSIRI AT GOLAGHAT, ASSAM</t>
  </si>
  <si>
    <t>RIVER DHANSIRI NEAR BRIDGE AT NH-15, DHANSIRI
BHALUKMARI JUNGLE, UDALGURI</t>
  </si>
  <si>
    <t>RIVER DHANSIRI AT JAHAIGHAT</t>
  </si>
  <si>
    <t>RIVER DHANSIRI AT GANESH NAGAR</t>
  </si>
  <si>
    <t>RIVER DHANSIRI AT NAGARJAN BRIDGE</t>
  </si>
  <si>
    <t>RIVER DHANSIRI AT KHATKATI GATE</t>
  </si>
  <si>
    <t>RIVER DHANSIRI AT BOKAJAN</t>
  </si>
  <si>
    <t>RIVER DHANSIRI AT NUMALIGARH</t>
  </si>
  <si>
    <t>RIVER BHARALU AT GUWAHATI, ASSAM</t>
  </si>
  <si>
    <t>RIVER DIKRONG NEAR BRIDGE AT NH-52, BANDARDEWA</t>
  </si>
  <si>
    <t>RIVER GAI NADI AT SOMARAJAN, DHEMAJI</t>
  </si>
  <si>
    <t>RIVER DIGARU AT NH CROSSING</t>
  </si>
  <si>
    <t>RIVER DIGBOI AT LAKHIPATHE, RESERVE FOREST,
DIGBOI, ASSAM</t>
  </si>
  <si>
    <t>RIVER DIKHOW AT DIKHOW BRIDGE SIVASAGAR, ASSAM</t>
  </si>
  <si>
    <t>RIVER DIKHOW AT NAGINI MORA (INTER-STATE
BOUNDARIES, ASSAM-NAGALAND)</t>
  </si>
  <si>
    <t>RIVER DIKHOW AT DIKHOWMUKH CONFLUENCE WITH
BRAHAMPUTRA</t>
  </si>
  <si>
    <t>RIVER KALJANI D/S OF ALIPURDWAR, MUNICIPALITY
DISCHARGE POINT, COOCHBEHAR</t>
  </si>
  <si>
    <t>RIVER DISANG AT GUDAMGHAT, ASSAM</t>
  </si>
  <si>
    <t>RIVER DISANG AT DILLIGHAT, DIBRUGARH DIST.,
ASSAM</t>
  </si>
  <si>
    <t>RIVER DISANG AT NH CROSSING</t>
  </si>
  <si>
    <t>RIVER GABHARU NEAR BRIDGE AT NH-52, NEAR
TUMIUKI, SONITPUR</t>
  </si>
  <si>
    <t>RIVER TOCKLAI NEAR BRIDGE AT JORHAT</t>
  </si>
  <si>
    <t>RIVER TUNIA AT D/S BRPL</t>
  </si>
  <si>
    <t>RIVER LARSING NEAR LOCL DEPO AT MOINARBOND</t>
  </si>
  <si>
    <t>RIVER DHATESHWARI D/S OF HAILAKANDI</t>
  </si>
  <si>
    <t>RIVER DEMOW AT DEMOW TOWN</t>
  </si>
  <si>
    <t>RIVER BORSILA AT BORSILA, DEOPANI, NAMTI</t>
  </si>
  <si>
    <t>RIVER BARNADI NEAR BRIDGE, NH-52, DUMUNICHOWKI
KAMRUP</t>
  </si>
  <si>
    <t>RIVER NONEY/IJEI AT NONEY BRIDGE, NONEY</t>
  </si>
  <si>
    <t>MANIPUR</t>
  </si>
  <si>
    <t>RIVER BARAK AT D/S OF SILCHAR, ASSAM</t>
  </si>
  <si>
    <t>RIVER BRAHMAPUTRA AT NIMATIGHAT, ASSAM</t>
  </si>
  <si>
    <t>RIVER BRAHMPUTRA RIVER AT DHENUKHAPAHAR,
ASSAM</t>
  </si>
  <si>
    <t>RIVER BRAHMAPUTRA AT DIBRUGARH, ASSAM</t>
  </si>
  <si>
    <t>RIVER BRAHMAPUTRA AT PANDU, ASSAM</t>
  </si>
  <si>
    <t>RIVER BRAHMAPUTRA AT JOGIGHOPA NEAR BRIDGE,
ASSAM</t>
  </si>
  <si>
    <t>RIVER BRAHMPUTRA NEAR WATER INTAKE POINT AT
KACHARIGHAT, PANBAZAR, GUWAHATI, ASSAM</t>
  </si>
  <si>
    <t>RIVER BRAHMAPUTRA AT CHANDRAPUR, GUWAHATI,
ASSAM</t>
  </si>
  <si>
    <t>RIVER BRAHMPUTRA AT SUALKUCHI, DIST. KAMRUP,
ASSAM</t>
  </si>
  <si>
    <t>RIVER BRAHMAPUTRA AT DHUBRI, ASSAM</t>
  </si>
  <si>
    <t>RIVER BRAHAMPUTRA AT BOGIBEEL BRIDGE,
BOGIBEEL, DIBRUGARH</t>
  </si>
  <si>
    <t>RIVER BRAHMAPUTRA AT BISWANATH GHAT</t>
  </si>
  <si>
    <t>RIVER BRAHMAPUTRA AT MATIA (BAHATI GHAT)</t>
  </si>
  <si>
    <t>RIVER BRAHMAPUTRA NEWR DHOLA SADIA BRIDGE</t>
  </si>
  <si>
    <t>RIVER BANAS AT DHANARI DAM, NEAR SWAROOPGANJ,
SIROHI, RAJASTHAN</t>
  </si>
  <si>
    <t>RIVER BANAS BISULPUR DAM, TONK, RAJASTHAN</t>
  </si>
  <si>
    <t>RIVER BANAS AT TRIVENI SANGAM, BHILWARA</t>
  </si>
  <si>
    <t>RIVER NEAR NEWTA DAM,JAIPUR,RAJSTHAN</t>
  </si>
  <si>
    <t>RIVER PIPLADAT PIPLAD DAM, BHAWANI MANDI</t>
  </si>
  <si>
    <t>RIVER KOTHARI AT MEJA DAM BHILWARA (UPSTREAM
OF KOTHARI RIVER)</t>
  </si>
  <si>
    <t>RIVER KOTHARI AT KOTHARI DAM, BHILWARA</t>
  </si>
  <si>
    <t>RIVER BERACH AT GHOSUNDA DAM, CHITTORGARH</t>
  </si>
  <si>
    <t>RIVER BERACH, NEAR HOTEL PADMINI, CHITTORGARH</t>
  </si>
  <si>
    <t>RIVER BERACH NEAR VILLAGE-NAGARI, CHITTORGARH</t>
  </si>
  <si>
    <t>RIVER GAMBHIRI AT GAMBHIRI DAM, NIMBAHERA-TEHSIL, CHITTORGARH</t>
  </si>
  <si>
    <t>RIVER GAMBHIRI NEAR BUS STAND (OLD CITY BRIDGE),
CHITTORGARH,RAJASTHAN</t>
  </si>
  <si>
    <t>RIVER CHHAPI AT CHHAPI DAM UPSTREAM , JHALAWAR,
RAJASTHAN</t>
  </si>
  <si>
    <t>RIVER UJAD AT BHIM SAGAR DAM UPSTREAM ,
JHALAWAR, RAJASTHAN</t>
  </si>
  <si>
    <t>RIVER BARAK AT SENAPATI</t>
  </si>
  <si>
    <t>RIVER BARAK AT N.H. 53, TAMENGLONG</t>
  </si>
  <si>
    <t>RIVER BARAK RIVER AT PANCHAGRAM , ASSAM</t>
  </si>
  <si>
    <t>RIVER MANU AT MANUBAZAR</t>
  </si>
  <si>
    <t>TRIPURA</t>
  </si>
  <si>
    <t>RIVER MANU AT CHAILENGTA</t>
  </si>
  <si>
    <t>RIVER KHUGA (TUITHA) DAM ON KHUGA RIVER</t>
  </si>
  <si>
    <t>RIVER THONGJAOROK AT THONGJAOROK BRIDGE</t>
  </si>
  <si>
    <t>RIVER KUSHIARA AT KARIMGANJ, ASSAM</t>
  </si>
  <si>
    <t>RIVER KHUGA (TUITHA) AT RENGKAI,
CHURACHANDPUR</t>
  </si>
  <si>
    <t>RIVER NAMBUL AT BISHNUPUR</t>
  </si>
  <si>
    <t>RIVER DIHING AT MIAO (U/S OF NOA DIHING)</t>
  </si>
  <si>
    <t>ARUNACHAL
PRADESH</t>
  </si>
  <si>
    <t>RIVER SENKI AT CHANDRANAGAR, ITANAGAR, (U/S OF
PACHIN RIVER)</t>
  </si>
  <si>
    <t>RIVER DIKRONG AT NIRJULI (U/S)</t>
  </si>
  <si>
    <t>RIVER DORIKA NEAR MSW DUMPING SITE, SIVASAGAR</t>
  </si>
  <si>
    <t>RIVER GAI NADI, NEAR HSS LIKABALI (D/S)</t>
  </si>
  <si>
    <t>RIVER SUBANSIRI AT GERUKAMUKH (BEFORE
CONFLUENCE WITH RIVER BRAHMAPUTRA)</t>
  </si>
  <si>
    <t>RIVER SUBANSIRI AT GERUKAMUKH</t>
  </si>
  <si>
    <t>RIVER SIANG AT RANAGHAT, NEAR RCC BRIDGE,
PASIGHAT(U/S)</t>
  </si>
  <si>
    <t>RIVER BARALIA (NEAR CHATPUJA GHAT) RANGIA,
KAMRUP</t>
  </si>
  <si>
    <t>RIVER BURALIA (NEAR BRIDGE ALONG NH-31) NALBARI</t>
  </si>
  <si>
    <t>RIVER CHATHE AT BRIDGE NEAR CIHSR</t>
  </si>
  <si>
    <t>DZUCHA RU</t>
  </si>
  <si>
    <t>DZUDZA RU BELOW HYDRO PROJECT STATION</t>
  </si>
  <si>
    <t>KHA RU ADJOINING MUNICIPAL COUNCIL SWM SITE</t>
  </si>
  <si>
    <t>RIVER DZUCHA CONFLUENCE OF DZUCHA AND KHA RU</t>
  </si>
  <si>
    <t>GELA BEEL AT DERGAON, ASSAM</t>
  </si>
  <si>
    <t>RIVER TORSA D/S OF GHUGHUMARI</t>
  </si>
  <si>
    <t>RIVER TORSA AT HASIMARA</t>
  </si>
  <si>
    <t>RIVER BEKI AT NH-37 CROSSING AT BARPETA ROAD,
ASSAM</t>
  </si>
  <si>
    <t>RIVER BERENG AT CHOWKHAM</t>
  </si>
  <si>
    <t>RIVER BHOGDOI AT JORHAT , ASSAM</t>
  </si>
  <si>
    <t>RIVER BHOGDOI (PUJADUBI GHAT) INTAKE POINT OF
URBAN WATER SUPPLY, JORHAT</t>
  </si>
  <si>
    <t>RIVER JHANJI AT N.H. CROSSING JORHAT, ASSAM</t>
  </si>
  <si>
    <t>RIVER JIA BHARALI AT BISWANATH CHARALI, SONITPUR</t>
  </si>
  <si>
    <t>RIVER SANKOSH DHUBRI, ASSAM</t>
  </si>
  <si>
    <t>SANUO RU BELOW NEW SECRETARIAT</t>
  </si>
  <si>
    <t>RIVER BOGINADI NEAR BRIDGE NH-52, LAKHIMPUR,
ASSAM</t>
  </si>
  <si>
    <t>RIVER RILANG AT MAWKYRWAT,</t>
  </si>
  <si>
    <t>MEGHALAYA</t>
  </si>
  <si>
    <t>RIVER MYNTANG AT NARTIANG</t>
  </si>
  <si>
    <t>RIVER MYNTANG AT MYNSO</t>
  </si>
  <si>
    <t>RIVER DAMRING (KRISHNAI RIVER) AT RESUBELPARA</t>
  </si>
  <si>
    <t>RIVER MANDA (DUDHNOI RIVER) AT JAMGE,</t>
  </si>
  <si>
    <t>RIVER MANDA (DUDHNOI RIVER) AT WAGEASI</t>
  </si>
  <si>
    <t>RIVER TLAWNG MID STREAM, REIEK KAI, AIZAWL,U/S
OF TLAWNG BRIDGE</t>
  </si>
  <si>
    <t>MIZORAM</t>
  </si>
  <si>
    <t>RIVER TLAWNG MID STREAM, REIEK KAI, AIZAWL,D/S OF
TLAWNG BRIDGE</t>
  </si>
  <si>
    <t>RIVER TUIRIAL MID STREAM, TUIRIAL VILLAGE,D/S OF
TUIRIAL BRIDGE</t>
  </si>
  <si>
    <t>RIVER TLAWNG SAIRANG</t>
  </si>
  <si>
    <t>RIVER TLAWNG D/S, RIMAWI VENG, BAIRABI,KOLASIB
DIST.</t>
  </si>
  <si>
    <t>RIVER TLAWNG D/S,SUARPUI, BAIRABI HEPP DAM SITE,
BAIRABI,KOLASIB DIST.</t>
  </si>
  <si>
    <t>RIVER TLAWNG U/S, ZOBAWK VILLAGE, LUNGLEI DIST.</t>
  </si>
  <si>
    <t>RIVER TLAWNG U/S, PIALTHLENG ZOTLANG, LUNGLEI</t>
  </si>
  <si>
    <t>RIVER, SERLUI STREAM, REIEK KAI,
NEAR PHE WATER TREATMENT PLANT, AIZAWL</t>
  </si>
  <si>
    <t>VAIPUANPHO STREAM, AILAWNG, MAMIT DIST.</t>
  </si>
  <si>
    <t>TUIKUAL STREAM, D/S, REIEK KAI, NEAR PHE WATER
TREATMENT PLANT, AIZAWL</t>
  </si>
  <si>
    <t>SAKHISIH STREAM,
MISSION VENGTHLANG, AIZAWL</t>
  </si>
  <si>
    <t>RIVER TUIRIAL UPSTREAM, SUMSUIH,AIZAWL DIST</t>
  </si>
  <si>
    <t>RIVER TUIRIAL MID STREAM, AIRFIELD, U/S OF TUIRIAL
WASTE MANAGEMENT CENTRE,AIZAWL DIST.</t>
  </si>
  <si>
    <t>RIVER TUIRIAL D/S, HEPP DAM, SAIPUM, KOLASIB DIST.</t>
  </si>
  <si>
    <t>RIVER TUIRIAL MID STREAM, AIRFIELD, D/S OF TUIRIAL
WASTE MANAGEMENT CENTRE,AIZAWL DIST</t>
  </si>
  <si>
    <t>RIVER TUIRIAL MID STREAM, TUIRIAL VILLAGE,U/S OF
TUIRIAL BRIDGE</t>
  </si>
  <si>
    <t>DAMDIAI STREAM, AIRFIELD,NEAR TUIRIAL WASTE
MANAGEMENT CENTRE,AIZAWL DIST</t>
  </si>
  <si>
    <t>CHITE STREAM, ARMED VENG,
NEAR MINI SPORTS COMPLEX, AIZAWL</t>
  </si>
  <si>
    <t>TUIRINI RIVER, SELING, SAITUAL DIST</t>
  </si>
  <si>
    <t>TUIVAWL RIVER, KEIFANG VILLAGE, NEAR TUIVAWL
BRIDGE,SAITUAL DIST</t>
  </si>
  <si>
    <t>LAWIBUAL STREAM,
I.T.I VENG, AIZAWL</t>
  </si>
  <si>
    <t>CHALLUI STREAM, LENGPUI, AIZAWL DIST</t>
  </si>
  <si>
    <t>MAT RIVER, DAWN VILLAGE, NEAR MAT
BRIDGE,LUNGLEI DIST.</t>
  </si>
  <si>
    <t>SAIKAH STREAM, LAWNGTLAI</t>
  </si>
  <si>
    <t>CHHIMTUIPUI RIVER, KAWLCHAW, NEAR CHHIMTUPUI
BRIDGE, SAIHA DIST.</t>
  </si>
  <si>
    <t>TUIKUM RIVER,
NEAR PHE WATER TREATMENT PLANT, SERCHHIP</t>
  </si>
  <si>
    <t>SESAH STREAM, DINTHAR, SERCHHIP</t>
  </si>
  <si>
    <t>RIVER PHE RESERVIOR (LAHMUN RIVER), MIZO VENG,
MAMIT</t>
  </si>
  <si>
    <t>RIVER TEIREI BAWNGVA, MAMIT DIST.</t>
  </si>
  <si>
    <t>RIVER TUT DAPCHHUAH, MAMIT DIST.</t>
  </si>
  <si>
    <t>RIVER TUICHHUAHEN STREAM,
NEAR PHE WATER TREATMENT PLANT, KOLASIB</t>
  </si>
  <si>
    <t>RIVER TIAU, ZOKHAWTHAR,
NEAR TIAU BRIDGE,CHAMPHAI DIST.</t>
  </si>
  <si>
    <t>RIVER TUIPUI NEAR PHE WATER TREATMENT PLANT,
CHAMPHAI DIST.</t>
  </si>
  <si>
    <t>RIVER LEIMAKHONG NEAR KANTO AWANG LEIKAI</t>
  </si>
  <si>
    <t>TUPUL RIVER AT TUPUL BRIDGE, NONEY</t>
  </si>
  <si>
    <t>RIVER KONGBA AT IRONG</t>
  </si>
  <si>
    <t>RIVER KONGBA AT IRANPHAM</t>
  </si>
  <si>
    <t>RIVER NONGAL AT NANGALBIBRA</t>
  </si>
  <si>
    <t>RIVER DAMRING AT BOLDAMGRE</t>
  </si>
  <si>
    <t>RIVER CHITE STREAM, NEAR SIPMIU'S STP,
BETHLEHEM VENGTHLANG, AIZAWL</t>
  </si>
  <si>
    <t>RIVER TUIKUAL STREAM, U/S,
MIZORAM NEW CAPITAL COMPLEX , DINTHAR, AIZAWL</t>
  </si>
  <si>
    <t>RIVER SERLUI D/S, SERLUI 'B' HEPP DAM,
BILKHAWTHLIR, KOLASIB DIST.</t>
  </si>
  <si>
    <t>RIVER TEIREI D/S
NR CONFLUENCE PT WITH TLAWNG RIVER, SAPMARA,
BAIRABI,KOLASIB DIST.</t>
  </si>
  <si>
    <t>RIVER KHAWTHLANGTUIPUI ,TLABUNG, LUNGLEI DIST.</t>
  </si>
  <si>
    <t>RIVER, TUIPUI D DARZOKAI, HNAHTHIAL DIST.</t>
  </si>
  <si>
    <t>RIVER TUIPUI U/S,
NR CONFLUENCE PT KEILUNGLIAH STREAM,
VENGTHAR, CHAMPHAI</t>
  </si>
  <si>
    <t>RIVER NGENGPUI STREAM,NR KALADAN MULTI MODAL
RD, LAWNGTLAI DIST.</t>
  </si>
  <si>
    <t>RIVER VANTAWNG WATER FALL, THENZAWL, SERCHHIP
DIST.</t>
  </si>
  <si>
    <t>RIVER KOHORA AT N.H. CROSSING, KOHORA, ASSAM
(BRAHMAPUTRA)</t>
  </si>
  <si>
    <t>RIVER SDERKARIAH AT SOHRA (CHERRAPUNJEE)</t>
  </si>
  <si>
    <t>RIVER LAITRYNGEW AT LAITRYNGEW</t>
  </si>
  <si>
    <t>RIVER WAHKHLEK KHLEK AT SAITSOHPEN</t>
  </si>
  <si>
    <t>RIVER WAHREW AT MAJAI</t>
  </si>
  <si>
    <t>RIVER UMNGI AT JAKREM</t>
  </si>
  <si>
    <t>RIVER UMNGI AT UMPUNG</t>
  </si>
  <si>
    <t>RIVER RWIANG AT RWIANG</t>
  </si>
  <si>
    <t>RIVER KALIPAI AT RYMBAI</t>
  </si>
  <si>
    <t>RIVER KMAI UM AT RYMBAI</t>
  </si>
  <si>
    <t>RIVER WAIKHRWI AT MOOPALA</t>
  </si>
  <si>
    <t>RIVER KWAI AT SUTNGA, JALAPHET</t>
  </si>
  <si>
    <t>RIVER LUKHA AT KHADDUM</t>
  </si>
  <si>
    <t>RIVER MYNTDU AT MIHMYNTDU</t>
  </si>
  <si>
    <t>RIVER MYNTDU AT LESHKA</t>
  </si>
  <si>
    <t>RIVER MYNTDU JOWAI</t>
  </si>
  <si>
    <t>RIVER KYRHUHKHLA KHLIEHRIAT</t>
  </si>
  <si>
    <t>RIVER LAMU AT LESHKA</t>
  </si>
  <si>
    <t>RIVER LYNRIANG AT LESHKA POWER HOUSE</t>
  </si>
  <si>
    <t>RIVER UMIUREM AT LALE</t>
  </si>
  <si>
    <t>RIVER KUPLI AT LOOSKI</t>
  </si>
  <si>
    <t>RIVER KUPLI AT KHANDONG</t>
  </si>
  <si>
    <t>RIVER THLU UMWI AT THLU UMWI</t>
  </si>
  <si>
    <t>RIVER SIMSANG WILLIAMNAGAR</t>
  </si>
  <si>
    <t>RIVER TEESTA AFTER CONFLUENCS OF RIVERS
LACHENCHU AND LACHUNGCHU AT CHUNGTHANG</t>
  </si>
  <si>
    <t>SIKKIM</t>
  </si>
  <si>
    <t>RIVER TEESTA AFTER CONFLUENCS WITH RANICHU AT
SINGTAM</t>
  </si>
  <si>
    <t>RIVER TEESTA AFTER CONFLUENCS WITH RONGPOCHU
AFTER MEETING THE INDUSTRIAL EFFLUENTS FROM
THE TOWN RANGPO</t>
  </si>
  <si>
    <t>RIVER TEESTA AT MELLI DOWNSTREAM MELLI</t>
  </si>
  <si>
    <t>RIVER TEESTA AT SEVOKE, SILIGURI, DARJEELING</t>
  </si>
  <si>
    <t>RIVER TEESTA AT JALPESH</t>
  </si>
  <si>
    <t>RIVER RAIDAK AT ALIPURDUAR</t>
  </si>
  <si>
    <t>RIVER SONAI AT SONAI, ASSAM</t>
  </si>
  <si>
    <t>RIVER RANGA NADI D/S OF HYDEL PROJECT, ASSAM</t>
  </si>
  <si>
    <t>RIVER RANGIT AT DAM SITE (NHPC)</t>
  </si>
  <si>
    <t>RIVER RANGIT AT LEGSHIP</t>
  </si>
  <si>
    <t>RIVER RANGIT AT RESHI</t>
  </si>
  <si>
    <t>RIVER RANGIT AT JORETHANG</t>
  </si>
  <si>
    <t>RIVER RANGIT AT TRIVENI MELLI</t>
  </si>
  <si>
    <t>RIVER RANGIT AT UPSTREAM OF DAM , RANGIT STAGE-IV RESHI NHPC RESHI SORENG,DIST</t>
  </si>
  <si>
    <t>RIVER RANGIT AT JORETHANG (MAJIGOAN), NAMCHI</t>
  </si>
  <si>
    <t>RIVER RANGIT AT MANPUR(BELOW INDUSTRIAL
AREA),NAMCHI DIST SIKKIM</t>
  </si>
  <si>
    <t>RIVER TEESTA AT MAMRING BELOW MAMRING
BRIDGE,NAMCHI, DIST , SIKKIM</t>
  </si>
  <si>
    <t>RIVER TEESTA AT BARDANG BELOW ATTC, PAKYONG
DIST</t>
  </si>
  <si>
    <t>RIVER AFTER CONFLUENCE OF RANICHU AND
RORACHU AT RANIPOOL</t>
  </si>
  <si>
    <t>RIVER RANICHU BEFORE CONFLUENCE WITH TEESTA
AT SINGTAM, SIKKIM</t>
  </si>
  <si>
    <t>RIVER DIKCHU BEFORE CONFLUENCS WITH RIVER
TEESTA NEAR NHPC HYDROELECTRIC POWER
PROJECT DIKCHU</t>
  </si>
  <si>
    <t>RIVER RANGPO U/S DAM SITE</t>
  </si>
  <si>
    <t>RIVER RANGPO D/S DAM SITE</t>
  </si>
  <si>
    <t>RIVER RONGLI U/S DAM SITE</t>
  </si>
  <si>
    <t>RIVER RONGLI D/S DAM SITE</t>
  </si>
  <si>
    <t>RIVER RANGPO AT POWER HOUSE D/S OF GATI
INFRASTRUCTURE PVT. LTD.</t>
  </si>
  <si>
    <t>RIVER RANGPO AT U/S OF RORATHANG BAZAR (ABOVE
SWISS GARNIER)</t>
  </si>
  <si>
    <t>RIVER RANGPO AT D/S OF RORATHANG BRIDGE</t>
  </si>
  <si>
    <t>RIVER RANGPO AT D/S OF PHARMA PLANT KUMREK</t>
  </si>
  <si>
    <t>RIVER RANGPO AT D/S OF POWER HOUSE OF MADHYA
BHARAT</t>
  </si>
  <si>
    <t>RIVER KAPILI AT DHARMTUL BRIDGE, NH-31,
MORIGAON, ASSAM</t>
  </si>
  <si>
    <t>RIVER KAROLA, D/S OF JALPAIGURI, NEAR MIN
BHAWAN, JALPAIGURI</t>
  </si>
  <si>
    <t>RIVER KATHAKAL U/S AT MATIJURI, DIST. HAILAKANDI,
ASSAM</t>
  </si>
  <si>
    <t>RIVER KHARSANG B/C WITH BURIDIHING NEAR
KHARSANG (ASSAM-ARUNANCHAL BORDER), ASSAM</t>
  </si>
  <si>
    <t>RIVER KOLONG AT MARIGAON, ASSAM</t>
  </si>
  <si>
    <t>RIVER KOLONG AT U/S OF ANANDARAM DEKIAL PHUKAN
BRIDGE, NAGAON, ASSAM</t>
  </si>
  <si>
    <t>RIVER KUNDLI AT KUNDLI/ SAPAKHOWA, SADIA, ASSAM</t>
  </si>
  <si>
    <t>RIVER MANU AT MANUGHAT, CONFL POINT OF
CHAWMANU CHARRA &amp; MANU RIVER, DHALAI</t>
  </si>
  <si>
    <t>RIVER MANU AT KAILASHAHAR D/S, NORTH TRIPURA</t>
  </si>
  <si>
    <t>RIVER MANU AT KUMARGHAT, NORTH TRIPURA</t>
  </si>
  <si>
    <t>RIVER NONBAH AT NANGSTOIN MARKET</t>
  </si>
  <si>
    <t>RIVER NONBAH AT PHOTSOHSAT</t>
  </si>
  <si>
    <t>RIVER KYNSHI AT SOHIONG</t>
  </si>
  <si>
    <t>RIVER KYNSHI AT NANGKHNUM</t>
  </si>
  <si>
    <t>RIVER KYNSHI AT RANIKOR</t>
  </si>
  <si>
    <t>RIVER WAH BLEI AT RIANGDO,</t>
  </si>
  <si>
    <t>RIVER WAH BLEI AT SDAD DKHAR,</t>
  </si>
  <si>
    <t>RIVER LOHIT AT ALUBARI (D/S)</t>
  </si>
  <si>
    <t>RIVER MANAS (SANTOSHPUR) NEAR LENGTISINGA</t>
  </si>
  <si>
    <t>RIVER MANAS AT NH-31 CROSSING, BARPETA
DISTRICT, ASSAM</t>
  </si>
  <si>
    <t>RIVER MANEY KHOLA AT BURTUK NEAR ARMY BASE
CAMP, 4 KM U/S OF GANGTOK</t>
  </si>
  <si>
    <t>RIVER MANEY KHOLA AFTER CONFLUENCS WITH RAY
KHOLA AT ADAMPOOL AFTER MEETING WASTE OF STP,
GANGTOK</t>
  </si>
  <si>
    <t>RIVER MILAK AT BORBORA WARD, TULI</t>
  </si>
  <si>
    <t>RIVER MILAK AT PAPER NAGAR, TULI</t>
  </si>
  <si>
    <t>RIVER NAMCHIK AT KHARSANG</t>
  </si>
  <si>
    <t>RIVER NOA DIHING AT NAMSAI, (D/S OF DIHING)</t>
  </si>
  <si>
    <t>RIVER PACHIN AT NAHARLAGUN (BELOW BARAPANI
BRIDGE), (D/S OF RIVER SENKI)</t>
  </si>
  <si>
    <t>RIVER PAGLDIA NEAR NALBARI TOWN, DIST. NALBARI,
ASSAM</t>
  </si>
  <si>
    <t>RIVER PANCHNOI AT NH-52 CROSSING, ORANG, ASSAM</t>
  </si>
  <si>
    <t>RIVER MORA BHARALI AT TEZPUR, ASSAM</t>
  </si>
  <si>
    <t>RIVER CHATHE NEAR ICAR, MEDZIPHEMA</t>
  </si>
  <si>
    <t>RIVER DZU AT DZU BRIDGE</t>
  </si>
  <si>
    <t>RIVER MAHI (D/S) CONF WITH R. CHAP (UNDER
SAGWARA-SARHI RD. BDG.), RAJASTHAN</t>
  </si>
  <si>
    <t>RIVER MAHI AT GAMMON BRIDGE NEAR PADLA CHOWKI,
BANSWARA (MP &amp; RJASTHAN)</t>
  </si>
  <si>
    <t>RIVER MAHI AT SEVALIA</t>
  </si>
  <si>
    <t>GUJARAT</t>
  </si>
  <si>
    <t>RIVER MAHI AT VASAD</t>
  </si>
  <si>
    <t>RIVER MAHI NEAR RAJASTHAN BORDER AT KADANA
DAM,</t>
  </si>
  <si>
    <t>RIVER MAHI AFTER CONF. WITH ANAS AT PARDI
(BANASWADA),</t>
  </si>
  <si>
    <t>RIVER MAHI AT VIRPUR,</t>
  </si>
  <si>
    <t>RIVER MAHI AT UMETA BRIDGE</t>
  </si>
  <si>
    <t>RIVER MAHI AT MUJPUR</t>
  </si>
  <si>
    <t>RIVER MAHI AT SHERKHI BRIDGESINDHROT BRIDGE-VADODARA</t>
  </si>
  <si>
    <t>RIVER MAHI AT DODKAVILLAGE : PRATHAMPURA</t>
  </si>
  <si>
    <t>RIVER MAHI ABOUT 500 METERS D/S OF KADANA DAM
NEAR BRIDGE, PANCHMAHAL, GUJARAT (RAJASTHAN
AND GUJARAT)</t>
  </si>
  <si>
    <t>RIVER MAHI AT BADNAWAR, M.P.</t>
  </si>
  <si>
    <t>RIVER MAHI AT RANISINGH VILLAGE, RATLAM, UJJAIN</t>
  </si>
  <si>
    <t>RIVER MAHI FOREST GUEST HOUSE RAJAPUR MATAJI
SHIVGARH RATLAM.</t>
  </si>
  <si>
    <t>RIVER MAHI AT VILLAGE BAJNA (MP &amp; RJASTHAN)</t>
  </si>
  <si>
    <t>RIVER ANAS RIVER NEAR ROAD BRIDGE JHABUA</t>
  </si>
  <si>
    <t>RIVER ANAS AT DAHOD, (KUSHALGARH), DIST.
PANCHMAHAL</t>
  </si>
  <si>
    <t>RIVER MALEI AT JAORA</t>
  </si>
  <si>
    <t>RIVER SHIVNA AT RAMGHAT, MANDSAUR</t>
  </si>
  <si>
    <t>RIVER PANAM AT LUNAWADA,</t>
  </si>
  <si>
    <t>RIVER CHILLAR AT SHAJAPUR</t>
  </si>
  <si>
    <t>RIVER JAMMER AT DHOLABAD, RATLAM</t>
  </si>
  <si>
    <t>RIVER MAHI AT MAHI DAM,VILLAGE-BHOR KHERA
,BANSWARA</t>
  </si>
  <si>
    <t>RIVER AJAB BOURALI AT PETLAWAD DAM PETLAVAD,
JHABUA</t>
  </si>
  <si>
    <t>RIVER SABARMATI AT KHEROJ BRIDGE,</t>
  </si>
  <si>
    <t>RIVER SABARMATI AFTER CONF. WITH MESHWA AT
VAUTHA (NEAR DHOKLA),</t>
  </si>
  <si>
    <t>RIVER SABARMATI AT RAILWAY BRIDGE AHMEDABAD,</t>
  </si>
  <si>
    <t>RIVER SABARMATI AT HANSAOL BRIDGE,</t>
  </si>
  <si>
    <t>RIVER SABARMATI AT DHAROI DAM</t>
  </si>
  <si>
    <t>RIVER SABARMATI AT AHMEDABAD AT V.N. BRIDGE</t>
  </si>
  <si>
    <t>RIVER SABARMATI AT VILL. MIROLI TALUKA DASCROI,
AHMEDABAD,</t>
  </si>
  <si>
    <t>RIVER SABARMATI AT DHAROI DAM, DIST.
MEHSANA.RIVER SABARMATI TA DHAROI DAM, TAL :
SATALASANA, DIST : MEHSANA</t>
  </si>
  <si>
    <t>RIVER SABARMATI AT AHMEDABAD U/SHANSOL,
AHMEDABAD</t>
  </si>
  <si>
    <t>RIVER SABARMATI AT AHMEDABAD D/SVILL:
MIROLI,TALUKA DASCROI, AHMEDABAD,</t>
  </si>
  <si>
    <t>RIVER SABARMATI AT KHEROJ BRIDGE, SABARKANTHA,
AMBAJI HIGHWAY, KHEROJ, GUJARAT (RAJASTHAN AND
GUJARAT)</t>
  </si>
  <si>
    <t>RIVER SABARMATI AT MAHUDI JAIN TEMPLE, 150 KM.
FORM ORIGIN,</t>
  </si>
  <si>
    <t>RIVER SABARMATI AT GANDHI NAGAR CHILODA
BRIDGE, LEKAWADA,</t>
  </si>
  <si>
    <t>RIVER SHEDHI AT KHEDA,</t>
  </si>
  <si>
    <t>RIVER KHARI AT LALI VILLAGE NEAR AHMEDABAD,</t>
  </si>
  <si>
    <t>RIVER NARMADA AT AMARKANTAK FROM ORIGIN POINT,</t>
  </si>
  <si>
    <t>RIVER NARMADA NEAR ORIGIN POINT AT AMARKANTAK
M.P.</t>
  </si>
  <si>
    <t>RIVER NARMADA AT PUSKAR DAM AMARKANTAK</t>
  </si>
  <si>
    <t>RIVER NARMADA AT MANDLA NEAR ROAD BRIDGE. M.P.</t>
  </si>
  <si>
    <t>RIVER NARMADA AT BARMANGHAT, NARSINGHPUR M.P.</t>
  </si>
  <si>
    <t>RIVER NARMADA AT NEMAWAR</t>
  </si>
  <si>
    <t>RIVER NARMADA 500 M.D/S NEAR JAIN MANDER
VILLAGE NEMAWAR</t>
  </si>
  <si>
    <t>RIVER NARMADA AT MANDLESHWAR</t>
  </si>
  <si>
    <t>RIVER NARMADA AT BADWANI, M.P.</t>
  </si>
  <si>
    <t>RIVER NARMADA AT MAHESHWAR, M. P.</t>
  </si>
  <si>
    <t>RIVER NARMADA NEAR SHAHGANJ GUEST HOUSE
DISTRICT SEHORE (M.P.)</t>
  </si>
  <si>
    <t>RIVER NARMADA NEAR MORTAKKA BRIDGE, BADWAH</t>
  </si>
  <si>
    <t>RIVER NARMADA AT SETHANIGHAT</t>
  </si>
  <si>
    <t>RIVER NARMADA AT HOSHANGABAD 100 METER D/ S
AFTER CONFLUENCE OF SPM NALLA M.P.</t>
  </si>
  <si>
    <t>RIVER NARMADA NEAR PUNASA DAM, PUNASA</t>
  </si>
  <si>
    <t>RIVER NARMADA AT D/S OF OMKARESHWAR M.P.</t>
  </si>
  <si>
    <t>RIVER NARMADA AT MANDLA, NEAR SHAMSHANGHAT,
JABALPUR</t>
  </si>
  <si>
    <t>RIVER NARMADA AT LALPUR, JABALPUR</t>
  </si>
  <si>
    <t>RIVER NARMADA AT TILWARAGHAT, JABALPUR</t>
  </si>
  <si>
    <t>RIVER NARMADA AT PANCHWATIGHAT, BEFORE MIXING
WITH BAWANGANGA RIVER, JABALPUR</t>
  </si>
  <si>
    <t>RIVER NARMADA AT SARSWATIGHAT, AFTER MIXING
WITH BAWANGANGA RIVER, JABALPUR</t>
  </si>
  <si>
    <t>RIVER NARMADA RIVER AT D/S OF KAPILDHARA</t>
  </si>
  <si>
    <t>RIVER NARMADA AT KORIGHAT HOSHANGABAD</t>
  </si>
  <si>
    <t>RIVER NARMADA AT DHARAMPURI</t>
  </si>
  <si>
    <t>RIVER NARMADA AT CHANDANGHAT NEAR ROAD
BRIDGE, DINDORI</t>
  </si>
  <si>
    <t>RIVER NARMADA AT DINDORI D/S AFTER MIXING TO
CITY DOMESTIC NEAR JOGOTIKARIA GHAT</t>
  </si>
  <si>
    <t>RIVER NARMADA NEAR BHAIRAV TAMPLE AT
SHHASTRADHARA MANDLA</t>
  </si>
  <si>
    <t>RIVER NARMADA NEAR ROAD BRIDGE (D/S BARGI DAM)
JABALPUR</t>
  </si>
  <si>
    <t>RIVER NARMADA AT JAMTARA, NEAR RAILWAY BRIDGE</t>
  </si>
  <si>
    <t>RIVER NARMADA NEAR ROAD BRIDGE JHANSINGHAT
JABALPUR</t>
  </si>
  <si>
    <t>RIVER NARMADA N.H. 44 NEAR ROAD BRIDGE AT
BARMAN. JABALPUR</t>
  </si>
  <si>
    <t>RIVER NARMADA, BARMANGHAT, 100 MDS OF
MAINGHAT</t>
  </si>
  <si>
    <t>RIVER NARMADA S.N. 44 NEAR ROAD BRIDGE NEAR
JHILKOLI NARSINGPUR</t>
  </si>
  <si>
    <t>RIVER NARMADA AT NEAR ROAD BRIDGE, SANDIA</t>
  </si>
  <si>
    <t>RIVER NARMADA AT UP- STREAM OF VILLAGE JAIT
NEAR NARYANAPURA DISTRICT SEHORE (M.P.)</t>
  </si>
  <si>
    <t>RIVER NARMADA AT D/S OF VILL. JAIT</t>
  </si>
  <si>
    <t>RIVER NARMADA AT UP-STREAM BEFORE
CONFLUENCE OF RIVER TAWA NEAR BANDRABHAN
DISTRICT SEHORE M.P.</t>
  </si>
  <si>
    <t>RIVER NARMADA AT DOWN-STREAM AFTER
CONFLUENCE OF RIVER TAWA NEAR
RAMNAGAR,DISTRICT SEHORE (M.P.)</t>
  </si>
  <si>
    <t>RIVER NARMADA AT BUDHNIGHAT, BUDHNI DISTRICT
SEHORE( M.P.)</t>
  </si>
  <si>
    <t>RIVER NARMADA AT DOWN-STREAM OF TEXTILE UNIT
VILLAGE. HOLIPURA BUDNI DISTRICT SEHORE (M.P.)</t>
  </si>
  <si>
    <t>RIVER NARMADA AT BEFOR CONFLU. OF RIVER JAMNER
VILL. NEMAWAR</t>
  </si>
  <si>
    <t>RIVER NARMADA AT HANUWANTIA DIST. KHANDWA</t>
  </si>
  <si>
    <t>RIVER NARMADA AT U/S OMKAREWHWAR DAM
KHANDWA</t>
  </si>
  <si>
    <t>RIVER NARMADA RIVER AT DHARESHWAR</t>
  </si>
  <si>
    <t>RIVER NARMADA NEAR W/S INTAKE JALLOD</t>
  </si>
  <si>
    <t>RIVER NARMADA RIVER AT SHAHASTRADHARA
(JALKOTI)</t>
  </si>
  <si>
    <t>RIVER NARMADA AT KHALGHAT</t>
  </si>
  <si>
    <t>RIVER NARMADA RIVER AT SEMALDA U/S OF BARWANI</t>
  </si>
  <si>
    <t>RIVER NARMADA AT KOTESHWAR</t>
  </si>
  <si>
    <t>RIVER NARMADA AT KAKRANA, INTERSTATE BOUNDRY,
ALIRAJPUR</t>
  </si>
  <si>
    <t>RIVER NARMADA AT NAVAGAM, NEAR GORA COLONY,
KEVADIA, GUJARAT (GUJARAT AND MADHYA PRADESH)</t>
  </si>
  <si>
    <t>RIVER NARMADA AT GARUDESHWAR</t>
  </si>
  <si>
    <t>RIVER NARMADA AT PANETHA,</t>
  </si>
  <si>
    <t>RIVER NARMADA AT CHANDOD,</t>
  </si>
  <si>
    <t>RIVER NARMADA AT ZANOR (NTPC), BHARUCHRIVER
NARMADA AT ZANOR (NTPC), BHARUCH</t>
  </si>
  <si>
    <t>RIVER NARMADA AT BHARUCH, ZADESHVAR,</t>
  </si>
  <si>
    <t>RIVER CHOTA TAWA BEFORE CONFL. WITH RIVER
NARMADA, M.P.</t>
  </si>
  <si>
    <t>RIVER GOUR NEAR BHOGDWAR WSS INTAKE POINT,
JABALPUR</t>
  </si>
  <si>
    <t>RIVER KUNDA AT KHARGONE</t>
  </si>
  <si>
    <t>RIVER BANJAR AT MALANJKHAND NEAR W/S INTAKE
POINT, JABALPUR</t>
  </si>
  <si>
    <t>RIVER HIRAN, NH 7 ROAD BRIDGE, SIHORA, DIST
JABALPUR</t>
  </si>
  <si>
    <t>RIVER HIRAN, NH -12 ROAD BRIDGE VIL VIKRAMPUR
,DIST NARSINGPUR</t>
  </si>
  <si>
    <t>RIVER HIRAN AFTER MIXING PARIYAT RIVER NEAR
ROAD BRIDGE AT VILL GANIYARI, JABALPUR</t>
  </si>
  <si>
    <t>RIVER BANJAR RIVER NEAR ROAD BRIDGE, VILL.
KHARRADHAR MALANJKHAND.</t>
  </si>
  <si>
    <t>RIVER WAINGANGA RIVER NEAR VILL. BUDUNDA
MALANJKHAND, DISTT BALAGHAT</t>
  </si>
  <si>
    <t>RIVER TAPI AT NEPANAGAR</t>
  </si>
  <si>
    <t>RIVER TAPI AT BURHANPUR</t>
  </si>
  <si>
    <t>RIVER TAPI AT HATNUR M.P.</t>
  </si>
  <si>
    <t>RIVER TAPI AT VILLAGE KHEDI, NEAR AMARAWATI ROAD
BRIDGE , BETUL</t>
  </si>
  <si>
    <t>RIVER TAPI AT UKAI, SHERULA BRIDGE</t>
  </si>
  <si>
    <t>RIVER TAPI AT MANDAVI,</t>
  </si>
  <si>
    <t>RIVER TAPI NEAR BARDOLI (KAPP BRIDGE)
BARDOLIKAKRAPAR,SURAT</t>
  </si>
  <si>
    <t>RIVER TAPI AT KATHORE, (NH-8 BRIDGE)RIVER TAPI AT
KATHORE, (NH-8 BRIDGE) U/S OF SURAT CITY</t>
  </si>
  <si>
    <t>RIVER TAPI AT SURAT U/S KATHORE,RIVER TAPI NEAR
LIMDESHWAR MAHDEV AT KATHOR</t>
  </si>
  <si>
    <t>RIVER TAPI AT RANDER BRIDGE, SURATRANDER,SURAT</t>
  </si>
  <si>
    <t>RIVER TAPI AT ONGC BRIDGE AT SURAT, DIST.
SURATHAZIRA,SURAT</t>
  </si>
  <si>
    <t>RIVER TAPI AT KUKURMUNDA BRIDGE, NIZHAR ROAD,
NEAR VILLAGE KUKURMUNDA, GUJARAT
(MAHARASHTRA AND GUJARAT)</t>
  </si>
  <si>
    <t>RIVER TAPI AT PRAKASHA, (MAHARASHTRA)</t>
  </si>
  <si>
    <t>MAHARASHTRA</t>
  </si>
  <si>
    <t>RIVER TAPI AT AJNAD, (MAHARASHTRA)</t>
  </si>
  <si>
    <t>RIVER TAPI AT U/S, BHUSAWAL,VILLAGE. BHUSAWAL
RAILWAY COLONY, TALUKA. BHUSAWAL, DISTRICT.
JALGAON.</t>
  </si>
  <si>
    <t>RIVER TAPI AT AJNAD VILLAGE, VILLAGE.AJNAD ,
TALUKA. RAVER, DISTRICT.JALGAON.</t>
  </si>
  <si>
    <t>RIVER TAPI AT UBAD VILLAGE NEAR GUJRATBORDER,
VILLAGE. UBAD, TALUKA. SHAHADA, DISTRICT.
NANDURBAR.</t>
  </si>
  <si>
    <t>RIVER AMRAVATI AT VILLAGE DADHAL , TA
ANKLESHWAR, BHARUCHNR RAILWAY BRIDGE, AT
VILLAGE DHADHAL , TA: ANKLESHWAR, DIST BHARUCH</t>
  </si>
  <si>
    <t>RIVER GOMAI D/S. OF SHAHADA, VILLAGE-SHAHADA,TALUKA- DHULE,DISTRICT- DHULE.</t>
  </si>
  <si>
    <t>RIVER BURAI BEFORE CONFLUENCE TO TAPI RIVER,
VILLAGE- MUKUDAS, TALUKA- DHULE, DISTRICT- DHULE.</t>
  </si>
  <si>
    <t>RIVER KIM AT SAHOL BRIDGE, OLPAD HANSOT ROAD,
DIST. SURATSAHOL, OLPAD HANSOT ROAD, SAHOL
BRIDGE,SURAT</t>
  </si>
  <si>
    <t>RIVER DENWA NEAR SARNI, ROAD BRIDGE</t>
  </si>
  <si>
    <t>RIVER GIRNA AT JALGAON AT INTAKE OF GIRNA PUMP
HUOSE, VILLAGE- GIRNA PUMP HOUSE AREA, TALUKA-JALGAON, DISTRICT- JALGAON.</t>
  </si>
  <si>
    <t>RIVER GIRNA AT MALEGAON ROAD BRIDGE, VILLAGE.
MALEGAON, TALUKA. MALEGAON, DISTRICT. NASHIK.</t>
  </si>
  <si>
    <t>RIVER RANGAVALI AT D/S OF NAVAPUR NEAR
RANGAVALI BRIDGE, VILLAGE- NAVAPUR, TALUKA-NAVAPUR, DISTRICT- NANDURBAR.</t>
  </si>
  <si>
    <t>RIVER MOR NEAR PADALASHE, VILLAGE-PADALASHE,TALUKA- JALGAON, DISTRICT- JALGAON.</t>
  </si>
  <si>
    <t>RIVER WAGHUR AT- SAKEGAON BEFORE CONFLUENCE
WITH TAPI RIVER, VILLAGE- SAKEGAON, TALUKA-JALGAON, DISTRICT- JALGAON.</t>
  </si>
  <si>
    <t>RIVER PANZARA NEAR PANZARAKAN SSK LTD, VILLAGE-PANZARA,TALUKA- DHULE, DISTRICT- DHULE.</t>
  </si>
  <si>
    <t>RIVER PURNA AT DHUPESHWAR AT U/S OF MALKAPUR
WATER WORKS, MALKAPUR, DIST.AKOLA</t>
  </si>
  <si>
    <t>RIVER PURNA AT D/S OF CONFLUENCE OF MORNA &amp;
PURNA RIVER AT ANDURA VILLAGE, VILLAGE-ANDURA,
TALUKA- BALAPUR, DISTRICT - AKOLA.</t>
  </si>
  <si>
    <t>RIVER PEDHI NEAR ROAD BRIDGE AT DADHI- PEDHI
VILLAGE, VILLAGE- DADHI- PEDHI, TALUKA- BHATKULI,
DISTRICT- AMRAVATI.</t>
  </si>
  <si>
    <t>RIVER PURNA NEAR ACHALPUR- AMRAVATI ROAD
BRIDGE, VILLAGE- ASEGAON,TALUKA- CHANDUR
BAZAR, DISTRICT- AMRAVATI.</t>
  </si>
  <si>
    <t>RIVER MAHANADI AT POWER CHANNEL U/S NEAR
BURLA</t>
  </si>
  <si>
    <t>ODISHA</t>
  </si>
  <si>
    <t>RIVER MAHANADI AT CUTTACK FD/S AT
GATIRAUTAPATNA</t>
  </si>
  <si>
    <t>RIVER MAHANADI AT PARADEEP U/S (BEFORE
INDUSTRIAL ACTIVITY AT PARADEEP)</t>
  </si>
  <si>
    <t>RIVER MAHANADI AT PARADEEP D/S</t>
  </si>
  <si>
    <t>RIVER SEONATH AT U/S RAJNANDGAON, CHHATISGARH.</t>
  </si>
  <si>
    <t>CHHATTISGARH</t>
  </si>
  <si>
    <t>RIVER SEONATH AT SHIMGA NEAR ROAD BRIDGE</t>
  </si>
  <si>
    <t>RIVER SEONATH WATER SUPPLY WELL, DURG,
CHHATISGARH.</t>
  </si>
  <si>
    <t>RIVER SEONATH AT JHINGHRI VILLAGE, A/C OF SAMODA
NALLA, CHHATISGARH.</t>
  </si>
  <si>
    <t>RIVER SEONATH AT MOHAD, RAJNANDGAON</t>
  </si>
  <si>
    <t>RIVER BHEDEN BEFORE CONFLUENCE WITH IB RIVER</t>
  </si>
  <si>
    <t>RIVER KHAROON AT BHATAGAON NEAR WATER
SUPPLY INTAKEWELL RAIPUR</t>
  </si>
  <si>
    <t>RIVER KHAROON B/C KHAPRI NAHLA RAIPUR
ROAD,CHHATTISGARH</t>
  </si>
  <si>
    <t>RIVER KHAROON A/C KHAPRI NAHLA,CHHATTISGARH</t>
  </si>
  <si>
    <t>RIVER KHAROON AT VILLAGE BENDRI, NEAR WATER
SUPPLY INTAKEWELL</t>
  </si>
  <si>
    <t>RIVER HASDEO UP STREAM OF HASDEO BANGO HYDEL
POWER STATION STATION MACHADOLI KORBA</t>
  </si>
  <si>
    <t>RIVER HASDEO AT U/S OF CHAMPA CHHATTISGARH</t>
  </si>
  <si>
    <t>RIVER HASDEO 100 METER DOWNSTREAM AFTER
CONFLUENCE OF DENGUR NALLAH NERA C.S.E.B. EAST
GUEST HOUSE, KORBA, CHHATISGARH.</t>
  </si>
  <si>
    <t>RIVER HASDEO AT DRINKING WATER INTANK WELL OF
MUNICIPAL CO. KORBA (BEFORE TREATMENT ) AT
LOHADIA VILLAGE,</t>
  </si>
  <si>
    <t>RIVER HASDEO DRINKING WATER INTAKE WELL OF
MUNICIPAL CO. KORBA AFTER TREATMENT PLANT AT
VILLAGE KOHADIA KORBA</t>
  </si>
  <si>
    <t>RIVER IB AT SUNDARGARH</t>
  </si>
  <si>
    <t>RIVER IB AT JHARSUGUDA (INTAKE)</t>
  </si>
  <si>
    <t>RIVER IB AT BRAJARAJNAGAR (INTAKE) D/S</t>
  </si>
  <si>
    <t>RIVER IB AT BRAJARAJNAGAR U/S</t>
  </si>
  <si>
    <t>RIVER SERUA AT CUTTACK FD/S (SERUA) AT
SANKHATRASA</t>
  </si>
  <si>
    <t>RIVER KUAKHAI AT BHUBANESWAR U/S</t>
  </si>
  <si>
    <t>RIVER DAYA AT BHUBANESWAR D/S</t>
  </si>
  <si>
    <t>RIVER KUAKHAI AT BHUBANESWAR FU/S</t>
  </si>
  <si>
    <t>RIVER BIRUPA AT CHOUDWAR D/S</t>
  </si>
  <si>
    <t>RIVER ARPA D/S OF BILASPUR CITY AT CHECK DAM
OUTLET NEAR DEORI KHURD, BILASPUR</t>
  </si>
  <si>
    <t>RIVER KELO U/S URDANA VILLAGE</t>
  </si>
  <si>
    <t>RIVER KELO D/S LAHANGAPALI BRIDGE MIDMIDA
VILLAGE</t>
  </si>
  <si>
    <t>RIVER DAYA AT BHUBANESWAR FD/S ( 2 KM AFTER
CONFLUENCE OF GANGUA NALLAH WITH DAYA)</t>
  </si>
  <si>
    <t>RIVER DAYA AT GELAPUR</t>
  </si>
  <si>
    <t>RIVER DAYA AT KANAS</t>
  </si>
  <si>
    <t>RIVER KATHAJODI AT CUTTACK U/S</t>
  </si>
  <si>
    <t>RIVER KATHAJODI AT CUTTACK D/S</t>
  </si>
  <si>
    <t>RIVER KATHAJODI AT CUTTACK FD/S AT MATTAGAJPUR</t>
  </si>
  <si>
    <t>RIVER KATHAJODI AT CUTTACK FD/S AT KAMASASAN</t>
  </si>
  <si>
    <t>RIVER GOBARI AT KENDRAPARA U/S</t>
  </si>
  <si>
    <t>RIVER GOBARI AT KENDRAPARA D/S</t>
  </si>
  <si>
    <t>RIVER DEVI AT MACCHGAON</t>
  </si>
  <si>
    <t>RIVER GANGUA NEAR RAJDHANI ENGINEERING
COLLEGE</t>
  </si>
  <si>
    <t>RIVER GANGUA AT PALASUNI</t>
  </si>
  <si>
    <t>RIVER GANGUA AT SAMANTARAPUR</t>
  </si>
  <si>
    <t>RIVER GANGUA AT VADIMULA</t>
  </si>
  <si>
    <t>RIVER KUSHABHADRA AT BHINGARPUR</t>
  </si>
  <si>
    <t>RIVER KUSHABHADRA AT NIMAPARA</t>
  </si>
  <si>
    <t>RIVER KUSHABHADRA AT GOP</t>
  </si>
  <si>
    <t>RIVER MANGALA AT PURI U/S MALATIPATPUR</t>
  </si>
  <si>
    <t>RIVER MANGALA AT PURI D/S GOLASAHI</t>
  </si>
  <si>
    <t>RIVER BHARGAVI AT CHANDANPUR</t>
  </si>
  <si>
    <t>RIVER KANSARI AT BANAPUR ROAD NEAR
PURUSHOTTAMPUR</t>
  </si>
  <si>
    <t>RIVER BADASANKHA NADI NEAR LANGALESWAR</t>
  </si>
  <si>
    <t>RIVER RATNACHIRA NAADI AT KUMARADIHI</t>
  </si>
  <si>
    <t>RIVER NUNA NADI AT BIJIPUR</t>
  </si>
  <si>
    <t>RIVER KUSUMI NADI NEAR TANGI (LAXMIDHARA PUR)</t>
  </si>
  <si>
    <t>RIVER SABULIA NADI NEAR RAMBHA (AT
JAGANNATHPATNA)</t>
  </si>
  <si>
    <t>RIVER TEL (OVER ROAD BRIDGE STATE HIGHWAY -41,
MANAMUNDA)</t>
  </si>
  <si>
    <t>RIVER DHAMRA AT DHAMRA</t>
  </si>
  <si>
    <t>RIVER HASDEO DOWN STREAM OF HASDEO RIVER
NEAR VILLAGE URGA KORBA</t>
  </si>
  <si>
    <t>RIVER ONG AT DHARUAKHAMMA</t>
  </si>
  <si>
    <t>RIVER GOBARI AT JAMBO</t>
  </si>
  <si>
    <t>RIVER HANSUA AT BARUNEI</t>
  </si>
  <si>
    <t>RIVER PATSALA AT GUPTI</t>
  </si>
  <si>
    <t>RIVER DHAMRA, KALIBHANJADIA</t>
  </si>
  <si>
    <t>RIVER BHITARAKANIKA AT DANGAMALA</t>
  </si>
  <si>
    <t>RIVER BAITARNI AT JODA</t>
  </si>
  <si>
    <t>RIVER BAITARNI AT ANANDPUR</t>
  </si>
  <si>
    <t>RIVER BAITARNI AT JAJPUR</t>
  </si>
  <si>
    <t>RIVER BAITARNI AT NAIGARH</t>
  </si>
  <si>
    <t>RIVER BAITARNI AT UNCHABALI</t>
  </si>
  <si>
    <t>RIVER BAITARNI AT TRIBINDHA</t>
  </si>
  <si>
    <t>RIVER BAITARNI AT CHAMPUA</t>
  </si>
  <si>
    <t>RIVER BAITARNI AT CHANDBALI U/S</t>
  </si>
  <si>
    <t>RIVER BAITARNI AT CHANDBALI D/S</t>
  </si>
  <si>
    <t>RIVER SALANDI AT BHADRAK U/S</t>
  </si>
  <si>
    <t>RIVER SALANDI AT BHADRAK D/S</t>
  </si>
  <si>
    <t>RIVER KUSEI BEFORE JOINING WITH BAITARANI AT
ANANDPUR, DEOGAON</t>
  </si>
  <si>
    <t>RIVER BRAHMANI AT U/S PANPOSH</t>
  </si>
  <si>
    <t>RIVER BRAHMANI AT D/S PANPOSH AT DEOGAN</t>
  </si>
  <si>
    <t>RIVER BRAHMANI AT ROURKELA D/S AT JALDA</t>
  </si>
  <si>
    <t>RIVER BRAHMANI AT ROURKELA FD/S AT BIRITOLA</t>
  </si>
  <si>
    <t>RIVER BRAHMANI AT BONAIGARH</t>
  </si>
  <si>
    <t>RIVER BRAHMANI AT RENGALI</t>
  </si>
  <si>
    <t>RIVER BRAHMANI AT SAMAL</t>
  </si>
  <si>
    <t>RIVER BRAHMANI AT TALCHER FU/S (INTAKE WELL OF
MCL, TALCHER)</t>
  </si>
  <si>
    <t>RIVER BRAHMANI AT TALCHER FD/S</t>
  </si>
  <si>
    <t>RIVER BRAHMANI AT KAMALANGA (TALCHER D/S)</t>
  </si>
  <si>
    <t>RIVER BRAHAMNI AT DHENKANAL D/S, DHENKANAL
TOWN</t>
  </si>
  <si>
    <t>RIVER BRAHMANI AT TALCHER U/S</t>
  </si>
  <si>
    <t>RIVER BRAHMANI AT BHUBAN</t>
  </si>
  <si>
    <t>RIVER BRAHMANI AT KABATABANDHA (BEFORE IMPACT
OF INDUSTRIAL ACTIVITY IN KALINGANAGAR AREA)</t>
  </si>
  <si>
    <t>RIVER BRAHMANI AT DHARAMSHALA U/S</t>
  </si>
  <si>
    <t>RIVER BRAHMANI AT DHARMASHALA U/S</t>
  </si>
  <si>
    <t>RIVER BRAHMANI AT PATTAMUNDAI</t>
  </si>
  <si>
    <t>RIVER BRAHMANI AT ROURKELA FD/S AT ATTAGHAT</t>
  </si>
  <si>
    <t>RIVER BRAHMANI AT MANDAPAL</t>
  </si>
  <si>
    <t>RIVER BRAHMANI AT DHENKANAL U/S</t>
  </si>
  <si>
    <t>RIVER KHARASROTA AT KHANDITARA (D/S OF
INDUSTRIAL ACTIVITIES AT KALINGA NAGAR)</t>
  </si>
  <si>
    <t>RIVER KHARASROTA AT AUL</t>
  </si>
  <si>
    <t>RIVER KHARASROTA AT BINJHARPUR</t>
  </si>
  <si>
    <t>RIVER KISINDAJHOR AT KHARAGPRASAD</t>
  </si>
  <si>
    <t>RIVER BANGURUSINGADA JHOR</t>
  </si>
  <si>
    <t>RIVER SANKHA U/S ( D/S OF MANDIRA DAM)</t>
  </si>
  <si>
    <t>RIVER KARO AT BADBIL</t>
  </si>
  <si>
    <t>RIVER BADAJHOR (AT DHENKANAL)</t>
  </si>
  <si>
    <t>RIVER DAMASALA AT DAYANABIL</t>
  </si>
  <si>
    <t>RIVER TIKIRA AT KANIHA U/S</t>
  </si>
  <si>
    <t>RIVER TIKIRA AT KANIHA D/S</t>
  </si>
  <si>
    <t>RIVER RAMIALA NEAR KAMAKHYANAGAR</t>
  </si>
  <si>
    <t>RIVER KOEL AT MANOHARPUR AFTER MEETING KOINA
RIVER D/S, JHARKAND</t>
  </si>
  <si>
    <t>RIVER KOEL U/S (AFTER CONFLUENCE OF KARO)</t>
  </si>
  <si>
    <t>RIVER NANDIRA U/S AT KUKUDANGA</t>
  </si>
  <si>
    <t>RIVER NANDIRA D/S AT DASNALI</t>
  </si>
  <si>
    <t>RIVER LINGIRA U/S OF ANGUL</t>
  </si>
  <si>
    <t>RIVER LINGIRA D/S OF ANGUL</t>
  </si>
  <si>
    <t>RIVER SINGDA JHOR (TALCHER KANIHA ROAD BRIDGE,
BALANGI)</t>
  </si>
  <si>
    <t>BANGURU NALLAH (OVER BRIDGE TALCHER RENGALI
DAM ROAD, SARKISOREPAL)</t>
  </si>
  <si>
    <t>RIVER GODAVARI AT U/S OF GANGAPUR DAM, VILLAGE-GANGAPUR,TALUKA- NASHIK, DISTRICT- NASHIK.</t>
  </si>
  <si>
    <t>RIVER GODAVARI NEAR SOMESHWAR TEMPLE,
VILLAGE- SOMESHWAR, TALUKA- NASHIK, DISTRICT-NASHIK.</t>
  </si>
  <si>
    <t>RIVER GODAVARI AT HANUMAN GHAT, VILLAGE-NASHIK CITY, TALUKA- NASHIK, DISTRICT- NASHIK.</t>
  </si>
  <si>
    <t>RIVER GODAVARI AT RAMKUND, VILLAGE-PANCHAVATI, TALUKA- NASHIK, DISTRICT- NASHIK.</t>
  </si>
  <si>
    <t>RIVER GODAVARI AT D/S OF NASHIK NEAR AMARDHAM,
VILLAGE- GADGEBABAMAHARAJ NAGAR, TALUKA -NASHIK, DISTRICT- NASHIK.</t>
  </si>
  <si>
    <t>RIVER GODAVARI AT TAPOVAN,VILLAGE- TAPOVAN,
TALUKA- NASHIK, DISTRICT- NASHIK.</t>
  </si>
  <si>
    <t>RIVER GODAVARI AT KAPILA- GODAVARI CONFLUENCE
POINT, VILLAGE- TAPOVAN, TALUKA- NASHIK, DISTRICT-NASHIK.</t>
  </si>
  <si>
    <t>RIVER GODAVARI AT SAIKHEDA VILLAGE, VILLAGE-SAIKHEDA, TALUKA- NIPHAD, DISTRICT- NASHIK.</t>
  </si>
  <si>
    <t>RIVER GODAVARI AT NANDUR-MADHMESHWAR DAM,
VILLAGE- NANDUR, TALUKA- NIPHAD, DISTRICT- NASHIK.</t>
  </si>
  <si>
    <t>RIVER GODAVARI AT U/S OF AURANGABAD
RESERVOIR,KAIGAON TOKKA NEAR KAIGAON
BRIDGE,VILLAGE- KAIGAON,TALUKA- GANGAPUR,
DISTRICT- AURANGABAD.</t>
  </si>
  <si>
    <t>RIVER GODAVARI AT U/S OF PAITHAN AT PAITHAN
INTAKE PUMP HOUSE, VILLAGE- JAYAKWADI, TALUKA-PAITHAN, DISTRICT- AURANGABAD.</t>
  </si>
  <si>
    <t>RIVER GODAVARI AT JAIKWADI DAM, VILLAGE-PAITHAN, TALUKA- PAITHAN, DISTRICT-AURANGABAD.</t>
  </si>
  <si>
    <t>RIVER GODAVARI AT D/S OF PAITHAN AT PATHEGAON
BRIDGE, VILLAGE- PATHEGAON, TALUKA- PAITHAN,
DISTRICT- AURANGABAD.</t>
  </si>
  <si>
    <t>RIVER GODAVARI AT JALNA INTAKE WATER PUMP
HOUSE, VILLAGE- SHAHABAD, TALUKA- AMBAD,
DISTRICT- JALNA.</t>
  </si>
  <si>
    <t>RIVER GODAVARI AT LATUR WATER INTAKE NEAR PUMP
HOUSE. VILLAGE. DHAMEGAON, TALUKA. KALUMB,
DISTRICT. OSMANABAD.</t>
  </si>
  <si>
    <t>RIVER GODAVARI AT DHALEGAON, VILLAGE-DHALEGAON, TALUKA- PATHARI, DISTRICT- PARBHANI.</t>
  </si>
  <si>
    <t>RIVER GODAVARI AT RAHER, VILLAGE.RAHER, TALUKA.
NAYAGAON, DISTRICT. NANDED.</t>
  </si>
  <si>
    <t>RIVER GODAVARI NEAR INTAKE WATER PUMP HOUSE,
VILLAGE- VISHNUPURI, TALUKA- NANDED, DISTRICT-NANDED.</t>
  </si>
  <si>
    <t>RIVER GODAVARI AT BELUR,DHARMADABAD, NANDED
(MAHARSHTRA)</t>
  </si>
  <si>
    <t>RIVER GODAVARI AT BASARA (V &amp; M), NIRMAL (D)</t>
  </si>
  <si>
    <t>TELANGANA</t>
  </si>
  <si>
    <t>RIVER GODAVARI- POCHERA WATER FALLS, POCHERA
(V), BOATH (M), ADILABAD (D)</t>
  </si>
  <si>
    <t>RIVER GODAVARI PUSHKAR GHAT , MANCHERIAL (V&amp;M),
MANCHERIAL (D)</t>
  </si>
  <si>
    <t>RIVER GODAVARI AT MANCHERIAL (V&amp;M),
MANCHERIAL(D)</t>
  </si>
  <si>
    <t>RIVER GODAVARI-RIVER GODAVARI AT MANCHERIAL,
NEAR RAIL WAY BRIDGE B/C OF RALLAVAGU,
MANCHERIAL (D)</t>
  </si>
  <si>
    <t>RIVER GODAVARI-D/S AT RAMAGUNDAM NEAR FCI
INTAKE WELL, PEDDAPALLI</t>
  </si>
  <si>
    <t>RIVER GODAVARI AT GODAVARIKHANI NEAR BATHING
GHAT , PEDDAPALLI</t>
  </si>
  <si>
    <t>RIVER GODAVARI AT RAMAGUNDAM UPSTREAM NEAR
DAM, PEDDAPALLI</t>
  </si>
  <si>
    <t>RIVER GODAVARI D/S AFTER CONFLUENCE OF
RAMAGUNDAM FERTILIZE AND CHEMICALS LTD
(RFCL),DISCHARGE INTO RIVER</t>
  </si>
  <si>
    <t>RIVER GODAVARI D/S OF RAMAGUNDAM AT MANTHANI,
PEDDAPALLI</t>
  </si>
  <si>
    <t>RIVER GODAVARI AT KALESHWARAM, 500 MTS. BEFORE
BATHING GHAT, KALESHWARAM (V), MAHADEVPUR
(M),JAYASHANKAR BHUPALAPALLY</t>
  </si>
  <si>
    <t>RIVER GODAVARI - U/S AT KAMALAPUR ,AT M/S.AP
RAYONS LTD., INTAKE WELL , KAMALAPUR (V),
MANGAPET (M), MULUGU (D)</t>
  </si>
  <si>
    <t>RIVER GODAVARI - D/S AT KAMALAPUR ,AT M/S.AP
RAYONS LTD., DISCHARGE POINT , MANGAPET (V&amp;M),
MULUGU (D)</t>
  </si>
  <si>
    <t>RIVER GODAVARI - U/S AT BHADRACHALAM BATHING
GHAT, BHADRADRI KOTHAGUDEM</t>
  </si>
  <si>
    <t>RIVER GODAVARI - D/S AT BHADRACHALAM BATHING
GHAT , BHADRADRI KOTHAGUDEM</t>
  </si>
  <si>
    <t>RIVER GODAVARI AT BURGAMPAHAD , BHADRADRI
KOTHAGUDEM</t>
  </si>
  <si>
    <t>RIVER GODAVARI KOUNDINYA MUKTHI (V), KUKUNUR
(M), BORDER POINT BETWEEN ANDHRA PRADESH &amp;
TELANGANA STATES</t>
  </si>
  <si>
    <t>ANDHRA
PRADESH</t>
  </si>
  <si>
    <t>RIVER GODAVARI AFTER CONFLUENCE WITH SABARI
TRIBUTARY (KUNAVARAM) AT WADDIGUDEM(V) V.R.
PURAM (M)</t>
  </si>
  <si>
    <t>RIVER GODAVARI AT POLAVARAM (V &amp; M)</t>
  </si>
  <si>
    <t>RIVER GODAVARI AT RAJAHMUNDRY U/S,
KUMARADEVAM (V), KOVVUR (M)</t>
  </si>
  <si>
    <t>RIVER GODAVARI AT RAJAMUNDRY U/S OF NALLA
CHANNEL,RAJAMUNDRY</t>
  </si>
  <si>
    <t>RIVER GODAVARI AT RAJAMUNDRY D/S OF NALLA
CHANNEL, RAJAMUNDRY</t>
  </si>
  <si>
    <t>RIVER GODAVARI D/S DOWLEISWARAM AFTER
CONFLUENCE OF STP OUTLET, DOWLEISWARAM (V)</t>
  </si>
  <si>
    <t>RIVER GODAVARI AT RAJAHMUNDRY D/S,
DOWLESWARAM (V), RAJAHMUNDRY (M)</t>
  </si>
  <si>
    <t>RIVER INDRAVATI AT NAWARANGPUR</t>
  </si>
  <si>
    <t>RIVER INDRAWATI AT NOWRANGPUR (ODISHA)</t>
  </si>
  <si>
    <t>RIVER KANHAN AT CHINDWARA BEFORE MIXING
BOREGAON GROWTHCENTRE NALLA, JABALPUR</t>
  </si>
  <si>
    <t>RIVER KANHAN NEAR MANDIR MAIN GHAT
KHAPPADIWAR, CHHINDWARA</t>
  </si>
  <si>
    <t>RIVER KANHAN AT U/S OF M/S VIDARBHA PAPER MILLS,
VILLAGE- SINORA, TALUKA- PARSEONI, DISTRICT-NAGPUR.</t>
  </si>
  <si>
    <t>RIVER KANHAN AT D/S OF M/S VIDARBHA PAPER MILLS,
VILLAGE- SINORA, TALUKA- PARSEONI, DISTRICT-NAGPUR.</t>
  </si>
  <si>
    <t>RIVER KANHAN AT D/S OF NAGPUR, VILLAGE-AGARGAON, TALUKA- KUHI, DISTRICT- NAGPUR.</t>
  </si>
  <si>
    <t>RIVER KINNERASANI (TRIBUTRARY OF GODAVARI) - U/S
OF KARAKAVAGU AT PALONCHA , BHADRADRI
KOTHAGUDEM</t>
  </si>
  <si>
    <t>RIVER KINNERASANI (TRIBUTRARY OF GODAVARI) - D/S
OF KARAKAVAGU AT PALONCHA, BHADRADRI
KOTHAGUDEM</t>
  </si>
  <si>
    <t>RIVER KINNERASANI (TRIBUTRARY OF GODAVARI) -KINNERASANI AFTER CONFLUENCE OF KTPS ASH POND
EFFLUENTS ,BHADRADRI KOTHAGUDEM</t>
  </si>
  <si>
    <t>RIVER KOLAR BEFORE CONFLUENCE WITH KANHAN
RIVER AT WAREGAON BRIDGE, VILLAGE- WAREGAON,
TALUKA-KAMPTEE, DISTRICT -NAGPUR.</t>
  </si>
  <si>
    <t>RIVER MANERU (TRIBUTARY OF GODAVARI) - AT D/S OF
MUNICIPAL DUMP SITE, KARIMNAGAR</t>
  </si>
  <si>
    <t>RIVER MANERU (TRIBUTARY OF GODAVARI) - AT
GHATTEPALLI (V) NEAR SULTHANABAD, KARIMNAGAR</t>
  </si>
  <si>
    <t>RIVER MANERU (TRIBUTARY OF GODAVARI) - AT
SOMANPALLY , PEDDAPALLI</t>
  </si>
  <si>
    <t>RIVER MANJEERA AT D/S INTAKE POINT TO BIDAR CITY</t>
  </si>
  <si>
    <t>KARNATAKA</t>
  </si>
  <si>
    <t>RIVER MANJEERA (TRIBUTARY OF GODAVARI) - AT
RAIPALLY, SANGAREEDY</t>
  </si>
  <si>
    <t>RIVER MANJEERA (TRIBUTARY OF GODAVARI) - AT
GANAPATHI SUGARS, SANGAREDDY</t>
  </si>
  <si>
    <t>RIVER MANJEERA (TRIBUTARY OF GODAVARI) - U/S OF
RIVER MANJEERA AT GOWDICHERLA BEFORE
CONFLUENCE WITH NAKKAVAGU, SANGAREDY</t>
  </si>
  <si>
    <t>RIVER MANJEERA (TRIBUTARY OF GODAVARI) - D/S OF
RIVER MANJEERA AT GOWDICHERLA ATFTER
CONFLUENCE WITH NAKKAVAGU, SANGAREDDY</t>
  </si>
  <si>
    <t>RIVER MANJEERA (TRIBUTARY OF GODAVARI) - RIVER
MANJEERA AT YEDU PAYALA TEMPLE, NAGSAMPALLI
(V), PAPANNAPET (M), MEDAK DISTRICT</t>
  </si>
  <si>
    <t>RIVER MANJRA AT D/S OF LATUR, NEAR LATUR-NANDED BRIDGE, VILLAGE- BHATKHEDA, TALUKA-LATUR, DISTRICT- LATUR.</t>
  </si>
  <si>
    <t>RIVER MANJEERA AT JANWADA(BANGALORE)</t>
  </si>
  <si>
    <t>RIVER MORNA D/S OF RAILWAY BRIDGE AKOLA</t>
  </si>
  <si>
    <t>RIVER MANJEERA (TRIBUTARY OF GODAVARI) - NAKKA
VAGU AT BACHUGUDEM, SANGAREEDY</t>
  </si>
  <si>
    <t>RIVER PENCH AT CHHINDWARA ,NEAR SINGORI ROAD
BRIDGE, CHHINDWARA</t>
  </si>
  <si>
    <t>RIVER PENCHÂ NEAR ROAD BRIDGE
HALLAKHURD,CHHINDWARA</t>
  </si>
  <si>
    <t>RIVER PENGANGA AT MEHKAR -BULDANA ROAD
BRIDGE, VILLAGE-MEHKAR, TALUKA-MEHKAR,DISTRICT-AKOLA.</t>
  </si>
  <si>
    <t>RIVER PENGANGA D/S OF ISAPUR DAM, VILLAGE-ISAPUR,TALUKA- PUSAD, DISTRICT- YAVATMAL.</t>
  </si>
  <si>
    <t>RIVER PENGANGA NEAR WATER SUPPLY SCHEME OF
UMARKHED M.C., VILLAGE. BELKHED, TALUKA.
UMARKHED, DISTRICT. YAVATMAL.</t>
  </si>
  <si>
    <t>RIVER SABARI AT KUNAVARAM, EAST GODAVARI DIST</t>
  </si>
  <si>
    <t>RIVER RIVER WAINGANGA AT CHHAPARA , SEONI, NEAR
WSS INTAKE POINT</t>
  </si>
  <si>
    <t>RIVER WAINGANGA AT CHHAPARA, NEAR ROAD BRIDGE
AFTER MIXING
MOTI &amp; CHAMARIYA NALLA, JABALPUR</t>
  </si>
  <si>
    <t>RIVER WAINGANGA AT BALAGHAT, M.P.</t>
  </si>
  <si>
    <t>RIVER WAINGANGA AT BAPERA, BHANDARA,
(MAHARASHTRA)</t>
  </si>
  <si>
    <t>RIVER WAINGANGA AT U/S OF ELLORA PAPER MILLS,
VILLAGE. TUMSAR, TALUKA. TUMSAR, DISTRICT.
BHANDARA.</t>
  </si>
  <si>
    <t>RIVER WAINGANGA AT D/S OF ELLORA PAPER MILLS,
VILLAGE. TUMSAR, TALUKA. TUMSAR, DISTRICT.
BHANDARA.</t>
  </si>
  <si>
    <t>RIVER WAINGANGA AT U/S OF GAURAV PAPER MILLS,
NEAR JACKWELL, VILLAGE. BRAMHPURI, TALUKA.
CHANDRAPUR, DISTRICT. CHANDRAPUR.</t>
  </si>
  <si>
    <t>RIVER WAINGANGA AT D/S OF GAURAV PAPER MILLS,
NEAR JACKWELL VILLAGE. BRAMHPURI, TALUKA.
CHANDRAPUR, DISTRICT. CHANDRAPUR.</t>
  </si>
  <si>
    <t>RIVER WAINGANGA AFTER CONFLUENCE WITH
KANHAN RIVER, VILLAGE- AMBHORA,TALUKA- KUHI,
DISTRICT- NAGPUR.</t>
  </si>
  <si>
    <t>RIVER WAINGANGA AT ASHTI, VILLAGE. ASHTI, TALUKA.
GONDPIPRI, DISTRICT.CHANDRAPUR.</t>
  </si>
  <si>
    <t>RIVER WARDHA AT VILLAGE BANGAON NEAR
PANDHURNA (MP &amp; MAHARASHTRA)</t>
  </si>
  <si>
    <t>RIVER WARDHA AT PULGAON RAILWAY BRIDGE,
VILLAGE- PULGAON,TALUKA - WARDHA, DISTRICT-WARDHA.</t>
  </si>
  <si>
    <t>RIVER WARDHA AT U/S OF ACC LTD. GHUGGUS NEAR
WCL PUMP HOUSE, VILLAGE- GHUGGUS, TALUKA-CHANDRAPUR, DISTRICT- CHANDRAPUR.</t>
  </si>
  <si>
    <t>RIVER WARDHA AT D/S OF ACC LTD. GHUGGUS NEAR
WCL PUMP HOUSE, VILLAGE- GHUGGUS, TALUKA-CHANDRAPUR, DISTRICT- CHANDRAPUR.</t>
  </si>
  <si>
    <t>RIVER WARDHA AT CONFLUENCE POINT OF PENGANGA
&amp; WARDHA. VILLAGE. JUGAD, TALUKA. WANI, DISTRICT.
YAVATMAL.</t>
  </si>
  <si>
    <t>RIVER WARDHA AT U/S OF ERAI RIVER AT HADASTI
NEAR ARUN ENGG. WORKS, VILLAGE- HADASTI,
TALUKA- CHANDRAPUR, DISTRICT- CHANDRAPUR.</t>
  </si>
  <si>
    <t>RIVER WARDHA AT D/S OF ERAI RIVER AT HADASTI
NEAR ARUN ENGG. WORKS, VILLAGE- HADASTI,
TALUKA- CHANDRAPUR, DISTRICT- CHANDRAPUR.</t>
  </si>
  <si>
    <t>RIVER WARDHA AT RAJURA BRIDGE, VILLAGE- RAJURA,
TALUKA- CHANDRAPUR, DISTRICT- CHANDRAPUR.</t>
  </si>
  <si>
    <t>RIVER WENA AT U/S OF MOHATA MILLS, NEAR RAILWAY
BRIDGE ON WARDHA, CHANDRAPUR RAILWAY LINE,
VILLAGE- HINGANGHAT, TALUKA- HINGANGHAT,
DISTRICT- WARDHA.</t>
  </si>
  <si>
    <t>RIVER WENA AT D/S OF MOHATA MILLS, NEAR BRIDGE
ON HINGANGHAT- WADNER ROAD, VILLAGE-HINGANGHAT, TALUKA- HINGANGHAT, DISTRICT-WARDHA.</t>
  </si>
  <si>
    <t>RIVER KRISHNA AT DHOM DAM, VILLAGE- WAI, TALUKA-MAHABALESHWAR, DISTRICT-SATARA.</t>
  </si>
  <si>
    <t>RIEVR KRISHNA AT GANPATI GHAT, WAI, VILLAGE-WAI,TALUKA- WAI,DISTRICT- SATARA.</t>
  </si>
  <si>
    <t>RIVER KRISHNA AT KSHETRA MAHULI, VILLAGE-KSHETRA-MAHULI,TALUKA- MAHULI, DISTRICT- SATARA.</t>
  </si>
  <si>
    <t>RIVER KRISHNA AT KRISHNA- VENNA SANGAM MAHULI ,
VILLAGE- MAHULI,TALUKA- MAHULI, DISTRICT- SATARA.</t>
  </si>
  <si>
    <t>RIVER KRISHNA AT OLD KRISHNA BRIDGE, KARAD
STATION ROAD , KARAD, TALUKA- KARAD, DISTRICT-SATARA.</t>
  </si>
  <si>
    <t>RIVER KRISHNA AT WALWA, D/S OF ISLAMPUR NEAR
VITHAL TEMPLE, VILLAGE- WALWA, TALUKA- WALWA,
DISTRICT- SANGLI.</t>
  </si>
  <si>
    <t>RIVER KRISHNA AT MAIGHAT, VILLAGE- GAWALI GALLY,
TALUKA- MIRAJ, DISTRICT- SANGLI.</t>
  </si>
  <si>
    <t>RIVER KRISHNA AT KURUNDWAD, KOLHAPUR,
(MAHARASHTRA)</t>
  </si>
  <si>
    <t>RIVER KRISHNA AT KURUNDWAD NEAR SANTAJI
GHORPADE GHAT, VILLAGE.NARSHINGWADI,
KURUNDWAD, TALUKA. SHIROL, DISTRICT. KOLHAPUR.</t>
  </si>
  <si>
    <t>RIVER KRISHNA AT RAJAPUR WEIR, VILLAGE. RAJAPUR,
TALUKA. SHIROL, DISTRICT. KOLHAPUR.</t>
  </si>
  <si>
    <t>RIVER KRISHNA - ANKALI BRIDGE ALONG CHIKKODI
KAGWAD ROAD</t>
  </si>
  <si>
    <t>RIVER KRISHNA AT U/S OF UGARKHURD BARRAGE</t>
  </si>
  <si>
    <t>RIVER KRISHNA AT ASANGI VILLAGE (JAMAKANDI
VILLAGE)</t>
  </si>
  <si>
    <t>RIVER KRISHNA AT ALMATTI DAM HAVELI , OLD
JACKWELL POINT, BAGALKOTE</t>
  </si>
  <si>
    <t>RIVER KRISHNA AT D/S OF ALAMATTI DAM</t>
  </si>
  <si>
    <t>RIVER KRISHNA AT D/S OF NARAYANPURA DAM</t>
  </si>
  <si>
    <t>RIVER KRISHNA AT TINTINI BRIDGE</t>
  </si>
  <si>
    <t>RIVER KRISHNA AT DEODURGA (BANGALORE)</t>
  </si>
  <si>
    <t>RIVER KRISHNA AT THANGADI, THANGADI(V),
KRISHNA(M), NARAYANAPET(D)</t>
  </si>
  <si>
    <t>RIVER KRISHNA AT D/S OF DEVASAGAR BDG.</t>
  </si>
  <si>
    <t>RIVER KRISHNA AT GADWAL BRIDGE,NADHI
AGRAHARAM, GADWAL(MUNCI.), JOGULAMBA
GADWAL(D)</t>
  </si>
  <si>
    <t>RIVER KRISHNA AT JOGULAMBA TEMPLE,
ALAMPUR(V&amp;M), JOGULAMBA GADWAL(D)</t>
  </si>
  <si>
    <t>RIVER KRISHNA A/C WITH TUNGABHADRA,
SANGAMESHWARAM (V), KOTTAPALLE (M)</t>
  </si>
  <si>
    <t>RIVER KRISHNA D/S OF SRISHAILAM, SRISHAILAM</t>
  </si>
  <si>
    <t>RIVER KRISHNA BEFORE CONFLUENCE OF RIVER MUSI
AT WADAPALLY (V), DAMARACHARLA (M), NALGONDA
(D)</t>
  </si>
  <si>
    <t>RIVER KRISHNA - CONFLUENCE OF RIVER KRISHNA &amp;
RIVER MUSI AT WADAPALLY (V), DAMARCHARLA (M),
NALGONDA DISTRICT</t>
  </si>
  <si>
    <t>RIVER KRISHNA AFTER CONFLUENCE WITH RIVER MUSI
AT VADAPALLI (V), DACHEPALLI (M) BETWEEN ANDHRA
PRADESH &amp; TELANGANA STATES</t>
  </si>
  <si>
    <t>RIVER KRISHNA AFTER CONFLUENCE OF RIVER MUSI
AT WADAPALLY (V), DAMARACHARLA (M), NALGONDA(D)</t>
  </si>
  <si>
    <t>RIVER KRISHNA AT MATTEPALLY, 500 MTS. BEFORE
BATHING GHAT, SURYAPET</t>
  </si>
  <si>
    <t>RIVER KRISHNA AT PULICHINTALA RESERVOIR AT
CHINTHALAPALEM (V&amp;M), SURYAPET (D)</t>
  </si>
  <si>
    <t>RIVER KRISHNA AT VEDADRI (V), JAGGAYYAPETA (M)</t>
  </si>
  <si>
    <t>RIVER KRISHNA AT AMARAVATI, AMARAVATI (V &amp; M)</t>
  </si>
  <si>
    <t>RIVER KRISHNA, PAVITHRA SANGAMAM, AFTER
CONFLUENCE WITH RIVER GODAVARI WATER, FERRY
(V), IBRAHIMPATNAM (M)</t>
  </si>
  <si>
    <t>RIVER KRISHNA AT VIJAYWADA TOWN</t>
  </si>
  <si>
    <t>WITH TREATED SEWAGE DISCHARGING FROM 10MLD</t>
  </si>
  <si>
    <t>ANDHRA</t>
  </si>
  <si>
    <t>RIVER KRISHNA AT HAMSALADEEVI PULIGADDA</t>
  </si>
  <si>
    <t>RIVER NIRA AT SAROLA BRIDGE, VILLAGE- SAROLA,
TALUKA-BHOR, DISTRICT- PUNE.</t>
  </si>
  <si>
    <t>RIVER NIRA AT SHINDEWADI, VILLAGE- SHIRVAL,
TALUKA- KHANDALA, DISTRICT- SATARA.</t>
  </si>
  <si>
    <t>RIVER NIRA AT U/S OF JUBILANT ORGANOSIS, VILLAGE-NIRA (DATTAGHAT),TALUKA- BARAMATI, DISTRICT-PUNE.</t>
  </si>
  <si>
    <t>RIVER NIRA AT D/S OF JUBILANT ORGANOSIS, VILLAGE-NIMBUT, TALUKA- BARAMATI, DISTRICT- PUNE.</t>
  </si>
  <si>
    <t>RIVER NIRA AT SANGAVI, VILLAGE- SANGAVI, TALUKA-PHALTAN, DISTRICT- SATARA.</t>
  </si>
  <si>
    <t>RIVER VENNA AT MAHABALESHWAR, VILLAGE.
MAHABALESHWAR, TALUKA. MAHABALESHWAR,
DISTRICT. SATARA.</t>
  </si>
  <si>
    <t>RIVER VENNA AT VARYE, VILLAGE - VARYE,TALUKA-SATARA, DISTRICT- SATARA.</t>
  </si>
  <si>
    <t>RIVER VENNA AT MAHULI, VILLAGE- MAHULI, TALUKA-MAHULI, DISTRICT- SATARA.</t>
  </si>
  <si>
    <t>RIVER MUSI AT BAPUGHAT SANGAM, HYDERABAD</t>
  </si>
  <si>
    <t>RIVER MUSI AT MOOSARAMBAGH BRIDGE, HYDERABAD</t>
  </si>
  <si>
    <t>RIVER MUSI AT NAGOLE, RANGA REDDY</t>
  </si>
  <si>
    <t>RIVER MUSI - OUTLET OF NALLA CHERUVU,
PEERAJADIGUDA, RANGAREDDY</t>
  </si>
  <si>
    <t>RIVER MUSI AT PEERAJADIGUDA, RANGA REDDY</t>
  </si>
  <si>
    <t>RIVER MUSI - D/S AT PRATAPASINGARAM ,
SHAMSHABAD</t>
  </si>
  <si>
    <t>RIVER MUSI AT PILLAIPALLI, RANGAREDDY</t>
  </si>
  <si>
    <t>RIVER MUSI AT RUDRAVELLY BRIDGE,YADADRI</t>
  </si>
  <si>
    <t>RIVER MUSI AT VALIGONDA BRIDGE, NALGONDA DIST</t>
  </si>
  <si>
    <t>RIVER MUSI AT SOLIPET (KASANIGUDA), NALGONDA</t>
  </si>
  <si>
    <t>RIVER MUSI AT BHEEMARAM BRIDGE, BHEEMARAM (V),
KETHEPALLY (M), NALGONDA (D)</t>
  </si>
  <si>
    <t>RIVER MUSI BEFORE CONFLUENCE OF RIVER KRISHNA
AT WADAPALLY (V), DAMARACHARLA (M), NALGONDA(D)</t>
  </si>
  <si>
    <t>RIVER BHIMA AT PUNE (MUTHA RIVER) AT U/S OF
VITHALWADI NEAR SHANKAR MANDIR, VILLAGE.
VITHALWADI, TALUKA. HAWELI, DISTRICT. PUNE.</t>
  </si>
  <si>
    <t>RIVER BHIMA AT D/S OF BUNDGARDEN, VILLAGE
YERWADA, TALUKA. HAWELI, DISTRICT. PUNE.</t>
  </si>
  <si>
    <t>RIVER BHIMA AT KOREGAON NEAR KOREGAON BRIDGE,
VILLAGE- KOREGAON,TALUKA- SHIRUR, DISTRICT-PUNE.</t>
  </si>
  <si>
    <t>RIVER BHIMA AFTER CONFLUENCE WITH MULA-MUTHA
AT PARGAON NEAR VASANT BANDARA,VILLAGE-PARGAON,TALUKA- DAUND, DISTRICT- PUNE.</t>
  </si>
  <si>
    <t>RIVER BHIMA AT DAUND NEAR MAHADEV
TEMPLE,VILLAGE- DAUND, TALUKA- DAUND, DISTRICT-PUNE.</t>
  </si>
  <si>
    <t>RIVER BHIMA BACKWATER OF UJANI DAM, NEAR RAW
WATER PUMP HOUSE, VILLAGE- KUMBARGAON,
TALUKA- INDAPUR, DISTRICT- PUNE.</t>
  </si>
  <si>
    <t>RIVER BHIMA AT NARSINGPUR NEAR SANGAM BRIDGE
AFTER CONFLUENCE WITH NIRA, VILLAGE-NARSINGPUR, TALUKA-MALSHIRAS, DISTRICT-SOLAPUR.</t>
  </si>
  <si>
    <t>RIVER BHIMA AT TAKLI, SOLAPUR, (MAHARASHTRA)</t>
  </si>
  <si>
    <t>RIVER BHIMA AT TAKLI NEAR KARNATAKA BORDER,
VILLAGE- TAKALI, TALUKA- SOUTH SOLAPUR, DISTRICT-SOLAPUR.</t>
  </si>
  <si>
    <t>RIVER BHIMA DOWNSTREAM, DHULKED VILL</t>
  </si>
  <si>
    <t>RIVER BHIMA AT D/S OF ROAD BRIDGE AT GANGAPUR
VILLAGE</t>
  </si>
  <si>
    <t>RIVER BHIMA AT FEROZABAD VILLAGE (D/S)</t>
  </si>
  <si>
    <t>RIVER BHIMA AT CONFLUENCE OF JEWARGI TOWN
SEWAGE DISPOSAL POINT</t>
  </si>
  <si>
    <t>RIVER BHIMA AT GANGAPUR (BANGALORE)</t>
  </si>
  <si>
    <t>RIVER BHIMA AT D/S OF BDG. NEAR YADGIR</t>
  </si>
  <si>
    <t>RIVER HUNDRI AT GAJULADINNE RESERVOIR
GAJULADINNE (V),GONEGANDLA (M)</t>
  </si>
  <si>
    <t>RIVER HUNDRI AT LAXMIPURAM (V), KALLUR (M)</t>
  </si>
  <si>
    <t>RIVER BHADRA AT MALLESWARAM D/S OF KIOCL</t>
  </si>
  <si>
    <t>RIVER BHADRA AT U/S OF KIOCL</t>
  </si>
  <si>
    <t>RIVER BHADRA AT U/S OF MPM</t>
  </si>
  <si>
    <t>RIVER BHADRA AT D/S OF BHADRAVATHI</t>
  </si>
  <si>
    <t>RIVER BHADRA D/S MYSORE PAPER MILL (MPM),
BHADRAWATI, SHIVAMOGGA</t>
  </si>
  <si>
    <t>RIVER BHADRA AT D/S OF KIOCL ROAD BRIDGE, NEAR
HOLEHUNNUR</t>
  </si>
  <si>
    <t>RIVER CHANDRABHAGA AT U/S OF PANDHARPUR
TOWN, VILLAGE. GURSALE, TALUKA. PANDHARPUR,
DISTRICT. SOLAPUR.</t>
  </si>
  <si>
    <t>RIVER CHANDRABHAGA AT D/S OF PANDHARPUR TOWN
REAR VISHNUPANT MANDIR, VILLAGE. GOPALPUR,
TALUKA. PANDHARPUR DISTRICT. SOLAPUR.</t>
  </si>
  <si>
    <t>RIVER GHATAPRABHA AT W.A. POINT TO GOKAK TOWN</t>
  </si>
  <si>
    <t>RIVER GHATAPRABHA DAVALSHWAR BARRAGE
JACKWELL FOR DRINKING WATER SUPPLY</t>
  </si>
  <si>
    <t>RIVER GHATAPRABHA AT D/S OF MUDHOL ROAD CROSS
BDG.</t>
  </si>
  <si>
    <t>RIVER GHOD AT SHIRUR, VILLAGE. SHIRUR, TALUKA.
SHIRUR, DISTRICT. PUNE.</t>
  </si>
  <si>
    <t>RIVER INDRAYANI AT U/S OF MOSHIGAON,VILLAGE-MOSHI, TALUKA- HAWELI, DISTRICT- PUNE.</t>
  </si>
  <si>
    <t>RIVER INDRAYANI AT D/S OF MOSHI VILLAGE. VILLAGE-MOSHI, TALUKA- HAWELI, DISTRICT- PUNE.</t>
  </si>
  <si>
    <t>RIVER INDRAYANI AT D/S OF ALANDIGAON, VILLAGE.
ALANDIGAON, TALUKA. HAWELI, DISTRICT. PUNE.</t>
  </si>
  <si>
    <t>RIVER KAGINA D/S OF SEWAGE DISPOSAL POINT</t>
  </si>
  <si>
    <t>RIVER KAGINA AT SHAHABAD BRIDGE</t>
  </si>
  <si>
    <t>RIVER KAGINA AT D/S OF BRIDGE CUM BARRAGE,
SADEM</t>
  </si>
  <si>
    <t>RIVER KOYNA AT KARAD, VILLAGE- KARAD,TALUKA-KARAD, DISTRICT- SATARA.</t>
  </si>
  <si>
    <t>RIVER MALPRABHA AT D/S OF KHANAPUR VILLAGE</t>
  </si>
  <si>
    <t>RIVER MALAPRABHA AT WATER ABSTRACTION POINT
TO HUBLI, DHARWAD</t>
  </si>
  <si>
    <t>RIVER MALAPRABHA AT BADAMI BRIDGE</t>
  </si>
  <si>
    <t>RIVER MALAPRABHA AT D/S OF AIHOLE TOWN</t>
  </si>
  <si>
    <t>RIVER MARKANDEYA AT RAKKASAKOPPA RESRVOIR</t>
  </si>
  <si>
    <t>RIVER MULA AT AUNDH BRIDGE, VILLAGE-AUNDHGAON,TALUKA- HAWELI, DISTRICT- PUNE.</t>
  </si>
  <si>
    <t>RIVER MULA AT HARRISON BRIDGE NEAR MULA-PAWANA SANGAM, VILLAGE- BOPODI,TALUKA- HAWELI,
DISTRICT- PUNE.</t>
  </si>
  <si>
    <t>RIVER MULA-MUTHA AT MUNDHAWA BRIDGE,VILLAGE-MUNDHAWA,TALUKA- HAWELI,DISTRICT- PUNE.</t>
  </si>
  <si>
    <t>RIVER MULA-MUTHA AT D/S OF THEUR, VILLAGE.
THEUR, TALUKA. HAWELI, DISTRICT. PUNE.</t>
  </si>
  <si>
    <t>RIVER MUNNERU B/C WITH KRISHNA, KEESARA (V &amp; M)</t>
  </si>
  <si>
    <t>RIVER KRISHNA - D/S OF MUNNERU RIVER, PRAKASH
NAGAR, KHAMMAM</t>
  </si>
  <si>
    <t>RIVER MUTHA AT KHADAKVASLA DAM, VILLAGE-KHADAKVASLA,TALUKA- HAWELI, DISTRICT- PUNE.</t>
  </si>
  <si>
    <t>RIVER MUTHA AT DECCAN BRIDGE, VILLAGE-DECCAN,TALUKA- PUNE, DISTRICT- PUNE.</t>
  </si>
  <si>
    <t>RIVER MUTHA NEAR VEER SAVARKAR BHAVAN,
VILLAGE- PUNE M.C, TALUKA- PUNE, DISTRICT -PUNE.</t>
  </si>
  <si>
    <t>RIVER MUTHA AT SANGAM BRIDGE NEAR
GANAPATHYGHAT, VILLAGE. SHIVAJI NAGAR, TALUKA.
PUNE, DISTRICT. PUNE.</t>
  </si>
  <si>
    <t>RIVER PALLERU B/C WITH KRISHNA, JAGGAIAPET (V &amp;M)</t>
  </si>
  <si>
    <t>RIVER PANCHAGANGA AT U/S OF KOLHAPUR TOWN
NEAR BALINGA PUMPING STATION, VILLAGE-BALINGA,
TALUKA- KARVIR, DISTRICT- KOLHAPUR.</t>
  </si>
  <si>
    <t>RIVER PANCHAGANGA AT D/S OF KOLHAPUR TOWN AT
GANDHI NAGAR NEAR NH.4 BRIDGE AND MIDC, VILLAGE.
UCHEGAON, TALUKA. KOLHAPUR, DISTRICT.
KOLHAPUR.</t>
  </si>
  <si>
    <t>RIVER PANCHAGANGA AT ICHALKARANJI NEAR MIDC
INTAKE WELL. VILLAGE. SHIRADHWAD (ICHALKARANJI
GHAT), TALUKA.HATKANANGALE, DISTRICT. KOLHAPUR.</t>
  </si>
  <si>
    <t>RIVER PANCHAGANGA AT SHIROL NEAR SHIROL INTAKE
WELL, VILLAGE- SHIROL, TALUKA- SHIROL, DISTRICT-KOLHAPUR.</t>
  </si>
  <si>
    <t>RIVER PAWANA AT SANGAVIGAON, VILLAGE-SANGAVIGAON, TALUKA- HAWELI, DISTRICT- PUNE.</t>
  </si>
  <si>
    <t>RIVER PAWANA AT RAVET WEIR, VILLAGE. RAVET,
TALUKA. HAWELI, DISTRICT. PUNE.</t>
  </si>
  <si>
    <t>RIVER PAWANA AT CHINCHWADGAON, VILLAGE.
CHINCHWADGAON, TALUKA. HAWELI, DISTRICT. PUNE.</t>
  </si>
  <si>
    <t>RIVER PAWANA AT PIMPRIGAON, VILLAGE-PIMPRIGAON, TALUKA- HAWELI, DISTRICT- PUNE.</t>
  </si>
  <si>
    <t>RIVER PAWANA AT KASARWADI, VILLAGE- KASARWADI,
TALUKA- HAWELI, DISTRICT- PUNE.</t>
  </si>
  <si>
    <t>RIVER PAWANA AT DAPODI BRIDGE, AT PAWANA-MULLA SANGAM, VILLAGE- DAPODI, TALUKA- HAWELI,
DISTRICT- PUNE.</t>
  </si>
  <si>
    <t>RIVER SINA NEAR LABOTI TOLL NAKA, VILLAGE.
LABOTI, TALUKA. MOHAL, DISTRICT. SOLAPUR.</t>
  </si>
  <si>
    <t>RIVER TUNGA AT D/S OF SHIMOGA TOWN</t>
  </si>
  <si>
    <t>RIVER TUNGA U/S SHIVAMOGGA CITY</t>
  </si>
  <si>
    <t>RIVER TUNGABHADRA AT CONFLUENCE POINT OF
TUNGA AND BHADRA AT KUDLI</t>
  </si>
  <si>
    <t>RIVER TUNGABHADRA AT HONNALI BRIDGE</t>
  </si>
  <si>
    <t>RIVER TUNGABHADRA AT HARALAHALLI BRIDGE</t>
  </si>
  <si>
    <t>RIVER TUNGABHADRA AT NEW BRIDGE</t>
  </si>
  <si>
    <t>RIVER TUNGABHADRA AT D/S OF HARIHAR POLYFIBERS</t>
  </si>
  <si>
    <t>RIVER TUNGABHADRA AT U/S OF HARIHAR POLYFIBERS</t>
  </si>
  <si>
    <t>RIVER TUNGABHADRA AT HARIHAR WATER SUPPLY
INTAKE</t>
  </si>
  <si>
    <t>RIVER TUNGABHADRA AT JACKWELL POINT</t>
  </si>
  <si>
    <t>RIVER TUNGABHADRA AT NADIHARALAHALLI</t>
  </si>
  <si>
    <t>RIVER TUNGABHADRA AT AIRANI</t>
  </si>
  <si>
    <t>RIVER TUNGABHADRA AT ARAVI</t>
  </si>
  <si>
    <t>RIVER TUNGABHADRA AT HIREBIDARI</t>
  </si>
  <si>
    <t>RIVER TUNGABHADRA AT KONANATHAMBIGE</t>
  </si>
  <si>
    <t>RIVER TUNGABHADRA AT SOMALAPURA</t>
  </si>
  <si>
    <t>RIVER TUNGABHADRA AT KURUVATHI</t>
  </si>
  <si>
    <t>RIVER TUNGABHADRA AT MYLARA</t>
  </si>
  <si>
    <t>RIVER TUNGABHADRA AT D/S OF GANGAWATHI</t>
  </si>
  <si>
    <t>RIVER TUNGABHADRA AT ULENOOR</t>
  </si>
  <si>
    <t>RIVER TUNGABHADRA AT DADESUGUR BRIDGE
GAUGING STATION</t>
  </si>
  <si>
    <t>RIVER TUNGABHADRA AT HOCHECHALLI (BANGALORE)</t>
  </si>
  <si>
    <t>RIVER TUNGABHADRA AT MANTHRALAYAM (V &amp; M)</t>
  </si>
  <si>
    <t>RIVER TUNGABHADRA AT KURNOOL U/S, BHAVAPURAM
(V), KURNOOL (M)</t>
  </si>
  <si>
    <t>RIVER TUNGABHADRA, UPSTREAM OF KURNOOL TOWN
BEFORE JOINING CITY DOMESTIC SEWAGE AND AFTER
M/S RAYALASEEMA ALKALIES INDUSTRIES NEAR
SIVALAYAM TEMPLE, GONDIPARLA (V), KURNOOL (M)</t>
  </si>
  <si>
    <t>RIVER TUNGABHADRA, DOWNSTREAM OF KURNOOL
TOWN AFTER JOINING CITY DOMESTIC SEWAGE,
PADIDEMPADU (V),</t>
  </si>
  <si>
    <t>RIVER UPPUTERU BEFORE CONFLUENCE WITH SEA, AT
CHINNA GOLLAPALEM (V), KRUTHIVENNU (M)</t>
  </si>
  <si>
    <t>RIVER URMODI AT NAGTHNE KT WARE, VILLAGE-NAGTHANE,TALUKA- SATARA, DISTRICT- SATARA.</t>
  </si>
  <si>
    <t>RIVER VEL AT SHIKRAPUR, VILLAGE. SHIKRAPUR,
TALUKA. SHIRUR, DISTRICT. PUNE.</t>
  </si>
  <si>
    <t>RIVER PENNAR B/C WITH CHITRAVATHI, TADIPATRI (M),
VENGANUR (V)</t>
  </si>
  <si>
    <t>RIVER PENNAR A/C WITH PAPAGNI, PUSHPAGIRI
(V),VALLUR (M)</t>
  </si>
  <si>
    <t>RIVER PENNAR A/C WITH CHEYYURU, SOMASILA (V),
ANANTHASAGARAM (M)</t>
  </si>
  <si>
    <t>RIVER PENNAR AT SIDDAVATAM (V &amp; M)</t>
  </si>
  <si>
    <t>RIVER KUNDU, NANDYAL, NEAR OVER BDG.,NANDYAL
TOWN</t>
  </si>
  <si>
    <t>CHUNNAMBAR RIVER, KILINJIKUPPAM ROAD,
NONANKUPPAM, PUDUCHERRY.</t>
  </si>
  <si>
    <t>PUDUCHERRY</t>
  </si>
  <si>
    <t>RIVER CAUVERY AT NAPOKULU BDG (D/S)</t>
  </si>
  <si>
    <t>RIVER CAUVERY AT KUSHAL NAGAR U/S (NEAR
BAICHANAHALLI)</t>
  </si>
  <si>
    <t>RIVER CAUVERY AT KRS DAM, BALAMURIKSHETRA</t>
  </si>
  <si>
    <t>RIVER CAUVERY AT SRI RANGAPATTANNA, D/S OF
ROAD BDG.</t>
  </si>
  <si>
    <t>RIVER CAUVERY AT D/S OF KAREKUARA VILLAGE</t>
  </si>
  <si>
    <t>RIVER CAUVERY AT SATHYAGALAM BRIDGE</t>
  </si>
  <si>
    <t>RIVER CAUVERY AT BANNUR BRIDGE</t>
  </si>
  <si>
    <t>RIVER CAUVERY AT RANGANATHITTU</t>
  </si>
  <si>
    <t>RIVER CAUVERY AT KRS DAM MANDYA</t>
  </si>
  <si>
    <t>RIVER CAUVERY AT WATER SUPPLY INTAKE POINT TO
SRIRANGAPATNA TOWN</t>
  </si>
  <si>
    <t>RIVER CAUVERY AT WATER SUPPLY INTAKE POINT TO
MANDYA TOWN</t>
  </si>
  <si>
    <t>RIVER CAUVERY D/S OF KR NAGAR BRIDGE</t>
  </si>
  <si>
    <t>RIVER CAUVERY U/S OF KR NAGAR</t>
  </si>
  <si>
    <t>RIVER CAUVERY D/S OF KUSHALANAGAR TOWN</t>
  </si>
  <si>
    <t>RIVER CAUVERY AT WATER SUPPLY INTAKE POINT TO
MYSORE</t>
  </si>
  <si>
    <t>RIVER CAUVERY D/S OF MADDUR WATER SUPPLY
TREATMENT PLANT AT BACHALLI</t>
  </si>
  <si>
    <t>RIVER CAUVERY AT WATER SUPPLY INTAKE POINT AT
KOLLEGALA DASANAPURA</t>
  </si>
  <si>
    <t>RIVER CAUVERY AT WATER SUPPLY INTAKE POINT AT
TORE KADANA HALLI</t>
  </si>
  <si>
    <t>RIVER CAUVERY BEFORE CONFLUENCE AT SANGAM</t>
  </si>
  <si>
    <t>RIVER CAUVERY D/S BHARACHUKI FALLS, SATHEGALA,
KOLLEGALA</t>
  </si>
  <si>
    <t>RIVER CAUVERY D/S AT BHAGAMANDALA BRIDGE</t>
  </si>
  <si>
    <t>RIVER CAUVERY D/S AT KANIVE RAMALINGESWARA
TEMPLE BRIDGE, KUSHALANAGAR</t>
  </si>
  <si>
    <t>RIVER CAUVERY AT AJJIBORE (BANGALORE)</t>
  </si>
  <si>
    <t>RIVER CAUVERY AT METTUR</t>
  </si>
  <si>
    <t>TAMIL NADU</t>
  </si>
  <si>
    <t>RIVER CAUVERY AT PALLIPPALAYAM</t>
  </si>
  <si>
    <t>RIVER CAUVERY AT ERODE NEAR VIRAPALAYAM,</t>
  </si>
  <si>
    <t>RIVER CAUVERY AT PUGALUR, KARUR, TAMILNADU</t>
  </si>
  <si>
    <t>RIVER CAUVERY AT MOHANUR NEAR PATTAIPALAYAM,
TAMILNADU</t>
  </si>
  <si>
    <t>RIVER CAUVERY AT THIRUMUKKUDAL-CONFL. PT.OF R.
AMRAVATI, TAMILNADU</t>
  </si>
  <si>
    <t>RIVER CAUVERY AT MUSIRI</t>
  </si>
  <si>
    <t>RIVER CAUVERY AT PETTAIVAITHALAI, TRICHY,</t>
  </si>
  <si>
    <t>RIVER CAUVERY AT TIRUCHIRAPPALLI U/S, TAMILNADU</t>
  </si>
  <si>
    <t>RIVER CAUVERY AT TIRUCHIRAPPALLI D/S, TAMILNADU</t>
  </si>
  <si>
    <t>RIVER CAUVERY AT TRICHY, GRAND ANAICUT,</t>
  </si>
  <si>
    <t>RIVER CAUVERY AT KARUTHATTANUDI THANJAVUR,</t>
  </si>
  <si>
    <t>RIVER CAUVERY AT MAYILADUTHURAI, NAGAPATTINAM,</t>
  </si>
  <si>
    <t>RIVER CAUVERY AT KOMARAPALAYAM, NAMAKAL,</t>
  </si>
  <si>
    <t>RIVER CAUVERY AT URRACHIKOTTAI, ERODE,</t>
  </si>
  <si>
    <t>RIVER CAUVERY AT SEERAPALAYAM, NAMAKAL,</t>
  </si>
  <si>
    <t>RIVER CAUVERY LOCATIONS AT KUMARAPALAYAM</t>
  </si>
  <si>
    <t>RIVER CAUVERY AT KUMBAKONAM, THANJAVUR,</t>
  </si>
  <si>
    <t>RIVER CAUVERY AT COLEROON, TAMILNADU</t>
  </si>
  <si>
    <t>RIVER CAUVERY AT PITCHAVARAM, TAMILNADU</t>
  </si>
  <si>
    <t>RIVER CAUVERY AT 1KM. D/S OF BHAVANI CONFL.,R.N.
PUNDUR, TAMILNADU</t>
  </si>
  <si>
    <t>RIVER CAUVERY AT BHAWANI D/S</t>
  </si>
  <si>
    <t>RIVER CAUVERY AT ERODE U/S</t>
  </si>
  <si>
    <t>RIVER CAUVERY AT KUMARAPALAYAM U/S</t>
  </si>
  <si>
    <t>RIVER CAUVERY AT PALLIPALAYAM D/S</t>
  </si>
  <si>
    <t>RIVER CAUVERY AT KARUR U/S</t>
  </si>
  <si>
    <t>RIVER CAUVERY AT MAYILADUTHURAI D/S</t>
  </si>
  <si>
    <t>RIVER CAUVERY AT WATER SUPPLY INTAKE POINT AT
SHIVANSAMUDRA</t>
  </si>
  <si>
    <t>RIVER CAUVERY AT BALMAVATI BRIDGE TO THANDRA
HOLE TRIBUTARY</t>
  </si>
  <si>
    <t>RIVER BHAVANI AT BHAVANI, TAMILNADU</t>
  </si>
  <si>
    <t>RIVER BHAVANI AT BADTHARAKALIAMMAN KOIL,
TAMILNADU</t>
  </si>
  <si>
    <t>RIVER BHAVANI AT SIRUMUGAI, TAMILNADU</t>
  </si>
  <si>
    <t>RIVER BHAVANI AT BHAVANI SAGAR, TAMILNADU</t>
  </si>
  <si>
    <t>RIVER BHAVANI AT D/S OF BHAVANISAGAR,
SATHYAMANGALAM, ERODE, TAMILNADU</t>
  </si>
  <si>
    <t>RIVER BHAVANI AT U/S OF KALINGARAYAN CANAL (B5),
ERODE, TAMILNADU</t>
  </si>
  <si>
    <t>RIVER BHAVANI AT D/S OF KALINGARAYAN CANAL (B10),
ERODE, TAMILNADU</t>
  </si>
  <si>
    <t>RIVER YAGACHI NEAR PUMPING STATION, HASSAN CITY</t>
  </si>
  <si>
    <t>RIVER HEMAVATHI AT D/S OF HOLENARASIPURA TOWN
AT RAMADEV WEIR</t>
  </si>
  <si>
    <t>RIVER SHIMSHA AT D/S OF BRIDGE, HALAGUR</t>
  </si>
  <si>
    <t>RIVER SHIMSHA AT D/S OF HIGHWAY BRIDGE, YEDIYUR</t>
  </si>
  <si>
    <t>RIVER SHIMSHA D/S NEAR MADDUAR TOWN</t>
  </si>
  <si>
    <t>RIVER THIRUMANIMUTHAR AT SALEM, D/S OF SAGO &amp;
TEXTILE DYING INDUSTRIES, TAMILNADU</t>
  </si>
  <si>
    <t>RIVER VASISTA AT THULUKANNUR AT SALEM, D/S OF
SAGO INDUSRIES EFFLUENT, TAMILNADU</t>
  </si>
  <si>
    <t>RIVER AMRAVATI AT 1KM D/S FROM EFF.DIS. PT. AT
MADHUTHUKKULAM</t>
  </si>
  <si>
    <t>RIVER LOCATED ON THE SOUTHERN BANK OF
AMARAVATHI AND DOWNSTREAM SIDE OF KARUR
DYEING CLUSTER</t>
  </si>
  <si>
    <t>RIVER LOCATED ADJACENT TO KARU MSW DUMP SITE
AND ON THE NORTHERN BANK OF AMARAVATHI AND
DOWNSTREAM SIDE OF KARU DYEING CLUSTER</t>
  </si>
  <si>
    <t>RIVER ARKAVATHI AT D/S OF KANAKAPURA TOWN</t>
  </si>
  <si>
    <t>RIVER ARKAVATHI AT TIPPAGONDANAHALLI RESERVOIR</t>
  </si>
  <si>
    <t>RIVER ARKAVATHI AT HESARAGHATTA RESERVOIR</t>
  </si>
  <si>
    <t>RIVER AKRAVATHI BEFORE CONFLUENCE AT SANGAM</t>
  </si>
  <si>
    <t>RIVER KABINI AT CAUSE WAY SATTUR</t>
  </si>
  <si>
    <t>RIVER KABINI AT SARAGUR VILLAGE D/S</t>
  </si>
  <si>
    <t>RIVER KABANI AT MUTHANKARA, WAYANAD</t>
  </si>
  <si>
    <t>KERALA</t>
  </si>
  <si>
    <t>RIVER KABINI AT WATER INTAKE OF KIADB AT
NANJANGUD</t>
  </si>
  <si>
    <t>RIVER KABINI AT BATHING GHAT, NANJANAGUD</t>
  </si>
  <si>
    <t>RIVER KABINI U/S INTAKE POINT TO NANJANAGUD &amp;
GUNDLUPET AT DEBUR</t>
  </si>
  <si>
    <t>RIVER KABINI AT WATER SUPPLY INTAKE POINT TO T.
NARASIPURA</t>
  </si>
  <si>
    <t>RIVER LAKSHMANTIRTHA AT D/S OF HUNSUR TOWN</t>
  </si>
  <si>
    <t>RIVER LAKSHMANTIRTHA AT D/S OF KATTEMALAVADI</t>
  </si>
  <si>
    <t>RIVER LAKSHMANTIRTHA AT WATER SUPPLY INTAKE
POINT TO HUNSUR TOWN</t>
  </si>
  <si>
    <t>RIVER SARABANGA AT EDAPADI AT SALEM, D/S OF
TEXTILE DYEING INDUSTRIES EFFLUENT, TAMILNADU</t>
  </si>
  <si>
    <t>RIVER ADYAR AT EKKATTUTHANGAL</t>
  </si>
  <si>
    <t>RIVER ADYAR AT JAFERKHANPET</t>
  </si>
  <si>
    <t>RIVER ADYAR AT MARAIMALAI BRIDGE</t>
  </si>
  <si>
    <t>RIVER ADYAR AT KOTTURPURAM BRIDGE</t>
  </si>
  <si>
    <t>RIVER ADYAR NEAR BOAT CLUB</t>
  </si>
  <si>
    <t>RIVER COOUM AT ANNA NAGAR</t>
  </si>
  <si>
    <t>RIVER COOUM AT ARUMBAKKAM</t>
  </si>
  <si>
    <t>RIVER COOUM AT AMANJIKARAI</t>
  </si>
  <si>
    <t>RIVER COOUM AT POONAMALLE</t>
  </si>
  <si>
    <t>RIVER COOUM AT COLLAGE ROAD</t>
  </si>
  <si>
    <t>RIVER COOUM NEAR CENTRAL JAIL</t>
  </si>
  <si>
    <t>RIVER COOUM AT NAPIER BRIDGE</t>
  </si>
  <si>
    <t>RIVER VAIGAI AT MADURAI U/S</t>
  </si>
  <si>
    <t>RIVER VAIGAI AT MADURAI D/S</t>
  </si>
  <si>
    <t>RIVER VENNAR AT THANJAVUR U/S</t>
  </si>
  <si>
    <t>RIVER VENNAR AT THANJAVUR D/S</t>
  </si>
  <si>
    <t>RIVER SHIMSHA DOWNSTREAM OF MADDUR NEAR
VYDYANATHESWARA TEMPLE ROAD BRIDGE,MAYDYA</t>
  </si>
  <si>
    <t>RIVER ARKAVATHI AT MANCHANBELE RESERVOIR,
MANCHANABALE DAM</t>
  </si>
  <si>
    <t>RIVER BHAVANI AT ELACHIVAZHY, PALAKKAD</t>
  </si>
  <si>
    <t>RIVER KABANI AT MUTHANGA,WAYANAD</t>
  </si>
  <si>
    <t>RIVER KABANI AT BANASURA SAGAR DAM AT
KALPETTA,WAYANAD</t>
  </si>
  <si>
    <t>RIVER KALINDI AT BAVALI, WAYANAD</t>
  </si>
  <si>
    <t>RIVER PAPANASINI AT THIRUNELLY, WAYANAD</t>
  </si>
  <si>
    <t>RIVER THENPENNAIYAR AT CHOKKARASANAHALLI
BRIDGE (BANGALORE)</t>
  </si>
  <si>
    <t>RIVER SUBARNAREKHA AT JAMSHEDPUR</t>
  </si>
  <si>
    <t>RIVER SUBARNAREKHA AT CHANDIL BRIDGE</t>
  </si>
  <si>
    <t>RIVER SUBARNAREKHA AT D/S JAMSHEDPUR, (TATA
NAGAR)</t>
  </si>
  <si>
    <t>RIVER SUBARNAREKHA AT RAJGHAT (THENGUDIA)</t>
  </si>
  <si>
    <t>RIVER SUBARNAREKHA AT GHATISLA ROAD BRIDGE</t>
  </si>
  <si>
    <t>RIVER SUBARNAREKHA AT CHANDIL DAM</t>
  </si>
  <si>
    <t>RIVER SUBARNAREKHA U/S HCL GHATSHILA, E.S</t>
  </si>
  <si>
    <t>RIVER SUBARNAREKHA BEFORE MEETING KHARKAI
RIVER</t>
  </si>
  <si>
    <t>RIVER SUBARNAREKHA AFTER CONFLUENCE OF
KHARKAI RIVER</t>
  </si>
  <si>
    <t>RIVER SUBARNAREKHA AT BAHARAGORA ROAD
BRIDGE, P.O- BAHARAGORA, E.S</t>
  </si>
  <si>
    <t>RIVER SUBARNAREKHA AT BEHRAGORA ODISHA-JHARKHAND</t>
  </si>
  <si>
    <t>RIVER SUBARNAREKHA AT GOPIBALLAVPUR (WEST
BENGAL)</t>
  </si>
  <si>
    <t>RIVER SUBARNAREKHA AT LAKHANNATH (ORISSA)</t>
  </si>
  <si>
    <t>RIVER BUDHABALANGA AT D/S OF BARIPADA TOWN</t>
  </si>
  <si>
    <t>RIVER BUDHABALANGA AT BALASORE U/S</t>
  </si>
  <si>
    <t>RIVER SONO AT KANAKDURGA ROAD NEAR REMUNA,
HATOGOND</t>
  </si>
  <si>
    <t>RIVER TAPTI AT NEPA NAGAR 100 METRE D/S AFTER
MIXING PANDHAR NALLA</t>
  </si>
  <si>
    <t>Temperature Min</t>
  </si>
  <si>
    <t>Temperature Max</t>
  </si>
  <si>
    <t>Dissolved Oxygen Min</t>
  </si>
  <si>
    <t>Dissolved Oxygen Max</t>
  </si>
  <si>
    <t>pH Min</t>
  </si>
  <si>
    <t>pH Max</t>
  </si>
  <si>
    <t>Conductivity Min</t>
  </si>
  <si>
    <t>Conductivity Max</t>
  </si>
  <si>
    <t>BOD Min</t>
  </si>
  <si>
    <t>BOD Max</t>
  </si>
  <si>
    <t>Nitrate Min</t>
  </si>
  <si>
    <t>Nitrate Max</t>
  </si>
  <si>
    <t>Fecal Coliform Min</t>
  </si>
  <si>
    <t>Fecal Coliform Max</t>
  </si>
  <si>
    <t>Total Coliform Min</t>
  </si>
  <si>
    <t>Total Coliform Max</t>
  </si>
  <si>
    <t>Fecal Streptococci Min</t>
  </si>
  <si>
    <t>Fecal Streptococci Max</t>
  </si>
  <si>
    <t>Average of Total Coliform Max</t>
  </si>
  <si>
    <t>Average of Total Coliform Min</t>
  </si>
  <si>
    <t>Row Labels</t>
  </si>
  <si>
    <t>Grand Total</t>
  </si>
  <si>
    <t xml:space="preserve">Sum of Avg Bod </t>
  </si>
  <si>
    <t xml:space="preserve">Average of Avg Bod </t>
  </si>
  <si>
    <t>Avg Bo</t>
  </si>
  <si>
    <t xml:space="preserve">Avegare BOD </t>
  </si>
  <si>
    <t xml:space="preserve">Average of Avegare BOD </t>
  </si>
  <si>
    <t>Average of Avg Bo</t>
  </si>
  <si>
    <t xml:space="preserve">Avg ph </t>
  </si>
  <si>
    <t xml:space="preserve">Average of Avg ph </t>
  </si>
  <si>
    <t>(All)</t>
  </si>
  <si>
    <t>Sum of Dissolved Oxygen Min</t>
  </si>
  <si>
    <t>Sum of Dissolved Oxygen Max</t>
  </si>
  <si>
    <t>Count of Fecal Coliform Min</t>
  </si>
  <si>
    <t>Average of Temperature Min</t>
  </si>
  <si>
    <t>Average of Temperature Max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</si>
</sst>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14">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2" fontId="0" fillId="0" borderId="0" xfId="0" applyNumberFormat="1"/>
  </cellXfs>
  <cellStyles count="1">
    <cellStyle name="Normal" xfId="0" builtinId="0"/>
  </cellStyles>
  <dxfs count="9">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1E366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theme" Target="theme/theme1.xml"/><Relationship Id="rId5" Type="http://schemas.openxmlformats.org/officeDocument/2006/relationships/pivotCacheDefinition" Target="pivotCache/pivotCacheDefinition2.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[River dataset.xlsx]Calculations !PivotTable11</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Top </a:t>
            </a:r>
            <a:r>
              <a:rPr lang="en-IN" baseline="0"/>
              <a:t>5 State DO  </a:t>
            </a:r>
            <a:endParaRPr lang="en-IN"/>
          </a:p>
        </c:rich>
      </c:tx>
      <c:layout>
        <c:manualLayout>
          <c:xMode val="edge"/>
          <c:yMode val="edge"/>
          <c:x val="0.3098786828422877"/>
          <c:y val="0"/>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662650054358456"/>
          <c:y val="0.16651809148856392"/>
          <c:w val="0.45610588754395309"/>
          <c:h val="0.69539698162729646"/>
        </c:manualLayout>
      </c:layout>
      <c:barChart>
        <c:barDir val="bar"/>
        <c:grouping val="clustered"/>
        <c:varyColors val="0"/>
        <c:ser>
          <c:idx val="0"/>
          <c:order val="0"/>
          <c:tx>
            <c:strRef>
              <c:f>'Calculations '!$G$3</c:f>
              <c:strCache>
                <c:ptCount val="1"/>
                <c:pt idx="0">
                  <c:v>Sum of Dissolved Oxygen Min</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'Calculations '!$F$4:$F$9</c:f>
              <c:strCache>
                <c:ptCount val="5"/>
                <c:pt idx="0">
                  <c:v>HIMACHAL
PRADESH</c:v>
                </c:pt>
                <c:pt idx="1">
                  <c:v>KARNATAKA</c:v>
                </c:pt>
                <c:pt idx="2">
                  <c:v>MADHYA
PRADESH</c:v>
                </c:pt>
                <c:pt idx="3">
                  <c:v>MAHARASHTRA</c:v>
                </c:pt>
                <c:pt idx="4">
                  <c:v>ODISHA</c:v>
                </c:pt>
              </c:strCache>
            </c:strRef>
          </c:cat>
          <c:val>
            <c:numRef>
              <c:f>'Calculations '!$G$4:$G$9</c:f>
              <c:numCache>
                <c:formatCode>General</c:formatCode>
                <c:ptCount val="5"/>
                <c:pt idx="0">
                  <c:v>906.7</c:v>
                </c:pt>
                <c:pt idx="1">
                  <c:v>578.5999999999998</c:v>
                </c:pt>
                <c:pt idx="2">
                  <c:v>934.7000000000005</c:v>
                </c:pt>
                <c:pt idx="3">
                  <c:v>559.30000000000007</c:v>
                </c:pt>
                <c:pt idx="4">
                  <c:v>570.79999999999995</c:v>
                </c:pt>
              </c:numCache>
            </c:numRef>
          </c:val>
          <c:extLst>
            <c:ext xmlns:c16="http://schemas.microsoft.com/office/drawing/2014/chart" uri="{C3380CC4-5D6E-409C-BE32-E72D297353CC}">
              <c16:uniqueId val="{00000000-30E0-46A6-86F1-CB2D076E6071}"/>
            </c:ext>
          </c:extLst>
        </c:ser>
        <c:ser>
          <c:idx val="1"/>
          <c:order val="1"/>
          <c:tx>
            <c:strRef>
              <c:f>'Calculations '!$H$3</c:f>
              <c:strCache>
                <c:ptCount val="1"/>
                <c:pt idx="0">
                  <c:v>Sum of Dissolved Oxygen Max</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'Calculations '!$F$4:$F$9</c:f>
              <c:strCache>
                <c:ptCount val="5"/>
                <c:pt idx="0">
                  <c:v>HIMACHAL
PRADESH</c:v>
                </c:pt>
                <c:pt idx="1">
                  <c:v>KARNATAKA</c:v>
                </c:pt>
                <c:pt idx="2">
                  <c:v>MADHYA
PRADESH</c:v>
                </c:pt>
                <c:pt idx="3">
                  <c:v>MAHARASHTRA</c:v>
                </c:pt>
                <c:pt idx="4">
                  <c:v>ODISHA</c:v>
                </c:pt>
              </c:strCache>
            </c:strRef>
          </c:cat>
          <c:val>
            <c:numRef>
              <c:f>'Calculations '!$H$4:$H$9</c:f>
              <c:numCache>
                <c:formatCode>General</c:formatCode>
                <c:ptCount val="5"/>
                <c:pt idx="0">
                  <c:v>1048.4000000000005</c:v>
                </c:pt>
                <c:pt idx="1">
                  <c:v>820.39999999999986</c:v>
                </c:pt>
                <c:pt idx="2">
                  <c:v>1160.3</c:v>
                </c:pt>
                <c:pt idx="3">
                  <c:v>729.90000000000009</c:v>
                </c:pt>
                <c:pt idx="4">
                  <c:v>919.60000000000025</c:v>
                </c:pt>
              </c:numCache>
            </c:numRef>
          </c:val>
          <c:extLst>
            <c:ext xmlns:c16="http://schemas.microsoft.com/office/drawing/2014/chart" uri="{C3380CC4-5D6E-409C-BE32-E72D297353CC}">
              <c16:uniqueId val="{00000001-30E0-46A6-86F1-CB2D076E6071}"/>
            </c:ext>
          </c:extLst>
        </c:ser>
        <c:dLbls>
          <c:dLblPos val="inEnd"/>
          <c:showLegendKey val="0"/>
          <c:showVal val="1"/>
          <c:showCatName val="0"/>
          <c:showSerName val="0"/>
          <c:showPercent val="0"/>
          <c:showBubbleSize val="0"/>
        </c:dLbls>
        <c:gapWidth val="65"/>
        <c:axId val="1304616351"/>
        <c:axId val="1304616767"/>
      </c:barChart>
      <c:catAx>
        <c:axId val="130461635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04616767"/>
        <c:crosses val="autoZero"/>
        <c:auto val="1"/>
        <c:lblAlgn val="ctr"/>
        <c:lblOffset val="100"/>
        <c:noMultiLvlLbl val="0"/>
      </c:catAx>
      <c:valAx>
        <c:axId val="130461676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0461635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[River dataset.xlsx]Calculations !PivotTable13</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Total Coliform counts by station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pPr>
            <a:solidFill>
              <a:schemeClr val="accent1">
                <a:alpha val="85000"/>
              </a:schemeClr>
            </a:solidFill>
            <a:ln>
              <a:no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'Calculations '!$D$60</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'Calculations '!$C$61:$C$66</c:f>
              <c:strCache>
                <c:ptCount val="5"/>
                <c:pt idx="0">
                  <c:v>HIMACHAL
PRADESH</c:v>
                </c:pt>
                <c:pt idx="1">
                  <c:v>KARNATAKA</c:v>
                </c:pt>
                <c:pt idx="2">
                  <c:v>MADHYA
PRADESH</c:v>
                </c:pt>
                <c:pt idx="3">
                  <c:v>MAHARASHTRA</c:v>
                </c:pt>
                <c:pt idx="4">
                  <c:v>ODISHA</c:v>
                </c:pt>
              </c:strCache>
            </c:strRef>
          </c:cat>
          <c:val>
            <c:numRef>
              <c:f>'Calculations '!$D$61:$D$66</c:f>
              <c:numCache>
                <c:formatCode>General</c:formatCode>
                <c:ptCount val="5"/>
                <c:pt idx="0">
                  <c:v>118</c:v>
                </c:pt>
                <c:pt idx="1">
                  <c:v>102</c:v>
                </c:pt>
                <c:pt idx="2">
                  <c:v>142</c:v>
                </c:pt>
                <c:pt idx="3">
                  <c:v>116</c:v>
                </c:pt>
                <c:pt idx="4">
                  <c:v>107</c:v>
                </c:pt>
              </c:numCache>
            </c:numRef>
          </c:val>
          <c:extLst>
            <c:ext xmlns:c16="http://schemas.microsoft.com/office/drawing/2014/chart" uri="{C3380CC4-5D6E-409C-BE32-E72D297353CC}">
              <c16:uniqueId val="{00000000-A8B6-453F-B121-C9E1375287D9}"/>
            </c:ext>
          </c:extLst>
        </c:ser>
        <c:dLbls>
          <c:showLegendKey val="0"/>
          <c:showVal val="1"/>
          <c:showCatName val="0"/>
          <c:showSerName val="0"/>
          <c:showPercent val="0"/>
          <c:showBubbleSize val="0"/>
        </c:dLbls>
        <c:gapWidth val="65"/>
        <c:shape val="box"/>
        <c:axId val="356912767"/>
        <c:axId val="356913183"/>
        <c:axId val="0"/>
      </c:bar3DChart>
      <c:catAx>
        <c:axId val="35691276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56913183"/>
        <c:crosses val="autoZero"/>
        <c:auto val="1"/>
        <c:lblAlgn val="ctr"/>
        <c:lblOffset val="100"/>
        <c:noMultiLvlLbl val="0"/>
      </c:catAx>
      <c:valAx>
        <c:axId val="356913183"/>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5691276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[River dataset.xlsx]Calculations !PivotTable10</c:name>
    <c:fmtId val="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 '!$F$60</c:f>
              <c:strCache>
                <c:ptCount val="1"/>
                <c:pt idx="0">
                  <c:v>Average of Temperature Min</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'Calculations '!$E$61:$E$71</c:f>
              <c:strCache>
                <c:ptCount val="10"/>
                <c:pt idx="0">
                  <c:v>ANDHRA</c:v>
                </c:pt>
                <c:pt idx="1">
                  <c:v>ANDHRA
PRADESH</c:v>
                </c:pt>
                <c:pt idx="2">
                  <c:v>GUJARAT</c:v>
                </c:pt>
                <c:pt idx="3">
                  <c:v>KARNATAKA</c:v>
                </c:pt>
                <c:pt idx="4">
                  <c:v>KERALA</c:v>
                </c:pt>
                <c:pt idx="5">
                  <c:v>MAHARASHTRA</c:v>
                </c:pt>
                <c:pt idx="6">
                  <c:v>ODISHA</c:v>
                </c:pt>
                <c:pt idx="7">
                  <c:v>PUDUCHERRY</c:v>
                </c:pt>
                <c:pt idx="8">
                  <c:v>TAMIL NADU</c:v>
                </c:pt>
                <c:pt idx="9">
                  <c:v>TELANGANA</c:v>
                </c:pt>
              </c:strCache>
            </c:strRef>
          </c:cat>
          <c:val>
            <c:numRef>
              <c:f>'Calculations '!$F$61:$F$71</c:f>
              <c:numCache>
                <c:formatCode>General</c:formatCode>
                <c:ptCount val="10"/>
                <c:pt idx="0">
                  <c:v>25</c:v>
                </c:pt>
                <c:pt idx="1">
                  <c:v>22.333333333333332</c:v>
                </c:pt>
                <c:pt idx="2">
                  <c:v>24.790697674418606</c:v>
                </c:pt>
                <c:pt idx="3">
                  <c:v>22.745098039215687</c:v>
                </c:pt>
                <c:pt idx="4">
                  <c:v>22.333333333333332</c:v>
                </c:pt>
                <c:pt idx="5">
                  <c:v>22.276724137931033</c:v>
                </c:pt>
                <c:pt idx="6">
                  <c:v>21.507476635514021</c:v>
                </c:pt>
                <c:pt idx="7">
                  <c:v>29</c:v>
                </c:pt>
                <c:pt idx="8">
                  <c:v>24.653571428571428</c:v>
                </c:pt>
                <c:pt idx="9">
                  <c:v>22.463265306122452</c:v>
                </c:pt>
              </c:numCache>
            </c:numRef>
          </c:val>
          <c:smooth val="0"/>
          <c:extLst>
            <c:ext xmlns:c16="http://schemas.microsoft.com/office/drawing/2014/chart" uri="{C3380CC4-5D6E-409C-BE32-E72D297353CC}">
              <c16:uniqueId val="{00000000-3147-46CA-A356-D07FEC22DC4B}"/>
            </c:ext>
          </c:extLst>
        </c:ser>
        <c:ser>
          <c:idx val="1"/>
          <c:order val="1"/>
          <c:tx>
            <c:strRef>
              <c:f>'Calculations '!$G$60</c:f>
              <c:strCache>
                <c:ptCount val="1"/>
                <c:pt idx="0">
                  <c:v>Average of Temperature Max</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'Calculations '!$E$61:$E$71</c:f>
              <c:strCache>
                <c:ptCount val="10"/>
                <c:pt idx="0">
                  <c:v>ANDHRA</c:v>
                </c:pt>
                <c:pt idx="1">
                  <c:v>ANDHRA
PRADESH</c:v>
                </c:pt>
                <c:pt idx="2">
                  <c:v>GUJARAT</c:v>
                </c:pt>
                <c:pt idx="3">
                  <c:v>KARNATAKA</c:v>
                </c:pt>
                <c:pt idx="4">
                  <c:v>KERALA</c:v>
                </c:pt>
                <c:pt idx="5">
                  <c:v>MAHARASHTRA</c:v>
                </c:pt>
                <c:pt idx="6">
                  <c:v>ODISHA</c:v>
                </c:pt>
                <c:pt idx="7">
                  <c:v>PUDUCHERRY</c:v>
                </c:pt>
                <c:pt idx="8">
                  <c:v>TAMIL NADU</c:v>
                </c:pt>
                <c:pt idx="9">
                  <c:v>TELANGANA</c:v>
                </c:pt>
              </c:strCache>
            </c:strRef>
          </c:cat>
          <c:val>
            <c:numRef>
              <c:f>'Calculations '!$G$61:$G$71</c:f>
              <c:numCache>
                <c:formatCode>General</c:formatCode>
                <c:ptCount val="10"/>
                <c:pt idx="0">
                  <c:v>26.5</c:v>
                </c:pt>
                <c:pt idx="1">
                  <c:v>27.8</c:v>
                </c:pt>
                <c:pt idx="2">
                  <c:v>30.523255813953487</c:v>
                </c:pt>
                <c:pt idx="3">
                  <c:v>29.058823529411764</c:v>
                </c:pt>
                <c:pt idx="4">
                  <c:v>31</c:v>
                </c:pt>
                <c:pt idx="5">
                  <c:v>27.46551724137931</c:v>
                </c:pt>
                <c:pt idx="6">
                  <c:v>30.571962616822429</c:v>
                </c:pt>
                <c:pt idx="7">
                  <c:v>35</c:v>
                </c:pt>
                <c:pt idx="8">
                  <c:v>32.125</c:v>
                </c:pt>
                <c:pt idx="9">
                  <c:v>27.251020408163271</c:v>
                </c:pt>
              </c:numCache>
            </c:numRef>
          </c:val>
          <c:smooth val="0"/>
          <c:extLst>
            <c:ext xmlns:c16="http://schemas.microsoft.com/office/drawing/2014/chart" uri="{C3380CC4-5D6E-409C-BE32-E72D297353CC}">
              <c16:uniqueId val="{00000001-3147-46CA-A356-D07FEC22DC4B}"/>
            </c:ext>
          </c:extLst>
        </c:ser>
        <c:dLbls>
          <c:dLblPos val="ctr"/>
          <c:showLegendKey val="0"/>
          <c:showVal val="1"/>
          <c:showCatName val="0"/>
          <c:showSerName val="0"/>
          <c:showPercent val="0"/>
          <c:showBubbleSize val="0"/>
        </c:dLbls>
        <c:marker val="1"/>
        <c:smooth val="0"/>
        <c:axId val="130124128"/>
        <c:axId val="130124544"/>
      </c:lineChart>
      <c:catAx>
        <c:axId val="13012412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0124544"/>
        <c:crosses val="autoZero"/>
        <c:auto val="1"/>
        <c:lblAlgn val="ctr"/>
        <c:lblOffset val="100"/>
        <c:noMultiLvlLbl val="0"/>
      </c:catAx>
      <c:valAx>
        <c:axId val="13012454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3012412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rich>
          <a:bodyPr spcFirstLastPara="1" vertOverflow="ellipsis" horzOverflow="overflow" wrap="square" lIns="0" tIns="0" rIns="0" bIns="0" anchor="ctr" anchorCtr="1"/>
          <a:lstStyle/>
          <a:p>
            <a:pPr algn="ctr" rtl="0">
              <a:defRPr/>
            </a:pPr>
            <a:r>
              <a:rPr lang="en-IN"/>
              <a:t>State Wise  Dissolved Oxygen levels</a:t>
            </a: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treemap" uniqueId="{A71B14E4-4503-4ECF-AF8E-D189CBC8B433}">
          <cx:dataLabels>
            <cx:numFmt formatCode="#,##0.00" sourceLinked="0"/>
            <cx:visibility seriesName="0" categoryName="1" value="1"/>
            <cx:separator>
</cx:separator>
          </cx:dataLabels>
          <cx:dataId val="0"/>
          <cx:layoutPr>
            <cx:parentLabelLayout val="overlapping"/>
          </cx:layoutPr>
        </cx:series>
      </cx:plotAreaRegion>
    </cx:plotArea>
    <cx:legend pos="r" align="ctr" overlay="0"/>
  </cx:chart>
  <cx:spPr>
    <a:ln>
      <a:solidFill>
        <a:schemeClr val="tx1"/>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microsoft.com/office/2014/relationships/chartEx" Target="../charts/chartEx1.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91440</xdr:colOff>
      <xdr:row>0</xdr:row>
      <xdr:rowOff>30480</xdr:rowOff>
    </xdr:from>
    <xdr:to>
      <xdr:col>17</xdr:col>
      <xdr:colOff>175260</xdr:colOff>
      <xdr:row>2</xdr:row>
      <xdr:rowOff>38100</xdr:rowOff>
    </xdr:to>
    <xdr:sp macro="" textlink="">
      <xdr:nvSpPr>
        <xdr:cNvPr id="3" name="Rectangle 2">
          <a:extLst>
            <a:ext uri="{FF2B5EF4-FFF2-40B4-BE49-F238E27FC236}">
              <a16:creationId xmlns:a16="http://schemas.microsoft.com/office/drawing/2014/main" id="{F5EA11B0-A01E-43D6-BC83-FA55E21D40D5}"/>
            </a:ext>
          </a:extLst>
        </xdr:cNvPr>
        <xdr:cNvSpPr/>
      </xdr:nvSpPr>
      <xdr:spPr>
        <a:xfrm>
          <a:off x="91440" y="30480"/>
          <a:ext cx="10447020" cy="373380"/>
        </a:xfrm>
        <a:prstGeom prst="rect">
          <a:avLst/>
        </a:prstGeom>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r>
            <a:rPr lang="en-IN" sz="1800" b="1"/>
            <a:t>Water Quality Overview</a:t>
          </a:r>
        </a:p>
        <a:p>
          <a:pPr algn="l"/>
          <a:endParaRPr lang="en-IN" sz="1100"/>
        </a:p>
      </xdr:txBody>
    </xdr:sp>
    <xdr:clientData/>
  </xdr:twoCellAnchor>
  <xdr:twoCellAnchor>
    <xdr:from>
      <xdr:col>0</xdr:col>
      <xdr:colOff>91440</xdr:colOff>
      <xdr:row>2</xdr:row>
      <xdr:rowOff>76200</xdr:rowOff>
    </xdr:from>
    <xdr:to>
      <xdr:col>3</xdr:col>
      <xdr:colOff>175260</xdr:colOff>
      <xdr:row>26</xdr:row>
      <xdr:rowOff>7620</xdr:rowOff>
    </xdr:to>
    <xdr:sp macro="" textlink="">
      <xdr:nvSpPr>
        <xdr:cNvPr id="4" name="Rectangle 3">
          <a:extLst>
            <a:ext uri="{FF2B5EF4-FFF2-40B4-BE49-F238E27FC236}">
              <a16:creationId xmlns:a16="http://schemas.microsoft.com/office/drawing/2014/main" id="{1B3E6512-26FF-406D-85E2-F3A32FC1CC64}"/>
            </a:ext>
          </a:extLst>
        </xdr:cNvPr>
        <xdr:cNvSpPr/>
      </xdr:nvSpPr>
      <xdr:spPr>
        <a:xfrm>
          <a:off x="91440" y="441960"/>
          <a:ext cx="1912620" cy="4320540"/>
        </a:xfrm>
        <a:prstGeom prst="rect">
          <a:avLst/>
        </a:prstGeom>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IN" sz="1100"/>
        </a:p>
      </xdr:txBody>
    </xdr:sp>
    <xdr:clientData/>
  </xdr:twoCellAnchor>
  <xdr:twoCellAnchor>
    <xdr:from>
      <xdr:col>0</xdr:col>
      <xdr:colOff>205740</xdr:colOff>
      <xdr:row>3</xdr:row>
      <xdr:rowOff>7620</xdr:rowOff>
    </xdr:from>
    <xdr:to>
      <xdr:col>3</xdr:col>
      <xdr:colOff>45720</xdr:colOff>
      <xdr:row>7</xdr:row>
      <xdr:rowOff>53340</xdr:rowOff>
    </xdr:to>
    <xdr:sp macro="" textlink="'Calculations '!D6">
      <xdr:nvSpPr>
        <xdr:cNvPr id="5" name="Rectangle 4">
          <a:extLst>
            <a:ext uri="{FF2B5EF4-FFF2-40B4-BE49-F238E27FC236}">
              <a16:creationId xmlns:a16="http://schemas.microsoft.com/office/drawing/2014/main" id="{51C27572-55FE-44F8-ACE8-B58233C6564A}"/>
            </a:ext>
          </a:extLst>
        </xdr:cNvPr>
        <xdr:cNvSpPr/>
      </xdr:nvSpPr>
      <xdr:spPr>
        <a:xfrm>
          <a:off x="205740" y="556260"/>
          <a:ext cx="1668780" cy="777240"/>
        </a:xfrm>
        <a:prstGeom prst="rect">
          <a:avLst/>
        </a:prstGeom>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lang="en-IN" sz="1200" b="1"/>
            <a:t>Average Dissolved Oxygen Level</a:t>
          </a:r>
          <a:br>
            <a:rPr lang="en-IN" sz="1200" b="1"/>
          </a:br>
          <a:fld id="{F9CD3112-0528-4F5C-8057-0A05D29BB2D1}" type="TxLink">
            <a:rPr lang="en-US" sz="1200" b="1" i="0" u="none" strike="noStrike">
              <a:solidFill>
                <a:srgbClr val="000000"/>
              </a:solidFill>
              <a:latin typeface="Calibri"/>
              <a:ea typeface="Calibri"/>
              <a:cs typeface="Calibri"/>
            </a:rPr>
            <a:pPr algn="ctr"/>
            <a:t>23.92</a:t>
          </a:fld>
          <a:endParaRPr lang="en-IN" sz="1600" b="1"/>
        </a:p>
      </xdr:txBody>
    </xdr:sp>
    <xdr:clientData/>
  </xdr:twoCellAnchor>
  <xdr:twoCellAnchor>
    <xdr:from>
      <xdr:col>0</xdr:col>
      <xdr:colOff>205740</xdr:colOff>
      <xdr:row>7</xdr:row>
      <xdr:rowOff>76200</xdr:rowOff>
    </xdr:from>
    <xdr:to>
      <xdr:col>3</xdr:col>
      <xdr:colOff>45720</xdr:colOff>
      <xdr:row>11</xdr:row>
      <xdr:rowOff>121920</xdr:rowOff>
    </xdr:to>
    <xdr:sp macro="" textlink="'Calculations '!D40">
      <xdr:nvSpPr>
        <xdr:cNvPr id="6" name="Rectangle 5">
          <a:extLst>
            <a:ext uri="{FF2B5EF4-FFF2-40B4-BE49-F238E27FC236}">
              <a16:creationId xmlns:a16="http://schemas.microsoft.com/office/drawing/2014/main" id="{88F050B0-23C4-403B-8786-EE967B3BD1AA}"/>
            </a:ext>
          </a:extLst>
        </xdr:cNvPr>
        <xdr:cNvSpPr/>
      </xdr:nvSpPr>
      <xdr:spPr>
        <a:xfrm>
          <a:off x="205740" y="1356360"/>
          <a:ext cx="1668780" cy="777240"/>
        </a:xfrm>
        <a:prstGeom prst="rect">
          <a:avLst/>
        </a:prstGeom>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lang="en-IN" sz="1200" b="1"/>
            <a:t>Average Biochemical Oxygen Demand </a:t>
          </a:r>
          <a:br>
            <a:rPr lang="en-IN" sz="1200" b="1"/>
          </a:br>
          <a:fld id="{17BC9D0E-392A-45FF-A462-5C0561DA5102}" type="TxLink">
            <a:rPr lang="en-US" sz="1200" b="1" i="0" u="none" strike="noStrike">
              <a:solidFill>
                <a:srgbClr val="000000"/>
              </a:solidFill>
              <a:latin typeface="Calibri"/>
              <a:ea typeface="Calibri"/>
              <a:cs typeface="Calibri"/>
            </a:rPr>
            <a:pPr algn="ctr"/>
            <a:t>20.47</a:t>
          </a:fld>
          <a:endParaRPr lang="en-IN" sz="1200" b="1"/>
        </a:p>
      </xdr:txBody>
    </xdr:sp>
    <xdr:clientData/>
  </xdr:twoCellAnchor>
  <xdr:twoCellAnchor>
    <xdr:from>
      <xdr:col>0</xdr:col>
      <xdr:colOff>205740</xdr:colOff>
      <xdr:row>11</xdr:row>
      <xdr:rowOff>144780</xdr:rowOff>
    </xdr:from>
    <xdr:to>
      <xdr:col>3</xdr:col>
      <xdr:colOff>45720</xdr:colOff>
      <xdr:row>16</xdr:row>
      <xdr:rowOff>7620</xdr:rowOff>
    </xdr:to>
    <xdr:sp macro="" textlink="'Calculations '!D8">
      <xdr:nvSpPr>
        <xdr:cNvPr id="7" name="Rectangle 6">
          <a:extLst>
            <a:ext uri="{FF2B5EF4-FFF2-40B4-BE49-F238E27FC236}">
              <a16:creationId xmlns:a16="http://schemas.microsoft.com/office/drawing/2014/main" id="{70318F81-1822-40C9-8674-B88B578C882B}"/>
            </a:ext>
          </a:extLst>
        </xdr:cNvPr>
        <xdr:cNvSpPr/>
      </xdr:nvSpPr>
      <xdr:spPr>
        <a:xfrm>
          <a:off x="205740" y="2156460"/>
          <a:ext cx="1668780" cy="777240"/>
        </a:xfrm>
        <a:prstGeom prst="rect">
          <a:avLst/>
        </a:prstGeom>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200" b="1">
              <a:solidFill>
                <a:schemeClr val="dk1"/>
              </a:solidFill>
              <a:effectLst/>
              <a:latin typeface="+mn-lt"/>
              <a:ea typeface="+mn-ea"/>
              <a:cs typeface="+mn-cs"/>
            </a:rPr>
            <a:t>Average Difference</a:t>
          </a:r>
          <a:r>
            <a:rPr lang="en-IN" sz="1200" b="1" baseline="0">
              <a:solidFill>
                <a:schemeClr val="dk1"/>
              </a:solidFill>
              <a:effectLst/>
              <a:latin typeface="+mn-lt"/>
              <a:ea typeface="+mn-ea"/>
              <a:cs typeface="+mn-cs"/>
            </a:rPr>
            <a:t> PH Min and Max </a:t>
          </a:r>
          <a:br>
            <a:rPr lang="en-IN" sz="1200" b="1">
              <a:solidFill>
                <a:schemeClr val="dk1"/>
              </a:solidFill>
              <a:effectLst/>
              <a:latin typeface="+mn-lt"/>
              <a:ea typeface="+mn-ea"/>
              <a:cs typeface="+mn-cs"/>
            </a:rPr>
          </a:br>
          <a:fld id="{F5E1E9DA-872C-45F1-AC53-6FF23323CE23}" type="TxLink">
            <a:rPr lang="en-US" sz="1200" b="1" i="0" u="none" strike="noStrike">
              <a:solidFill>
                <a:srgbClr val="000000"/>
              </a:solidFill>
              <a:latin typeface="Calibri"/>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0.90</a:t>
          </a:fld>
          <a:endParaRPr lang="en-US" sz="1400" b="1" i="0" u="none" strike="noStrike">
            <a:solidFill>
              <a:srgbClr val="000000"/>
            </a:solidFill>
            <a:latin typeface="Calibri"/>
            <a:ea typeface="Calibri"/>
            <a:cs typeface="Calibri"/>
          </a:endParaRPr>
        </a:p>
      </xdr:txBody>
    </xdr:sp>
    <xdr:clientData/>
  </xdr:twoCellAnchor>
  <xdr:twoCellAnchor editAs="oneCell">
    <xdr:from>
      <xdr:col>0</xdr:col>
      <xdr:colOff>205740</xdr:colOff>
      <xdr:row>16</xdr:row>
      <xdr:rowOff>30481</xdr:rowOff>
    </xdr:from>
    <xdr:to>
      <xdr:col>3</xdr:col>
      <xdr:colOff>53340</xdr:colOff>
      <xdr:row>25</xdr:row>
      <xdr:rowOff>99061</xdr:rowOff>
    </xdr:to>
    <mc:AlternateContent xmlns:mc="http://schemas.openxmlformats.org/markup-compatibility/2006" xmlns:a14="http://schemas.microsoft.com/office/drawing/2010/main">
      <mc:Choice Requires="a14">
        <xdr:graphicFrame macro="">
          <xdr:nvGraphicFramePr>
            <xdr:cNvPr id="8" name="State">
              <a:extLst>
                <a:ext uri="{FF2B5EF4-FFF2-40B4-BE49-F238E27FC236}">
                  <a16:creationId xmlns:a16="http://schemas.microsoft.com/office/drawing/2014/main" id="{573EA708-A04B-4792-BF75-3650BB9B15A3}"/>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205740" y="2956561"/>
              <a:ext cx="1676400" cy="1714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198120</xdr:colOff>
      <xdr:row>2</xdr:row>
      <xdr:rowOff>76200</xdr:rowOff>
    </xdr:from>
    <xdr:to>
      <xdr:col>10</xdr:col>
      <xdr:colOff>320040</xdr:colOff>
      <xdr:row>14</xdr:row>
      <xdr:rowOff>53340</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33DC0E5C-6562-4137-88D7-17D16B759BA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026920" y="441960"/>
              <a:ext cx="4389120" cy="21717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198120</xdr:colOff>
      <xdr:row>14</xdr:row>
      <xdr:rowOff>68580</xdr:rowOff>
    </xdr:from>
    <xdr:to>
      <xdr:col>10</xdr:col>
      <xdr:colOff>322920</xdr:colOff>
      <xdr:row>26</xdr:row>
      <xdr:rowOff>7620</xdr:rowOff>
    </xdr:to>
    <xdr:graphicFrame macro="">
      <xdr:nvGraphicFramePr>
        <xdr:cNvPr id="10" name="Chart 9">
          <a:extLst>
            <a:ext uri="{FF2B5EF4-FFF2-40B4-BE49-F238E27FC236}">
              <a16:creationId xmlns:a16="http://schemas.microsoft.com/office/drawing/2014/main" id="{455A8BF5-CFF4-4421-8D53-15ECDB53D9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335280</xdr:colOff>
      <xdr:row>2</xdr:row>
      <xdr:rowOff>76200</xdr:rowOff>
    </xdr:from>
    <xdr:to>
      <xdr:col>17</xdr:col>
      <xdr:colOff>182880</xdr:colOff>
      <xdr:row>14</xdr:row>
      <xdr:rowOff>45720</xdr:rowOff>
    </xdr:to>
    <xdr:graphicFrame macro="">
      <xdr:nvGraphicFramePr>
        <xdr:cNvPr id="12" name="Chart 11">
          <a:extLst>
            <a:ext uri="{FF2B5EF4-FFF2-40B4-BE49-F238E27FC236}">
              <a16:creationId xmlns:a16="http://schemas.microsoft.com/office/drawing/2014/main" id="{6FA80405-B840-4D16-ABBB-30203920E7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342900</xdr:colOff>
      <xdr:row>14</xdr:row>
      <xdr:rowOff>60960</xdr:rowOff>
    </xdr:from>
    <xdr:to>
      <xdr:col>17</xdr:col>
      <xdr:colOff>182880</xdr:colOff>
      <xdr:row>25</xdr:row>
      <xdr:rowOff>173280</xdr:rowOff>
    </xdr:to>
    <xdr:graphicFrame macro="">
      <xdr:nvGraphicFramePr>
        <xdr:cNvPr id="13" name="Chart 12">
          <a:extLst>
            <a:ext uri="{FF2B5EF4-FFF2-40B4-BE49-F238E27FC236}">
              <a16:creationId xmlns:a16="http://schemas.microsoft.com/office/drawing/2014/main" id="{CFE025AD-FB2A-42B2-956A-87F7B2FF3F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867.956005439817" backgroundQuery="1" createdVersion="7" refreshedVersion="7" minRefreshableVersion="3" recordCount="1428" xr:uid="{1B92EEA5-6184-400A-8FED-DE0C814033ED}">
  <cacheSource type="external" connectionId="3"/>
  <cacheFields count="21">
    <cacheField name="Station_x000a_Code" numFmtId="0">
      <sharedItems containsSemiMixedTypes="0" containsString="0" containsNumber="1" containsInteger="1" minValue="1" maxValue="30089"/>
    </cacheField>
    <cacheField name="Monitoring Location" numFmtId="0">
      <sharedItems/>
    </cacheField>
    <cacheField name="State" numFmtId="0">
      <sharedItems count="31">
        <s v="HIMACHAL_x000a_PRADESH"/>
        <s v="PUNJAB"/>
        <s v="JAMMU &amp;_x000a_KASHMIR"/>
        <s v="UTTARAKHAND"/>
        <s v="UTTAR_x000a_PRADESH"/>
        <s v="BIHAR"/>
        <s v="JHARKHAND"/>
        <s v="WEST BENGAL"/>
        <s v="HARYANA"/>
        <s v="DELHI"/>
        <s v="MADHYA_x000a_PRADESH"/>
        <s v="RAJASTHAN"/>
        <s v="ASSAM"/>
        <s v="NAGALAND"/>
        <s v="MANIPUR"/>
        <s v="TRIPURA"/>
        <s v="ARUNACHAL_x000a_PRADESH"/>
        <s v="MEGHALAYA"/>
        <s v="MIZORAM"/>
        <s v="SIKKIM"/>
        <s v="GUJARAT"/>
        <s v="MAHARASHTRA"/>
        <s v="ODISHA"/>
        <s v="CHHATTISGARH"/>
        <s v="TELANGANA"/>
        <s v="ANDHRA_x000a_PRADESH"/>
        <s v="KARNATAKA"/>
        <s v="ANDHRA"/>
        <s v="PUDUCHERRY"/>
        <s v="TAMIL NADU"/>
        <s v="KERALA"/>
      </sharedItems>
    </cacheField>
    <cacheField name="Temperature Min" numFmtId="0">
      <sharedItems containsSemiMixedTypes="0" containsString="0" containsNumber="1" minValue="2" maxValue="29"/>
    </cacheField>
    <cacheField name="Temperature Max" numFmtId="0">
      <sharedItems containsSemiMixedTypes="0" containsString="0" containsNumber="1" minValue="4" maxValue="39"/>
    </cacheField>
    <cacheField name="Dissolved Oxygen Min" numFmtId="0">
      <sharedItems containsSemiMixedTypes="0" containsString="0" containsNumber="1" minValue="0.3" maxValue="11.4"/>
    </cacheField>
    <cacheField name="Dissolved Oxygen Max" numFmtId="0">
      <sharedItems containsSemiMixedTypes="0" containsString="0" containsNumber="1" minValue="0.3" maxValue="14.1"/>
    </cacheField>
    <cacheField name="pH Min" numFmtId="0">
      <sharedItems containsSemiMixedTypes="0" containsString="0" containsNumber="1" minValue="2" maxValue="9"/>
    </cacheField>
    <cacheField name="pH Max" numFmtId="0">
      <sharedItems containsSemiMixedTypes="0" containsString="0" containsNumber="1" minValue="3" maxValue="9.9"/>
    </cacheField>
    <cacheField name="Conductivity Min" numFmtId="0">
      <sharedItems containsSemiMixedTypes="0" containsString="0" containsNumber="1" containsInteger="1" minValue="5" maxValue="34400"/>
    </cacheField>
    <cacheField name="Conductivity Max" numFmtId="0">
      <sharedItems containsSemiMixedTypes="0" containsString="0" containsNumber="1" containsInteger="1" minValue="31" maxValue="54200"/>
    </cacheField>
    <cacheField name="BOD Min" numFmtId="0">
      <sharedItems containsSemiMixedTypes="0" containsString="0" containsNumber="1" minValue="1" maxValue="48"/>
    </cacheField>
    <cacheField name="BOD Max" numFmtId="0">
      <sharedItems containsSemiMixedTypes="0" containsString="0" containsNumber="1" minValue="1" maxValue="294"/>
    </cacheField>
    <cacheField name="Nitrate Min" numFmtId="0">
      <sharedItems containsSemiMixedTypes="0" containsString="0" containsNumber="1" minValue="0" maxValue="32"/>
    </cacheField>
    <cacheField name="Nitrate Max" numFmtId="0">
      <sharedItems containsSemiMixedTypes="0" containsString="0" containsNumber="1" minValue="0" maxValue="790.02"/>
    </cacheField>
    <cacheField name="Fecal Coliform Min" numFmtId="0">
      <sharedItems containsString="0" containsBlank="1" containsNumber="1" containsInteger="1" minValue="2" maxValue="2200000"/>
    </cacheField>
    <cacheField name="Fecal Coliform Max" numFmtId="0">
      <sharedItems containsString="0" containsBlank="1" containsNumber="1" containsInteger="1" minValue="2" maxValue="24000000"/>
    </cacheField>
    <cacheField name="Total Coliform Min" numFmtId="0">
      <sharedItems containsString="0" containsBlank="1" containsNumber="1" containsInteger="1" minValue="2" maxValue="3200000"/>
    </cacheField>
    <cacheField name="Total Coliform Max" numFmtId="0">
      <sharedItems containsString="0" containsBlank="1" containsNumber="1" containsInteger="1" minValue="2" maxValue="160000000"/>
    </cacheField>
    <cacheField name="Fecal Streptococci Min" numFmtId="0">
      <sharedItems containsString="0" containsBlank="1" containsNumber="1" containsInteger="1" minValue="2" maxValue="17000"/>
    </cacheField>
    <cacheField name="Fecal Streptococci Max" numFmtId="0">
      <sharedItems containsString="0" containsBlank="1" containsNumber="1" containsInteger="1" minValue="2" maxValue="540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869.213340046299" backgroundQuery="1" createdVersion="7" refreshedVersion="7" minRefreshableVersion="3" recordCount="1428" xr:uid="{0E2F88C4-30E1-497B-BAF2-D250A063B9F9}">
  <cacheSource type="external" connectionId="2"/>
  <cacheFields count="21">
    <cacheField name="Station_x000a_Code" numFmtId="0">
      <sharedItems containsSemiMixedTypes="0" containsString="0" containsNumber="1" containsInteger="1" minValue="1" maxValue="30089"/>
    </cacheField>
    <cacheField name="Monitoring Location" numFmtId="0">
      <sharedItems/>
    </cacheField>
    <cacheField name="State" numFmtId="0">
      <sharedItems count="31">
        <s v="HIMACHAL_x000a_PRADESH"/>
        <s v="PUNJAB"/>
        <s v="JAMMU &amp;_x000a_KASHMIR"/>
        <s v="UTTARAKHAND"/>
        <s v="UTTAR_x000a_PRADESH"/>
        <s v="BIHAR"/>
        <s v="JHARKHAND"/>
        <s v="WEST BENGAL"/>
        <s v="HARYANA"/>
        <s v="DELHI"/>
        <s v="MADHYA_x000a_PRADESH"/>
        <s v="RAJASTHAN"/>
        <s v="ASSAM"/>
        <s v="NAGALAND"/>
        <s v="MANIPUR"/>
        <s v="TRIPURA"/>
        <s v="ARUNACHAL_x000a_PRADESH"/>
        <s v="MEGHALAYA"/>
        <s v="MIZORAM"/>
        <s v="SIKKIM"/>
        <s v="GUJARAT"/>
        <s v="MAHARASHTRA"/>
        <s v="ODISHA"/>
        <s v="CHHATTISGARH"/>
        <s v="TELANGANA"/>
        <s v="ANDHRA_x000a_PRADESH"/>
        <s v="KARNATAKA"/>
        <s v="ANDHRA"/>
        <s v="PUDUCHERRY"/>
        <s v="TAMIL NADU"/>
        <s v="KERALA"/>
      </sharedItems>
    </cacheField>
    <cacheField name="Temperature Min" numFmtId="0">
      <sharedItems containsSemiMixedTypes="0" containsString="0" containsNumber="1" minValue="2" maxValue="29"/>
    </cacheField>
    <cacheField name="Temperature Max" numFmtId="0">
      <sharedItems containsSemiMixedTypes="0" containsString="0" containsNumber="1" minValue="4" maxValue="39"/>
    </cacheField>
    <cacheField name="Dissolved Oxygen Min" numFmtId="0">
      <sharedItems containsSemiMixedTypes="0" containsString="0" containsNumber="1" minValue="0.3" maxValue="11.4"/>
    </cacheField>
    <cacheField name="Dissolved Oxygen Max" numFmtId="0">
      <sharedItems containsSemiMixedTypes="0" containsString="0" containsNumber="1" minValue="0.3" maxValue="14.1"/>
    </cacheField>
    <cacheField name="pH Min" numFmtId="0">
      <sharedItems containsSemiMixedTypes="0" containsString="0" containsNumber="1" minValue="2" maxValue="9"/>
    </cacheField>
    <cacheField name="pH Max" numFmtId="0">
      <sharedItems containsSemiMixedTypes="0" containsString="0" containsNumber="1" minValue="3" maxValue="9.9"/>
    </cacheField>
    <cacheField name="Conductivity Min" numFmtId="0">
      <sharedItems containsSemiMixedTypes="0" containsString="0" containsNumber="1" containsInteger="1" minValue="5" maxValue="34400"/>
    </cacheField>
    <cacheField name="Conductivity Max" numFmtId="0">
      <sharedItems containsSemiMixedTypes="0" containsString="0" containsNumber="1" containsInteger="1" minValue="31" maxValue="54200"/>
    </cacheField>
    <cacheField name="BOD Min" numFmtId="0">
      <sharedItems containsSemiMixedTypes="0" containsString="0" containsNumber="1" minValue="1" maxValue="48"/>
    </cacheField>
    <cacheField name="BOD Max" numFmtId="0">
      <sharedItems containsSemiMixedTypes="0" containsString="0" containsNumber="1" minValue="1" maxValue="294"/>
    </cacheField>
    <cacheField name="Nitrate Min" numFmtId="0">
      <sharedItems containsSemiMixedTypes="0" containsString="0" containsNumber="1" minValue="0" maxValue="32"/>
    </cacheField>
    <cacheField name="Nitrate Max" numFmtId="0">
      <sharedItems containsSemiMixedTypes="0" containsString="0" containsNumber="1" minValue="0" maxValue="790.02"/>
    </cacheField>
    <cacheField name="Fecal Coliform Min" numFmtId="0">
      <sharedItems containsString="0" containsBlank="1" containsNumber="1" containsInteger="1" minValue="2" maxValue="2200000"/>
    </cacheField>
    <cacheField name="Fecal Coliform Max" numFmtId="0">
      <sharedItems containsString="0" containsBlank="1" containsNumber="1" containsInteger="1" minValue="2" maxValue="24000000"/>
    </cacheField>
    <cacheField name="Total Coliform Min" numFmtId="0">
      <sharedItems containsString="0" containsBlank="1" containsNumber="1" containsInteger="1" minValue="2" maxValue="3200000"/>
    </cacheField>
    <cacheField name="Total Coliform Max" numFmtId="0">
      <sharedItems containsString="0" containsBlank="1" containsNumber="1" containsInteger="1" minValue="2" maxValue="160000000"/>
    </cacheField>
    <cacheField name="Fecal Streptococci Min" numFmtId="0">
      <sharedItems containsString="0" containsBlank="1" containsNumber="1" containsInteger="1" minValue="2" maxValue="17000"/>
    </cacheField>
    <cacheField name="Fecal Streptococci Max" numFmtId="0">
      <sharedItems containsString="0" containsBlank="1" containsNumber="1" containsInteger="1" minValue="2" maxValue="540000"/>
    </cacheField>
  </cacheFields>
  <extLst>
    <ext xmlns:x14="http://schemas.microsoft.com/office/spreadsheetml/2009/9/main" uri="{725AE2AE-9491-48be-B2B4-4EB974FC3084}">
      <x14:pivotCacheDefinition pivotCacheId="432577668"/>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869.217304513892" createdVersion="7" refreshedVersion="7" minRefreshableVersion="3" recordCount="1428" xr:uid="{A087FBBB-9AAE-4E23-9D5F-5028340E1202}">
  <cacheSource type="worksheet">
    <worksheetSource name="River_data"/>
  </cacheSource>
  <cacheFields count="22">
    <cacheField name="Station_x000a_Code" numFmtId="0">
      <sharedItems containsSemiMixedTypes="0" containsString="0" containsNumber="1" containsInteger="1" minValue="1" maxValue="30089"/>
    </cacheField>
    <cacheField name="Monitoring Location" numFmtId="0">
      <sharedItems/>
    </cacheField>
    <cacheField name="State" numFmtId="0">
      <sharedItems count="31">
        <s v="HIMACHAL_x000a_PRADESH"/>
        <s v="PUNJAB"/>
        <s v="JAMMU &amp;_x000a_KASHMIR"/>
        <s v="UTTARAKHAND"/>
        <s v="UTTAR_x000a_PRADESH"/>
        <s v="BIHAR"/>
        <s v="JHARKHAND"/>
        <s v="WEST BENGAL"/>
        <s v="HARYANA"/>
        <s v="DELHI"/>
        <s v="MADHYA_x000a_PRADESH"/>
        <s v="RAJASTHAN"/>
        <s v="ASSAM"/>
        <s v="NAGALAND"/>
        <s v="MANIPUR"/>
        <s v="TRIPURA"/>
        <s v="ARUNACHAL_x000a_PRADESH"/>
        <s v="MEGHALAYA"/>
        <s v="MIZORAM"/>
        <s v="SIKKIM"/>
        <s v="GUJARAT"/>
        <s v="MAHARASHTRA"/>
        <s v="ODISHA"/>
        <s v="CHHATTISGARH"/>
        <s v="TELANGANA"/>
        <s v="ANDHRA_x000a_PRADESH"/>
        <s v="KARNATAKA"/>
        <s v="ANDHRA"/>
        <s v="PUDUCHERRY"/>
        <s v="TAMIL NADU"/>
        <s v="KERALA"/>
      </sharedItems>
    </cacheField>
    <cacheField name="Temperature Min" numFmtId="0">
      <sharedItems containsSemiMixedTypes="0" containsString="0" containsNumber="1" minValue="2" maxValue="29"/>
    </cacheField>
    <cacheField name="Temperature Max" numFmtId="0">
      <sharedItems containsSemiMixedTypes="0" containsString="0" containsNumber="1" minValue="4" maxValue="39"/>
    </cacheField>
    <cacheField name="Dissolved Oxygen Min" numFmtId="0">
      <sharedItems containsSemiMixedTypes="0" containsString="0" containsNumber="1" minValue="0.3" maxValue="11.4"/>
    </cacheField>
    <cacheField name="Dissolved Oxygen Max" numFmtId="0">
      <sharedItems containsSemiMixedTypes="0" containsString="0" containsNumber="1" minValue="0.3" maxValue="14.1"/>
    </cacheField>
    <cacheField name="pH Min" numFmtId="0">
      <sharedItems containsSemiMixedTypes="0" containsString="0" containsNumber="1" minValue="2" maxValue="9"/>
    </cacheField>
    <cacheField name="pH Max" numFmtId="0">
      <sharedItems containsSemiMixedTypes="0" containsString="0" containsNumber="1" minValue="3" maxValue="9.9"/>
    </cacheField>
    <cacheField name="Conductivity Min" numFmtId="0">
      <sharedItems containsSemiMixedTypes="0" containsString="0" containsNumber="1" containsInteger="1" minValue="5" maxValue="34400"/>
    </cacheField>
    <cacheField name="Conductivity Max" numFmtId="0">
      <sharedItems containsSemiMixedTypes="0" containsString="0" containsNumber="1" containsInteger="1" minValue="31" maxValue="54200"/>
    </cacheField>
    <cacheField name="BOD Min" numFmtId="0">
      <sharedItems containsSemiMixedTypes="0" containsString="0" containsNumber="1" minValue="1" maxValue="48"/>
    </cacheField>
    <cacheField name="BOD Max" numFmtId="0">
      <sharedItems containsSemiMixedTypes="0" containsString="0" containsNumber="1" minValue="1" maxValue="294"/>
    </cacheField>
    <cacheField name="Nitrate Min" numFmtId="0">
      <sharedItems containsSemiMixedTypes="0" containsString="0" containsNumber="1" minValue="0" maxValue="32"/>
    </cacheField>
    <cacheField name="Nitrate Max" numFmtId="0">
      <sharedItems containsSemiMixedTypes="0" containsString="0" containsNumber="1" minValue="0" maxValue="790.02"/>
    </cacheField>
    <cacheField name="Fecal Coliform Min" numFmtId="0">
      <sharedItems containsString="0" containsBlank="1" containsNumber="1" containsInteger="1" minValue="2" maxValue="2200000"/>
    </cacheField>
    <cacheField name="Fecal Coliform Max" numFmtId="0">
      <sharedItems containsString="0" containsBlank="1" containsNumber="1" containsInteger="1" minValue="2" maxValue="24000000"/>
    </cacheField>
    <cacheField name="Total Coliform Min" numFmtId="0">
      <sharedItems containsString="0" containsBlank="1" containsNumber="1" containsInteger="1" minValue="2" maxValue="3200000"/>
    </cacheField>
    <cacheField name="Total Coliform Max" numFmtId="0">
      <sharedItems containsString="0" containsBlank="1" containsNumber="1" containsInteger="1" minValue="2" maxValue="160000000"/>
    </cacheField>
    <cacheField name="Fecal Streptococci Min" numFmtId="0">
      <sharedItems containsString="0" containsBlank="1" containsNumber="1" containsInteger="1" minValue="2" maxValue="17000"/>
    </cacheField>
    <cacheField name="Fecal Streptococci Max" numFmtId="0">
      <sharedItems containsString="0" containsBlank="1" containsNumber="1" containsInteger="1" minValue="2" maxValue="540000"/>
    </cacheField>
    <cacheField name="Avg Bod " numFmtId="0">
      <sharedItems containsSemiMixedTypes="0" containsString="0" containsNumber="1" minValue="0.5" maxValue="210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869.227781365742" createdVersion="7" refreshedVersion="7" minRefreshableVersion="3" recordCount="1428" xr:uid="{9A8FC0FD-DC95-4C41-91EC-1930919D26E1}">
  <cacheSource type="worksheet">
    <worksheetSource name="River_data[[Avegare BOD ]]"/>
  </cacheSource>
  <cacheFields count="1">
    <cacheField name="Avegare BOD " numFmtId="0">
      <sharedItems containsSemiMixedTypes="0" containsString="0" containsNumber="1" minValue="0.5" maxValue="2100"/>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869.228344907409" createdVersion="7" refreshedVersion="7" minRefreshableVersion="3" recordCount="1428" xr:uid="{40AE691C-21AD-4595-AEDD-4C380E36CA3F}">
  <cacheSource type="worksheet">
    <worksheetSource name="River_data[Avg Bo]"/>
  </cacheSource>
  <cacheFields count="1">
    <cacheField name="Avg Bo" numFmtId="0">
      <sharedItems containsSemiMixedTypes="0" containsString="0" containsNumber="1" minValue="4.4999999999999998E-2" maxValue="64.98"/>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869.242245370369" createdVersion="7" refreshedVersion="7" minRefreshableVersion="3" recordCount="1429" xr:uid="{F6DEF425-97FC-4DF0-BD08-E954B802525C}">
  <cacheSource type="worksheet">
    <worksheetSource ref="X1:X1048576" sheet="River_quality_data "/>
  </cacheSource>
  <cacheFields count="1">
    <cacheField name="Avg ph " numFmtId="0">
      <sharedItems containsString="0" containsBlank="1" containsNumber="1" minValue="0" maxValue="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28">
  <r>
    <n v="1001"/>
    <s v="RIVER BEAS AT U/S MANALI"/>
    <x v="0"/>
    <n v="2"/>
    <n v="24"/>
    <n v="7.8"/>
    <n v="9.1999999999999993"/>
    <n v="7.2"/>
    <n v="8.1999999999999993"/>
    <n v="68"/>
    <n v="380"/>
    <n v="1"/>
    <n v="2.8"/>
    <n v="0.32"/>
    <n v="1.1499999999999999"/>
    <n v="2"/>
    <n v="170"/>
    <n v="63"/>
    <n v="540"/>
    <n v="2"/>
    <n v="2"/>
  </r>
  <r>
    <n v="4444"/>
    <s v="RIVER BEAS D/S OF WASTE PROCESSING FACILITY AT_x000a_MANALI"/>
    <x v="0"/>
    <n v="2"/>
    <n v="13"/>
    <n v="7.8"/>
    <n v="8.8000000000000007"/>
    <n v="6.7"/>
    <n v="7.8"/>
    <n v="62"/>
    <n v="113"/>
    <n v="1"/>
    <n v="2.8"/>
    <n v="0.32"/>
    <n v="1.08"/>
    <n v="110"/>
    <n v="1600"/>
    <n v="350"/>
    <n v="1600"/>
    <n v="2"/>
    <n v="2"/>
  </r>
  <r>
    <n v="3866"/>
    <s v="RIVER BEAS U/S BEFORE CONF. OF MANALSU NALLAH"/>
    <x v="0"/>
    <n v="2"/>
    <n v="13"/>
    <n v="7.8"/>
    <n v="9.1"/>
    <n v="7"/>
    <n v="7.8"/>
    <n v="51"/>
    <n v="113"/>
    <n v="1"/>
    <n v="1"/>
    <n v="0.32"/>
    <n v="0.97"/>
    <n v="23"/>
    <n v="120"/>
    <n v="110"/>
    <n v="430"/>
    <n v="2"/>
    <n v="2"/>
  </r>
  <r>
    <n v="4445"/>
    <s v="RIVER BEAS D/S OF WASTE PROCESSING FACILITY AT_x000a_KULLU"/>
    <x v="0"/>
    <n v="4"/>
    <n v="16"/>
    <n v="7.6"/>
    <n v="8.4"/>
    <n v="6.6"/>
    <n v="7.7"/>
    <n v="73"/>
    <n v="170"/>
    <n v="1"/>
    <n v="1.6"/>
    <n v="0.32"/>
    <n v="0.96"/>
    <n v="47"/>
    <n v="150"/>
    <n v="280"/>
    <n v="920"/>
    <n v="2"/>
    <n v="2"/>
  </r>
  <r>
    <n v="1003"/>
    <s v="RIVER BEAS D/S AUT"/>
    <x v="0"/>
    <n v="5"/>
    <n v="16"/>
    <n v="7.5"/>
    <n v="8.1"/>
    <n v="7.2"/>
    <n v="8.1999999999999993"/>
    <n v="61"/>
    <n v="129"/>
    <n v="1"/>
    <n v="1"/>
    <n v="0.32"/>
    <n v="0.77"/>
    <n v="34"/>
    <n v="280"/>
    <n v="170"/>
    <n v="1600"/>
    <n v="2"/>
    <n v="2"/>
  </r>
  <r>
    <n v="2603"/>
    <s v="RIVER BEAS, D/S PANDOH DAM"/>
    <x v="0"/>
    <n v="8"/>
    <n v="26"/>
    <n v="8"/>
    <n v="9.3000000000000007"/>
    <n v="7.1"/>
    <n v="8.1999999999999993"/>
    <n v="61"/>
    <n v="202"/>
    <n v="1"/>
    <n v="1"/>
    <n v="0.32"/>
    <n v="1.1499999999999999"/>
    <n v="41"/>
    <n v="110"/>
    <n v="210"/>
    <n v="920"/>
    <n v="2"/>
    <n v="2"/>
  </r>
  <r>
    <n v="1550"/>
    <s v="BEAS RIVER, U/S OF MANDI TOWN"/>
    <x v="0"/>
    <n v="6"/>
    <n v="25"/>
    <n v="7.8"/>
    <n v="9.1999999999999993"/>
    <n v="7.2"/>
    <n v="8"/>
    <n v="80"/>
    <n v="190"/>
    <n v="1"/>
    <n v="1"/>
    <n v="0.32"/>
    <n v="0.98"/>
    <n v="23"/>
    <n v="94"/>
    <n v="120"/>
    <n v="430"/>
    <n v="2"/>
    <n v="2"/>
  </r>
  <r>
    <n v="2604"/>
    <s v="RIVER BEAS AT D/S JAISINGHPUR"/>
    <x v="0"/>
    <n v="13"/>
    <n v="22"/>
    <n v="8.6"/>
    <n v="9.4"/>
    <n v="7.2"/>
    <n v="8.1999999999999993"/>
    <n v="115"/>
    <n v="362"/>
    <n v="1"/>
    <n v="1"/>
    <n v="1.2"/>
    <n v="4.83"/>
    <n v="2"/>
    <n v="68"/>
    <n v="110"/>
    <n v="16000"/>
    <n v="2"/>
    <n v="2"/>
  </r>
  <r>
    <n v="3855"/>
    <s v="RIVER BEAS D/S NADAUN BRIDGE, VILL BHADOLI"/>
    <x v="0"/>
    <n v="14"/>
    <n v="22"/>
    <n v="6.8"/>
    <n v="9.3000000000000007"/>
    <n v="7.5"/>
    <n v="8.5"/>
    <n v="81"/>
    <n v="404"/>
    <n v="1"/>
    <n v="1.2"/>
    <n v="0.3"/>
    <n v="2.5299999999999998"/>
    <n v="2"/>
    <n v="93"/>
    <n v="39"/>
    <n v="5400"/>
    <n v="2"/>
    <n v="2"/>
  </r>
  <r>
    <n v="1867"/>
    <s v="RIVER SUTLEJ BEFORE CONF. WITH RIVER SPITI AT_x000a_KHAB"/>
    <x v="0"/>
    <n v="7"/>
    <n v="11.5"/>
    <n v="9.1"/>
    <n v="9.4"/>
    <n v="7.5"/>
    <n v="8.3000000000000007"/>
    <n v="141"/>
    <n v="534"/>
    <n v="1"/>
    <n v="1"/>
    <n v="0.32"/>
    <n v="1.49"/>
    <n v="2"/>
    <n v="33"/>
    <n v="9"/>
    <n v="280"/>
    <n v="2"/>
    <n v="2"/>
  </r>
  <r>
    <n v="2611"/>
    <s v="RIVER SUTLEJ AFTER CONF. WITH RIVER SPIT AT KHAB"/>
    <x v="0"/>
    <n v="7"/>
    <n v="11.5"/>
    <n v="9.1999999999999993"/>
    <n v="9.5"/>
    <n v="7.8"/>
    <n v="8.4"/>
    <n v="127"/>
    <n v="531"/>
    <n v="1"/>
    <n v="1"/>
    <n v="0.32"/>
    <n v="1.5"/>
    <n v="2"/>
    <n v="49"/>
    <n v="7"/>
    <n v="1600"/>
    <n v="2"/>
    <n v="2"/>
  </r>
  <r>
    <n v="3872"/>
    <s v="RIVER SUTLEJ D/S TIDONG HEP"/>
    <x v="0"/>
    <n v="7"/>
    <n v="11.5"/>
    <n v="9"/>
    <n v="9.3000000000000007"/>
    <n v="7.6"/>
    <n v="8.4"/>
    <n v="118"/>
    <n v="505"/>
    <n v="1"/>
    <n v="1"/>
    <n v="0.32"/>
    <n v="1.19"/>
    <n v="2"/>
    <n v="350"/>
    <n v="4"/>
    <n v="1600"/>
    <n v="2"/>
    <n v="2"/>
  </r>
  <r>
    <n v="4448"/>
    <s v="RIVER SUTLEJ BEFORE CONFLUENCES WITH RIVER_x000a_TIDONG"/>
    <x v="0"/>
    <n v="7.5"/>
    <n v="11.5"/>
    <n v="9"/>
    <n v="9.3000000000000007"/>
    <n v="7.6"/>
    <n v="8.4"/>
    <n v="118"/>
    <n v="490"/>
    <n v="1"/>
    <n v="1"/>
    <n v="0.32"/>
    <n v="1.4"/>
    <n v="7"/>
    <n v="33"/>
    <n v="17"/>
    <n v="350"/>
    <n v="2"/>
    <n v="2"/>
  </r>
  <r>
    <n v="4449"/>
    <s v="RIVER SUTLEJ AFTER CONFLUENCES WITH RIVER_x000a_TIDONG"/>
    <x v="0"/>
    <n v="7"/>
    <n v="11.5"/>
    <n v="9"/>
    <n v="9.3000000000000007"/>
    <n v="7.8"/>
    <n v="8.4"/>
    <n v="122"/>
    <n v="481"/>
    <n v="1"/>
    <n v="1"/>
    <n v="0.32"/>
    <n v="1.23"/>
    <n v="5"/>
    <n v="140"/>
    <n v="17"/>
    <n v="350"/>
    <n v="2"/>
    <n v="2"/>
  </r>
  <r>
    <n v="4452"/>
    <s v="RIVER SUTLEJ BEFORE CONFLUENCES OF RIVER_x000a_BASPA"/>
    <x v="0"/>
    <n v="7.5"/>
    <n v="12"/>
    <n v="8.6999999999999993"/>
    <n v="9.3000000000000007"/>
    <n v="7.5"/>
    <n v="8.3000000000000007"/>
    <n v="119"/>
    <n v="517"/>
    <n v="1"/>
    <n v="1"/>
    <n v="0.32"/>
    <n v="1.44"/>
    <n v="2"/>
    <n v="33"/>
    <n v="11"/>
    <n v="350"/>
    <n v="2"/>
    <n v="2"/>
  </r>
  <r>
    <n v="3871"/>
    <s v="RIVER SUTLEJ D/S POWER HOUSE KASHANG HEP"/>
    <x v="0"/>
    <n v="7"/>
    <n v="12"/>
    <n v="8.9"/>
    <n v="9.4"/>
    <n v="7.5"/>
    <n v="8.5"/>
    <n v="117"/>
    <n v="491"/>
    <n v="1"/>
    <n v="1"/>
    <n v="0.32"/>
    <n v="1.39"/>
    <n v="2"/>
    <n v="110"/>
    <n v="7"/>
    <n v="540"/>
    <n v="2"/>
    <n v="2"/>
  </r>
  <r>
    <n v="3870"/>
    <s v="RIVER SUTLEJ AFTER CONF. OF RIVER BASPA AT_x000a_KARCHAM DAM"/>
    <x v="0"/>
    <n v="7"/>
    <n v="12"/>
    <n v="8.8000000000000007"/>
    <n v="9.3000000000000007"/>
    <n v="7.8"/>
    <n v="8.4"/>
    <n v="121"/>
    <n v="460"/>
    <n v="1"/>
    <n v="1"/>
    <n v="0.32"/>
    <n v="1.39"/>
    <n v="2"/>
    <n v="27"/>
    <n v="8"/>
    <n v="540"/>
    <n v="2"/>
    <n v="2"/>
  </r>
  <r>
    <n v="1389"/>
    <s v="RIVER SUTLEJ AT WANGTOO BRIDGE"/>
    <x v="0"/>
    <n v="7.5"/>
    <n v="12"/>
    <n v="8.6999999999999993"/>
    <n v="9.3000000000000007"/>
    <n v="7.7"/>
    <n v="8.4"/>
    <n v="108"/>
    <n v="468"/>
    <n v="1"/>
    <n v="1"/>
    <n v="0.32"/>
    <n v="1.4"/>
    <n v="2"/>
    <n v="46"/>
    <n v="9"/>
    <n v="1600"/>
    <n v="2"/>
    <n v="2"/>
  </r>
  <r>
    <n v="4453"/>
    <s v="RIVER SUTLEJ AFTER CONFLUENCES OF RIVER BASPA"/>
    <x v="0"/>
    <n v="7"/>
    <n v="12"/>
    <n v="8.6999999999999993"/>
    <n v="9.3000000000000007"/>
    <n v="7.5"/>
    <n v="8.4"/>
    <n v="115"/>
    <n v="437"/>
    <n v="1"/>
    <n v="1"/>
    <n v="0.32"/>
    <n v="1.43"/>
    <n v="5"/>
    <n v="22"/>
    <n v="17"/>
    <n v="350"/>
    <n v="2"/>
    <n v="2"/>
  </r>
  <r>
    <n v="3869"/>
    <s v="RIVER SUTLEJ D/S TRT OF RAMPUR HYDEL ELECTRIC_x000a_PROJECT"/>
    <x v="0"/>
    <n v="7.5"/>
    <n v="13.5"/>
    <n v="8.6999999999999993"/>
    <n v="9.1999999999999993"/>
    <n v="7.5"/>
    <n v="8.3000000000000007"/>
    <n v="105"/>
    <n v="254"/>
    <n v="1"/>
    <n v="1"/>
    <n v="0.32"/>
    <n v="1.42"/>
    <n v="7"/>
    <n v="170"/>
    <n v="17"/>
    <n v="1600"/>
    <n v="2"/>
    <n v="2"/>
  </r>
  <r>
    <n v="1086"/>
    <s v="RIVER SUTLEJ AT U/S RAMPUR"/>
    <x v="0"/>
    <n v="7.5"/>
    <n v="13"/>
    <n v="8.5"/>
    <n v="9.3000000000000007"/>
    <n v="7.7"/>
    <n v="8.3000000000000007"/>
    <n v="107"/>
    <n v="251"/>
    <n v="1"/>
    <n v="1"/>
    <n v="0.32"/>
    <n v="0.95"/>
    <n v="2"/>
    <n v="39"/>
    <n v="17"/>
    <n v="350"/>
    <n v="2"/>
    <n v="2"/>
  </r>
  <r>
    <n v="1087"/>
    <s v="RIVER SUTLEJ AT D/S RAMPUR"/>
    <x v="0"/>
    <n v="8"/>
    <n v="13.5"/>
    <n v="8.6"/>
    <n v="9.1999999999999993"/>
    <n v="7.6"/>
    <n v="8.3000000000000007"/>
    <n v="100"/>
    <n v="249"/>
    <n v="1"/>
    <n v="1"/>
    <n v="0.32"/>
    <n v="0.95"/>
    <n v="2"/>
    <n v="280"/>
    <n v="5"/>
    <n v="1600"/>
    <n v="2"/>
    <n v="2"/>
  </r>
  <r>
    <n v="1013"/>
    <s v="RIVER SUTLEJ AT U/S TATAPANI"/>
    <x v="0"/>
    <n v="7.5"/>
    <n v="14"/>
    <n v="8.6"/>
    <n v="9.3000000000000007"/>
    <n v="6.5"/>
    <n v="8.1999999999999993"/>
    <n v="117"/>
    <n v="447"/>
    <n v="1"/>
    <n v="1"/>
    <n v="0.32"/>
    <n v="3.95"/>
    <n v="4"/>
    <n v="26"/>
    <n v="17"/>
    <n v="1600"/>
    <n v="2"/>
    <n v="2"/>
  </r>
  <r>
    <n v="4446"/>
    <s v="RIVER SUTLEJ U/S IANDFILL SITE RAMPUR"/>
    <x v="0"/>
    <n v="7"/>
    <n v="13"/>
    <n v="8.5"/>
    <n v="9.3000000000000007"/>
    <n v="7.5"/>
    <n v="8.3000000000000007"/>
    <n v="97"/>
    <n v="245"/>
    <n v="1"/>
    <n v="1"/>
    <n v="0.32"/>
    <n v="0.77"/>
    <n v="7"/>
    <n v="39"/>
    <n v="32"/>
    <n v="920"/>
    <n v="2"/>
    <n v="2"/>
  </r>
  <r>
    <n v="4447"/>
    <s v="RIVER STLUJ D/S LANDFILL SITE RAMPUR"/>
    <x v="0"/>
    <n v="7.5"/>
    <n v="13"/>
    <n v="8.6"/>
    <n v="9.1999999999999993"/>
    <n v="7.5"/>
    <n v="8.1999999999999993"/>
    <n v="104"/>
    <n v="253"/>
    <n v="1"/>
    <n v="1"/>
    <n v="0.32"/>
    <n v="0.89"/>
    <n v="2"/>
    <n v="79"/>
    <n v="7"/>
    <n v="1600"/>
    <n v="2"/>
    <n v="2"/>
  </r>
  <r>
    <n v="4032"/>
    <s v="RIVER SUTLEJ D/S ACC BARMANA"/>
    <x v="0"/>
    <n v="9"/>
    <n v="26"/>
    <n v="8.3000000000000007"/>
    <n v="9.1999999999999993"/>
    <n v="7.4"/>
    <n v="8"/>
    <n v="102"/>
    <n v="235"/>
    <n v="1"/>
    <n v="1"/>
    <n v="0.32"/>
    <n v="2.21"/>
    <n v="23"/>
    <n v="84"/>
    <n v="110"/>
    <n v="280"/>
    <n v="2"/>
    <n v="2"/>
  </r>
  <r>
    <n v="4033"/>
    <s v="RIVER SUTLEJ NEAR LUHNOO GROUND"/>
    <x v="0"/>
    <n v="10"/>
    <n v="33"/>
    <n v="8.1"/>
    <n v="8.9"/>
    <n v="6.8"/>
    <n v="8.3000000000000007"/>
    <n v="150"/>
    <n v="335"/>
    <n v="1"/>
    <n v="2.8"/>
    <n v="0.39"/>
    <n v="3.5"/>
    <n v="33"/>
    <n v="1600"/>
    <n v="240"/>
    <n v="1600"/>
    <n v="2"/>
    <n v="2"/>
  </r>
  <r>
    <n v="4450"/>
    <s v="RIVER SUTLEJ BEFORE CONFLUENCE WITH GANVI_x000a_KHAND"/>
    <x v="0"/>
    <n v="7"/>
    <n v="13"/>
    <n v="8.9"/>
    <n v="9.4"/>
    <n v="7.5"/>
    <n v="8.3000000000000007"/>
    <n v="117"/>
    <n v="258"/>
    <n v="1"/>
    <n v="1"/>
    <n v="0.32"/>
    <n v="1.01"/>
    <n v="5"/>
    <n v="26"/>
    <n v="17"/>
    <n v="350"/>
    <n v="2"/>
    <n v="2"/>
  </r>
  <r>
    <n v="4451"/>
    <s v="RIVER SUTLEJ AFTER CONFLUENCE WITH GANVI KHAD"/>
    <x v="0"/>
    <n v="7.5"/>
    <n v="13"/>
    <n v="8.9"/>
    <n v="9.4"/>
    <n v="7.6"/>
    <n v="8.1999999999999993"/>
    <n v="100"/>
    <n v="248"/>
    <n v="1"/>
    <n v="1"/>
    <n v="0.32"/>
    <n v="0.82"/>
    <n v="7"/>
    <n v="110"/>
    <n v="17"/>
    <n v="1600"/>
    <n v="2"/>
    <n v="2"/>
  </r>
  <r>
    <n v="30009"/>
    <s v="RIVER SUTLEJ AT NANGAL (H.P.)"/>
    <x v="0"/>
    <n v="16.5"/>
    <n v="23"/>
    <n v="7"/>
    <n v="9.8000000000000007"/>
    <n v="7.9"/>
    <n v="8.3000000000000007"/>
    <n v="230"/>
    <n v="356"/>
    <n v="1"/>
    <n v="1"/>
    <n v="0.42"/>
    <n v="0.71"/>
    <n v="20"/>
    <n v="4500"/>
    <n v="460"/>
    <n v="33000"/>
    <n v="17"/>
    <n v="130"/>
  </r>
  <r>
    <n v="1014"/>
    <s v="RIVER SUTLEJ U/S OF EXIT POINT OF DEHAR POWER_x000a_HOUSE"/>
    <x v="0"/>
    <n v="9"/>
    <n v="26"/>
    <n v="8.5"/>
    <n v="9.6"/>
    <n v="5.7"/>
    <n v="8"/>
    <n v="96"/>
    <n v="286"/>
    <n v="1"/>
    <n v="1"/>
    <n v="0.32"/>
    <n v="0.98"/>
    <n v="22"/>
    <n v="49"/>
    <n v="70"/>
    <n v="240"/>
    <n v="2"/>
    <n v="2"/>
  </r>
  <r>
    <n v="1015"/>
    <s v="RIVER SUTLEJ D/S OF EXIT POINT OF DEHAR POWER_x000a_HOUSE"/>
    <x v="0"/>
    <n v="9"/>
    <n v="26"/>
    <n v="8.1"/>
    <n v="9.1"/>
    <n v="7.3"/>
    <n v="8.1"/>
    <n v="94"/>
    <n v="240"/>
    <n v="1"/>
    <n v="1"/>
    <n v="0.32"/>
    <n v="2.08"/>
    <n v="32"/>
    <n v="84"/>
    <n v="110"/>
    <n v="430"/>
    <n v="2"/>
    <n v="2"/>
  </r>
  <r>
    <n v="1016"/>
    <s v="RIVER SUTLEJ D/S BHAKHRA"/>
    <x v="0"/>
    <n v="16"/>
    <n v="26"/>
    <n v="8.1999999999999993"/>
    <n v="9.3000000000000007"/>
    <n v="6.9"/>
    <n v="8.3000000000000007"/>
    <n v="203"/>
    <n v="354"/>
    <n v="1"/>
    <n v="2.2999999999999998"/>
    <n v="0.32"/>
    <n v="0.93"/>
    <n v="2"/>
    <n v="6"/>
    <n v="13"/>
    <n v="80"/>
    <n v="2"/>
    <n v="2"/>
  </r>
  <r>
    <n v="30087"/>
    <s v="RIVER SUTLEJ U/S AT OLINDA, NEAR BHAKRA DAM, H.P."/>
    <x v="0"/>
    <n v="19"/>
    <n v="23"/>
    <n v="7"/>
    <n v="10.7"/>
    <n v="7.9"/>
    <n v="8.4"/>
    <n v="223"/>
    <n v="273"/>
    <n v="1"/>
    <n v="1"/>
    <n v="0.42"/>
    <n v="2.4700000000000002"/>
    <n v="2"/>
    <n v="2600"/>
    <n v="13"/>
    <n v="54000"/>
    <n v="2"/>
    <n v="17"/>
  </r>
  <r>
    <n v="30088"/>
    <s v="RIVER SUTLEJ D/S OLINDA, NEAR BHAKRA DAM, H.P."/>
    <x v="0"/>
    <n v="18.5"/>
    <n v="23"/>
    <n v="7.1"/>
    <n v="10.4"/>
    <n v="8"/>
    <n v="8.3000000000000007"/>
    <n v="217"/>
    <n v="272"/>
    <n v="1"/>
    <n v="1"/>
    <n v="0.47"/>
    <n v="1.1299999999999999"/>
    <n v="4"/>
    <n v="2200"/>
    <n v="14"/>
    <n v="92000"/>
    <n v="2"/>
    <n v="490"/>
  </r>
  <r>
    <n v="30010"/>
    <s v="RIVER SUTLEJ AT NOORPUR BEDI ROAD (PUNJAB)"/>
    <x v="1"/>
    <n v="19.5"/>
    <n v="24"/>
    <n v="7.1"/>
    <n v="9.8000000000000007"/>
    <n v="7.7"/>
    <n v="8.3000000000000007"/>
    <n v="257"/>
    <n v="333"/>
    <n v="1"/>
    <n v="5"/>
    <n v="0.32"/>
    <n v="1.1000000000000001"/>
    <n v="200"/>
    <n v="13000"/>
    <n v="1700"/>
    <n v="350000"/>
    <n v="130"/>
    <n v="700"/>
  </r>
  <r>
    <n v="1814"/>
    <s v="RIVER SUTLEJ AT D/S KIRATPUR SAHIB, PUNJAB"/>
    <x v="1"/>
    <n v="14"/>
    <n v="28"/>
    <n v="7.2"/>
    <n v="9.4"/>
    <n v="7"/>
    <n v="8.3000000000000007"/>
    <n v="227"/>
    <n v="290"/>
    <n v="1"/>
    <n v="1"/>
    <n v="0.7"/>
    <n v="5.9"/>
    <n v="33"/>
    <n v="250"/>
    <n v="120"/>
    <n v="580"/>
    <m/>
    <m/>
  </r>
  <r>
    <n v="1380"/>
    <s v="RIVER SUTLEJ AT D/S NFL, PUNJAB"/>
    <x v="1"/>
    <n v="16"/>
    <n v="22"/>
    <n v="7"/>
    <n v="12.1"/>
    <n v="7.4"/>
    <n v="8.3000000000000007"/>
    <n v="206"/>
    <n v="274"/>
    <n v="1"/>
    <n v="1"/>
    <n v="0.8"/>
    <n v="3.1"/>
    <n v="17"/>
    <n v="100"/>
    <n v="70"/>
    <n v="330"/>
    <m/>
    <m/>
  </r>
  <r>
    <n v="2915"/>
    <s v="RIVER SUTLEJ AT 100 MT. D/S OF PACL, NANGAL"/>
    <x v="1"/>
    <n v="16"/>
    <n v="22"/>
    <n v="7"/>
    <n v="12.2"/>
    <n v="7.6"/>
    <n v="8.4"/>
    <n v="207"/>
    <n v="275"/>
    <n v="1"/>
    <n v="1"/>
    <n v="0.8"/>
    <n v="3.1"/>
    <n v="20"/>
    <n v="110"/>
    <n v="79"/>
    <n v="330"/>
    <m/>
    <m/>
  </r>
  <r>
    <n v="10020"/>
    <s v="RIVER SUTLEJ AT ANANDPUR SAHIB"/>
    <x v="1"/>
    <n v="15"/>
    <n v="23"/>
    <n v="7.4"/>
    <n v="12.3"/>
    <n v="7.1"/>
    <n v="8.5"/>
    <n v="202"/>
    <n v="298"/>
    <n v="1"/>
    <n v="1"/>
    <n v="0.9"/>
    <n v="6"/>
    <n v="22"/>
    <n v="210"/>
    <n v="110"/>
    <n v="470"/>
    <m/>
    <m/>
  </r>
  <r>
    <n v="10021"/>
    <s v="RIVER SUTLEJ AT BUNGA SAHIB"/>
    <x v="1"/>
    <n v="13"/>
    <n v="28"/>
    <n v="7.5"/>
    <n v="10"/>
    <n v="7"/>
    <n v="8.3000000000000007"/>
    <n v="210"/>
    <n v="302"/>
    <n v="1"/>
    <n v="1"/>
    <n v="0.9"/>
    <n v="2.4"/>
    <n v="38"/>
    <n v="380"/>
    <n v="140"/>
    <n v="840"/>
    <m/>
    <m/>
  </r>
  <r>
    <n v="10022"/>
    <s v="RIVER SUTLEJ AT PHILLAUR U/S"/>
    <x v="1"/>
    <n v="15"/>
    <n v="35"/>
    <n v="4.5999999999999996"/>
    <n v="8.4"/>
    <n v="7.6"/>
    <n v="8.1"/>
    <n v="248"/>
    <n v="574"/>
    <n v="1"/>
    <n v="3"/>
    <n v="0.3"/>
    <n v="1.4"/>
    <n v="200"/>
    <n v="1700"/>
    <n v="700"/>
    <n v="3900"/>
    <m/>
    <m/>
  </r>
  <r>
    <n v="10023"/>
    <s v="RIVER SUTLEJ AT PHAGWARA U/S (CHAHERU BRIDGE)"/>
    <x v="1"/>
    <n v="15"/>
    <n v="35"/>
    <n v="0.3"/>
    <n v="5.8"/>
    <n v="7.2"/>
    <n v="8.1"/>
    <n v="518"/>
    <n v="1144"/>
    <n v="4.5"/>
    <n v="14"/>
    <n v="0.4"/>
    <n v="2.8"/>
    <n v="330"/>
    <n v="2300"/>
    <n v="1400"/>
    <n v="4300"/>
    <m/>
    <m/>
  </r>
  <r>
    <n v="10024"/>
    <s v="RIVER SUTLEJ AT PHAGWARA D/S (KANGANIWAL_x000a_BRIDGE)"/>
    <x v="1"/>
    <n v="15"/>
    <n v="32"/>
    <n v="0.3"/>
    <n v="1.9"/>
    <n v="7.3"/>
    <n v="7.8"/>
    <n v="538"/>
    <n v="1248"/>
    <n v="4.8"/>
    <n v="21"/>
    <n v="0.4"/>
    <n v="2"/>
    <n v="1100"/>
    <n v="110000"/>
    <n v="6300"/>
    <n v="340000"/>
    <m/>
    <m/>
  </r>
  <r>
    <n v="10027"/>
    <s v="RIVER SUTLEJ AT LUDHIANA U/S"/>
    <x v="1"/>
    <n v="10"/>
    <n v="29"/>
    <n v="6.3"/>
    <n v="8.8000000000000007"/>
    <n v="7.6"/>
    <n v="8.3000000000000007"/>
    <n v="257"/>
    <n v="320"/>
    <n v="1"/>
    <n v="1.8"/>
    <n v="0.8"/>
    <n v="3.1"/>
    <n v="130"/>
    <n v="780"/>
    <n v="700"/>
    <n v="2600"/>
    <m/>
    <m/>
  </r>
  <r>
    <n v="10028"/>
    <s v="RIVER SUTLEJ AT LUDHIANA D/S"/>
    <x v="1"/>
    <n v="13"/>
    <n v="30"/>
    <n v="0.3"/>
    <n v="6.6"/>
    <n v="7.2"/>
    <n v="7.9"/>
    <n v="247"/>
    <n v="1245"/>
    <n v="2.2999999999999998"/>
    <n v="75"/>
    <n v="1.4"/>
    <n v="3.8"/>
    <n v="17000"/>
    <n v="1700000"/>
    <n v="54000"/>
    <n v="6300000"/>
    <m/>
    <m/>
  </r>
  <r>
    <n v="1017"/>
    <s v="RIVER SUTLEJ AT 100M U/S OF HEADWORKS, NANGAL"/>
    <x v="1"/>
    <n v="16"/>
    <n v="21"/>
    <n v="6.7"/>
    <n v="9.6"/>
    <n v="7.5"/>
    <n v="8.1"/>
    <n v="196"/>
    <n v="264"/>
    <n v="1"/>
    <n v="1"/>
    <n v="0.4"/>
    <n v="1.8"/>
    <n v="17"/>
    <n v="78"/>
    <n v="68"/>
    <n v="270"/>
    <m/>
    <m/>
  </r>
  <r>
    <n v="1018"/>
    <s v="RIVER SUTLEJ AT 100M D/S , NANGAL"/>
    <x v="1"/>
    <n v="17"/>
    <n v="24"/>
    <n v="7.6"/>
    <n v="11.4"/>
    <n v="7.6"/>
    <n v="8.5"/>
    <n v="200"/>
    <n v="270"/>
    <n v="1"/>
    <n v="1"/>
    <n v="0.8"/>
    <n v="2.2000000000000002"/>
    <n v="20"/>
    <n v="170"/>
    <n v="70"/>
    <n v="390"/>
    <m/>
    <m/>
  </r>
  <r>
    <n v="1293"/>
    <s v="RIVER SUTLEJ AT 1 KM. D/S OF ZENITH, PUNJAB"/>
    <x v="1"/>
    <n v="14"/>
    <n v="29"/>
    <n v="7"/>
    <n v="9.8000000000000007"/>
    <n v="7.3"/>
    <n v="8.5"/>
    <n v="243"/>
    <n v="363"/>
    <n v="1"/>
    <n v="1"/>
    <n v="0.7"/>
    <n v="2.7"/>
    <n v="78"/>
    <n v="700"/>
    <n v="490"/>
    <n v="1700"/>
    <m/>
    <m/>
  </r>
  <r>
    <n v="1019"/>
    <s v="RIVER SUTLEJ AT U/S HEAD WORKS ROPAR"/>
    <x v="1"/>
    <n v="14"/>
    <n v="27"/>
    <n v="6.4"/>
    <n v="9"/>
    <n v="7.5"/>
    <n v="8.1999999999999993"/>
    <n v="240"/>
    <n v="348"/>
    <n v="1"/>
    <n v="1.2"/>
    <n v="1.1000000000000001"/>
    <n v="2.6"/>
    <n v="61"/>
    <n v="460"/>
    <n v="330"/>
    <n v="1300"/>
    <m/>
    <m/>
  </r>
  <r>
    <n v="1690"/>
    <s v="RIVER SUTLEJ AT U/S BUDHA NALLAH (UPPER), PUNJAB"/>
    <x v="1"/>
    <n v="12"/>
    <n v="28"/>
    <n v="6.5"/>
    <n v="8.1"/>
    <n v="7.4"/>
    <n v="8.1999999999999993"/>
    <n v="259"/>
    <n v="394"/>
    <n v="1"/>
    <n v="2.8"/>
    <n v="1.1000000000000001"/>
    <n v="3.3"/>
    <n v="210"/>
    <n v="1300"/>
    <n v="790"/>
    <n v="3900"/>
    <m/>
    <m/>
  </r>
  <r>
    <n v="1020"/>
    <s v="RIVER SUTLEJ AT 100M D/S BUDHA NALA CONFL.,_x000a_LUDHIANA"/>
    <x v="1"/>
    <n v="12"/>
    <n v="30"/>
    <n v="0.3"/>
    <n v="2.1"/>
    <n v="7.2"/>
    <n v="7.8"/>
    <n v="505"/>
    <n v="1250"/>
    <n v="17"/>
    <n v="105"/>
    <n v="1.1000000000000001"/>
    <n v="8"/>
    <n v="79000"/>
    <n v="2200000"/>
    <n v="220000"/>
    <n v="7900000"/>
    <m/>
    <m/>
  </r>
  <r>
    <n v="1022"/>
    <s v="RIVER SUTLEJ AT BRIDGE HARIKE, AMRITSAR"/>
    <x v="1"/>
    <n v="11"/>
    <n v="30"/>
    <n v="4.2"/>
    <n v="7.5"/>
    <n v="7.2"/>
    <n v="7.9"/>
    <n v="271"/>
    <n v="442"/>
    <n v="1"/>
    <n v="3.6"/>
    <n v="1.1000000000000001"/>
    <n v="3.2"/>
    <n v="270"/>
    <n v="2200"/>
    <n v="700"/>
    <n v="5400"/>
    <m/>
    <m/>
  </r>
  <r>
    <n v="10025"/>
    <s v="RIVER SUTLEJ AT JALANDHAR U/S (PEERU SHAH KA_x000a_DARGAH)"/>
    <x v="1"/>
    <n v="15"/>
    <n v="34"/>
    <n v="0.3"/>
    <n v="0.3"/>
    <n v="6.9"/>
    <n v="7.8"/>
    <n v="937"/>
    <n v="1165"/>
    <n v="42"/>
    <n v="100"/>
    <n v="1.1000000000000001"/>
    <n v="2.8"/>
    <n v="63000"/>
    <n v="490000"/>
    <n v="220000"/>
    <n v="790000"/>
    <m/>
    <m/>
  </r>
  <r>
    <n v="10026"/>
    <s v="RIVER SUTLEJ AT JALANDHAR D/S (MALSIAN BRIDGE)"/>
    <x v="1"/>
    <n v="16"/>
    <n v="31"/>
    <n v="0.3"/>
    <n v="0.3"/>
    <n v="6.7"/>
    <n v="7.7"/>
    <n v="849"/>
    <n v="1309"/>
    <n v="35"/>
    <n v="79"/>
    <n v="0.82"/>
    <n v="5"/>
    <n v="63000"/>
    <n v="460000"/>
    <n v="210000"/>
    <n v="700000"/>
    <m/>
    <m/>
  </r>
  <r>
    <n v="1021"/>
    <s v="RIVER SUTLEJ AT BOAT BDG. DHARMKOTNAKODAR_x000a_ROAD, JALANDHAR"/>
    <x v="1"/>
    <n v="11"/>
    <n v="28"/>
    <n v="0.3"/>
    <n v="7.6"/>
    <n v="7.1"/>
    <n v="7.8"/>
    <n v="305"/>
    <n v="733"/>
    <n v="2.2000000000000002"/>
    <n v="41"/>
    <n v="1.3"/>
    <n v="4.5999999999999996"/>
    <n v="4900"/>
    <n v="1200000"/>
    <n v="17000"/>
    <n v="2800000"/>
    <m/>
    <m/>
  </r>
  <r>
    <n v="1381"/>
    <s v="RIVER SUTLEJ AT D/S EAST BEIN, PUNJAB"/>
    <x v="1"/>
    <n v="12"/>
    <n v="29"/>
    <n v="0.3"/>
    <n v="7.8"/>
    <n v="7.1"/>
    <n v="7.8"/>
    <n v="300"/>
    <n v="808"/>
    <n v="2"/>
    <n v="50"/>
    <n v="1.7"/>
    <n v="6.3"/>
    <n v="7900"/>
    <n v="1700000"/>
    <n v="17000"/>
    <n v="3500000"/>
    <m/>
    <m/>
  </r>
  <r>
    <n v="1691"/>
    <s v="RIVER SUTLEJ AT U/S HUSSANIWALA - H/W FEROZEPUR,_x000a_PUNJAB"/>
    <x v="1"/>
    <n v="12"/>
    <n v="30"/>
    <n v="4.8"/>
    <n v="9.1"/>
    <n v="7"/>
    <n v="8.1"/>
    <n v="248"/>
    <n v="422"/>
    <n v="1"/>
    <n v="2"/>
    <n v="1.1000000000000001"/>
    <n v="2.6"/>
    <n v="110"/>
    <n v="780"/>
    <n v="540"/>
    <n v="2600"/>
    <m/>
    <m/>
  </r>
  <r>
    <n v="1692"/>
    <s v="RIVER SUTLEJ AT D/S HUSSANIWALA-H/W FEROZEPUR,_x000a_PUNJAB"/>
    <x v="1"/>
    <n v="12"/>
    <n v="30"/>
    <n v="4.7"/>
    <n v="8.9"/>
    <n v="6.9"/>
    <n v="8"/>
    <n v="251"/>
    <n v="420"/>
    <n v="1"/>
    <n v="2.4"/>
    <n v="1.2"/>
    <n v="2.8"/>
    <n v="170"/>
    <n v="1100"/>
    <n v="540"/>
    <n v="2700"/>
    <m/>
    <m/>
  </r>
  <r>
    <n v="4059"/>
    <s v="RIVER RAVI AT RANJIT SAGAR DAM, AT PANAGAR_x000a_(BASOHIL)"/>
    <x v="2"/>
    <n v="12"/>
    <n v="26"/>
    <n v="7.4"/>
    <n v="7.5"/>
    <n v="7.5"/>
    <n v="8.1999999999999993"/>
    <n v="109"/>
    <n v="230"/>
    <n v="1"/>
    <n v="1"/>
    <n v="0"/>
    <n v="0"/>
    <m/>
    <m/>
    <m/>
    <m/>
    <m/>
    <m/>
  </r>
  <r>
    <n v="4060"/>
    <s v="RIVER RAVI AT DAM-SITE AT THEIN"/>
    <x v="2"/>
    <n v="12"/>
    <n v="26"/>
    <n v="7.4"/>
    <n v="7.4"/>
    <n v="7.4"/>
    <n v="8.1999999999999993"/>
    <n v="107"/>
    <n v="185"/>
    <n v="1"/>
    <n v="1"/>
    <n v="0"/>
    <n v="0"/>
    <m/>
    <m/>
    <m/>
    <m/>
    <m/>
    <m/>
  </r>
  <r>
    <n v="4061"/>
    <s v="RIVER RAVI AT LAKHANPUR, 1 KM D/S FROM_x000a_MADHOPUR BRIDGE"/>
    <x v="2"/>
    <n v="12"/>
    <n v="26"/>
    <n v="6.3"/>
    <n v="6.5"/>
    <n v="7.6"/>
    <n v="8.6"/>
    <n v="108"/>
    <n v="560"/>
    <n v="1"/>
    <n v="1.3"/>
    <n v="0"/>
    <n v="0"/>
    <m/>
    <m/>
    <m/>
    <m/>
    <m/>
    <m/>
  </r>
  <r>
    <n v="1089"/>
    <s v="RIVER RAVI U/S CHAMBA"/>
    <x v="0"/>
    <n v="10"/>
    <n v="18"/>
    <n v="8.6999999999999993"/>
    <n v="9.1"/>
    <n v="7.5"/>
    <n v="8.4"/>
    <n v="141"/>
    <n v="276"/>
    <n v="1"/>
    <n v="1"/>
    <n v="0.3"/>
    <n v="6.43"/>
    <n v="2"/>
    <n v="68"/>
    <n v="21"/>
    <n v="16000"/>
    <n v="2"/>
    <n v="2"/>
  </r>
  <r>
    <n v="1088"/>
    <s v="RIVER RAVI AT U/S MADHOPUR"/>
    <x v="0"/>
    <n v="9"/>
    <n v="22"/>
    <n v="8.1"/>
    <n v="9"/>
    <n v="7.4"/>
    <n v="8.1999999999999993"/>
    <n v="164"/>
    <n v="467"/>
    <n v="1"/>
    <n v="1"/>
    <n v="0.3"/>
    <n v="4.58"/>
    <n v="2"/>
    <n v="20"/>
    <n v="130"/>
    <n v="1400"/>
    <n v="2"/>
    <n v="2"/>
  </r>
  <r>
    <n v="2614"/>
    <s v="RIVER RAVI CHAMERA-I RESERVOIR"/>
    <x v="0"/>
    <n v="11"/>
    <n v="17.5"/>
    <n v="8.5"/>
    <n v="9.1999999999999993"/>
    <n v="6.9"/>
    <n v="8.1999999999999993"/>
    <n v="158"/>
    <n v="286"/>
    <n v="1"/>
    <n v="1"/>
    <n v="0.31"/>
    <n v="2.1800000000000002"/>
    <n v="2"/>
    <n v="27"/>
    <n v="110"/>
    <n v="5400"/>
    <n v="2"/>
    <n v="2"/>
  </r>
  <r>
    <n v="2615"/>
    <s v="RIVER RAVI D/S CHAMERA- III HEP DAM"/>
    <x v="0"/>
    <n v="9"/>
    <n v="17"/>
    <n v="8.9"/>
    <n v="9.1999999999999993"/>
    <n v="7.1"/>
    <n v="8.3000000000000007"/>
    <n v="136"/>
    <n v="274"/>
    <n v="1"/>
    <n v="1"/>
    <n v="0.41"/>
    <n v="3.61"/>
    <n v="2"/>
    <n v="40"/>
    <n v="27"/>
    <n v="3500"/>
    <n v="2"/>
    <n v="2"/>
  </r>
  <r>
    <n v="2613"/>
    <s v="RIVER RAVI AT D/S OF CHAMBA TOWN"/>
    <x v="0"/>
    <n v="10"/>
    <n v="17"/>
    <n v="8"/>
    <n v="9"/>
    <n v="7.5"/>
    <n v="8.1"/>
    <n v="130"/>
    <n v="266"/>
    <n v="1"/>
    <n v="1"/>
    <n v="0.3"/>
    <n v="3.23"/>
    <n v="2"/>
    <n v="78"/>
    <n v="26"/>
    <n v="16000"/>
    <n v="2"/>
    <n v="2"/>
  </r>
  <r>
    <n v="3873"/>
    <s v="RIVER RAVI U/S STP AT BHARGA"/>
    <x v="0"/>
    <n v="10"/>
    <n v="17.5"/>
    <n v="8.8000000000000007"/>
    <n v="9.1"/>
    <n v="7.5"/>
    <n v="8.4"/>
    <n v="142"/>
    <n v="281"/>
    <n v="1"/>
    <n v="1"/>
    <n v="0.59"/>
    <n v="4.71"/>
    <n v="2"/>
    <n v="40"/>
    <n v="21"/>
    <n v="9200"/>
    <n v="2"/>
    <n v="2"/>
  </r>
  <r>
    <n v="3874"/>
    <s v="RIVER RAVI D/S STP AT BHAGOT"/>
    <x v="0"/>
    <n v="10"/>
    <n v="18.5"/>
    <n v="8.3000000000000007"/>
    <n v="9"/>
    <n v="7.5"/>
    <n v="8.3000000000000007"/>
    <n v="140"/>
    <n v="264"/>
    <n v="1"/>
    <n v="1"/>
    <n v="0.3"/>
    <n v="3.06"/>
    <n v="2"/>
    <n v="110"/>
    <n v="32"/>
    <n v="9200"/>
    <n v="2"/>
    <n v="2"/>
  </r>
  <r>
    <n v="30089"/>
    <s v="RIVER RAVI AT LAKHANPUR,"/>
    <x v="2"/>
    <n v="19"/>
    <n v="31"/>
    <n v="8.6999999999999993"/>
    <n v="10.8"/>
    <n v="8"/>
    <n v="8.6999999999999993"/>
    <n v="175"/>
    <n v="351"/>
    <n v="1"/>
    <n v="3"/>
    <n v="0.32"/>
    <n v="0.83"/>
    <n v="2200"/>
    <n v="24000000"/>
    <n v="7000"/>
    <n v="160000000"/>
    <n v="11"/>
    <n v="540000"/>
  </r>
  <r>
    <n v="30085"/>
    <s v="RIVER RAVI AT MADHOPUR"/>
    <x v="1"/>
    <n v="18"/>
    <n v="24"/>
    <n v="9"/>
    <n v="10"/>
    <n v="7.9"/>
    <n v="8.4"/>
    <n v="172"/>
    <n v="237"/>
    <n v="1"/>
    <n v="1.3"/>
    <n v="0.39"/>
    <n v="1.79"/>
    <n v="37"/>
    <n v="28000"/>
    <n v="400"/>
    <n v="28000"/>
    <n v="13"/>
    <n v="790"/>
  </r>
  <r>
    <n v="1097"/>
    <s v="RIVER RAVI AT U/S OF MADHOPUR HEADWORKS,_x000a_GURDASPUR, PUNJAB"/>
    <x v="1"/>
    <n v="11"/>
    <n v="34"/>
    <n v="8.1"/>
    <n v="10.199999999999999"/>
    <n v="7.5"/>
    <n v="8.1999999999999993"/>
    <n v="152"/>
    <n v="207"/>
    <n v="1"/>
    <n v="1.1000000000000001"/>
    <n v="0.4"/>
    <n v="1.2"/>
    <n v="18"/>
    <n v="40"/>
    <n v="70"/>
    <n v="140"/>
    <m/>
    <m/>
  </r>
  <r>
    <n v="1290"/>
    <s v="RIVER PARVATI BEFORE CONF. TO RIVER BEAS AT_x000a_BHUNTER"/>
    <x v="0"/>
    <n v="4"/>
    <n v="16"/>
    <n v="7"/>
    <n v="8.6"/>
    <n v="6.5"/>
    <n v="8.1"/>
    <n v="42"/>
    <n v="100"/>
    <n v="1"/>
    <n v="1"/>
    <n v="0.32"/>
    <n v="0.85"/>
    <n v="43"/>
    <n v="170"/>
    <n v="220"/>
    <n v="920"/>
    <n v="2"/>
    <n v="2"/>
  </r>
  <r>
    <n v="1090"/>
    <s v="RIVER SAINJ D/S LARJI"/>
    <x v="0"/>
    <n v="6"/>
    <n v="15"/>
    <n v="7.4"/>
    <n v="8.1999999999999993"/>
    <n v="7"/>
    <n v="8"/>
    <n v="60"/>
    <n v="145"/>
    <n v="1"/>
    <n v="1"/>
    <n v="0.32"/>
    <n v="0.84"/>
    <n v="22"/>
    <n v="110"/>
    <n v="94"/>
    <n v="920"/>
    <n v="2"/>
    <n v="2"/>
  </r>
  <r>
    <n v="2605"/>
    <s v="RIVER PARVATI AT U/S MANIKARAN"/>
    <x v="0"/>
    <n v="3"/>
    <n v="15"/>
    <n v="7.2"/>
    <n v="8.8000000000000007"/>
    <n v="6.8"/>
    <n v="8.3000000000000007"/>
    <n v="40"/>
    <n v="94"/>
    <n v="1"/>
    <n v="1"/>
    <n v="0.32"/>
    <n v="1.06"/>
    <n v="17"/>
    <n v="47"/>
    <n v="63"/>
    <n v="220"/>
    <n v="2"/>
    <n v="2"/>
  </r>
  <r>
    <n v="2606"/>
    <s v="RIVER PARVATI AT D/S MANIKARAN"/>
    <x v="0"/>
    <n v="3"/>
    <n v="16"/>
    <n v="7.1"/>
    <n v="8.6999999999999993"/>
    <n v="6.8"/>
    <n v="8"/>
    <n v="42"/>
    <n v="100"/>
    <n v="1"/>
    <n v="1"/>
    <n v="0.32"/>
    <n v="1.23"/>
    <n v="22"/>
    <n v="94"/>
    <n v="70"/>
    <n v="350"/>
    <n v="2"/>
    <n v="2"/>
  </r>
  <r>
    <n v="1551"/>
    <s v="RIVER SIRSA U/S SITOMAJRI NALLAH"/>
    <x v="0"/>
    <n v="12"/>
    <n v="23"/>
    <n v="5.8"/>
    <n v="7.1"/>
    <n v="7.4"/>
    <n v="8.1999999999999993"/>
    <n v="331"/>
    <n v="766"/>
    <n v="1"/>
    <n v="7.2"/>
    <n v="1.73"/>
    <n v="15.8"/>
    <n v="2"/>
    <n v="920"/>
    <n v="26"/>
    <n v="1600"/>
    <n v="2"/>
    <n v="2"/>
  </r>
  <r>
    <n v="1552"/>
    <s v="RIVER SIRSA D/S NALAGARH BRIDGE"/>
    <x v="0"/>
    <n v="12"/>
    <n v="26"/>
    <n v="5.5"/>
    <n v="7.1"/>
    <n v="7.3"/>
    <n v="8.1"/>
    <n v="408"/>
    <n v="1436"/>
    <n v="1"/>
    <n v="6"/>
    <n v="2.62"/>
    <n v="15.54"/>
    <n v="4"/>
    <n v="920"/>
    <n v="21"/>
    <n v="1600"/>
    <n v="2"/>
    <n v="2"/>
  </r>
  <r>
    <n v="1868"/>
    <s v="RIVER SIRSA D/S NALAGARH TOWN"/>
    <x v="0"/>
    <n v="11"/>
    <n v="26"/>
    <n v="3.4"/>
    <n v="7.1"/>
    <n v="7.1"/>
    <n v="8.1"/>
    <n v="403"/>
    <n v="1611"/>
    <n v="1"/>
    <n v="3.9"/>
    <n v="3.05"/>
    <n v="15.31"/>
    <n v="2"/>
    <n v="540"/>
    <n v="26"/>
    <n v="1600"/>
    <n v="2"/>
    <n v="2"/>
  </r>
  <r>
    <n v="4485"/>
    <s v="RIVER SIRSA U/S SANDHOLI NALLAH"/>
    <x v="0"/>
    <n v="11"/>
    <n v="24"/>
    <n v="6"/>
    <n v="7.1"/>
    <n v="7.5"/>
    <n v="8.1999999999999993"/>
    <n v="329"/>
    <n v="768"/>
    <n v="1"/>
    <n v="3.8"/>
    <n v="1.86"/>
    <n v="11.86"/>
    <n v="4"/>
    <n v="46"/>
    <n v="34"/>
    <n v="920"/>
    <n v="2"/>
    <n v="2"/>
  </r>
  <r>
    <n v="4486"/>
    <s v="RIVER BALD D/S LANDFILLSITE AT BADDI"/>
    <x v="0"/>
    <n v="12"/>
    <n v="24"/>
    <n v="4"/>
    <n v="7.6"/>
    <n v="7.2"/>
    <n v="8.1"/>
    <n v="302"/>
    <n v="1754"/>
    <n v="1"/>
    <n v="24"/>
    <n v="1.4"/>
    <n v="9.23"/>
    <n v="2"/>
    <n v="1600"/>
    <n v="12"/>
    <n v="1600"/>
    <n v="2"/>
    <n v="2"/>
  </r>
  <r>
    <n v="4487"/>
    <s v="RIVER SIRSA D/S HOUSING BOARD NALLAH"/>
    <x v="0"/>
    <n v="11"/>
    <n v="25"/>
    <n v="3"/>
    <n v="6.9"/>
    <n v="7.6"/>
    <n v="8.1999999999999993"/>
    <n v="360"/>
    <n v="1913"/>
    <n v="1"/>
    <n v="16"/>
    <n v="1.48"/>
    <n v="14.24"/>
    <n v="7"/>
    <n v="1600"/>
    <n v="39"/>
    <n v="1600"/>
    <n v="2"/>
    <n v="9"/>
  </r>
  <r>
    <n v="4489"/>
    <s v="RIVER SIRSA AFTER CONF. TO RIVER RATTA"/>
    <x v="0"/>
    <n v="12"/>
    <n v="24"/>
    <n v="5.2"/>
    <n v="7.1"/>
    <n v="7.7"/>
    <n v="8.3000000000000007"/>
    <n v="418"/>
    <n v="1385"/>
    <n v="1"/>
    <n v="5.6"/>
    <n v="1.93"/>
    <n v="12.83"/>
    <n v="4"/>
    <n v="540"/>
    <n v="33"/>
    <n v="1600"/>
    <n v="2"/>
    <n v="2"/>
  </r>
  <r>
    <n v="30012"/>
    <s v="RIVER SARSA AT BADDI , ,GHANOLI VILLAGE) PUNJAB"/>
    <x v="1"/>
    <n v="19"/>
    <n v="27"/>
    <n v="6"/>
    <n v="6.8"/>
    <n v="7.6"/>
    <n v="8.1"/>
    <n v="330"/>
    <n v="1269"/>
    <n v="3"/>
    <n v="45"/>
    <n v="1.27"/>
    <n v="5.52"/>
    <n v="3400"/>
    <n v="490000"/>
    <n v="28000"/>
    <n v="1600000"/>
    <n v="1700"/>
    <n v="4900"/>
  </r>
  <r>
    <n v="4161"/>
    <s v="RIVER CONFLUENCE POINT OF SARSA NADI WITH_x000a_SUTLEJ, NR VILL ASPUR, ROOPNAGAR"/>
    <x v="1"/>
    <n v="12"/>
    <n v="29"/>
    <n v="6.5"/>
    <n v="12.2"/>
    <n v="7.2"/>
    <n v="8.3000000000000007"/>
    <n v="262"/>
    <n v="554"/>
    <n v="1"/>
    <n v="1.2"/>
    <n v="0.9"/>
    <n v="4.7"/>
    <n v="78"/>
    <n v="460"/>
    <n v="210"/>
    <n v="1100"/>
    <m/>
    <m/>
  </r>
  <r>
    <n v="2616"/>
    <s v="RIVER BAIRA SIUL D/S SURGANI"/>
    <x v="0"/>
    <n v="10"/>
    <n v="16"/>
    <n v="8.6999999999999993"/>
    <n v="9.1999999999999993"/>
    <n v="6.7"/>
    <n v="8.1"/>
    <n v="64"/>
    <n v="283"/>
    <n v="1"/>
    <n v="1"/>
    <n v="0.37"/>
    <n v="3.32"/>
    <n v="2"/>
    <n v="14"/>
    <n v="70"/>
    <n v="1700"/>
    <n v="2"/>
    <n v="2"/>
  </r>
  <r>
    <n v="2607"/>
    <s v="SUKETI KHAD BEFORE CONF. WITH RIVER BEAS"/>
    <x v="0"/>
    <n v="10"/>
    <n v="27"/>
    <n v="8"/>
    <n v="8.9"/>
    <n v="7.1"/>
    <n v="8.3000000000000007"/>
    <n v="210"/>
    <n v="385"/>
    <n v="1"/>
    <n v="2"/>
    <n v="0.32"/>
    <n v="3.22"/>
    <n v="63"/>
    <n v="1600"/>
    <n v="350"/>
    <n v="1600"/>
    <n v="2"/>
    <n v="2"/>
  </r>
  <r>
    <n v="2608"/>
    <s v="RIVER BINWA AT D/S PAPROLA/BAIJNATH"/>
    <x v="0"/>
    <n v="15"/>
    <n v="20"/>
    <n v="8.6"/>
    <n v="9.1999999999999993"/>
    <n v="7.3"/>
    <n v="8.1999999999999993"/>
    <n v="57"/>
    <n v="294"/>
    <n v="1"/>
    <n v="1"/>
    <n v="0.59"/>
    <n v="3.1"/>
    <n v="2"/>
    <n v="40"/>
    <n v="49"/>
    <n v="9200"/>
    <n v="2"/>
    <n v="2"/>
  </r>
  <r>
    <n v="2609"/>
    <s v="NEUGAL KHAD D/S THURAL"/>
    <x v="0"/>
    <n v="12"/>
    <n v="22"/>
    <n v="8.5"/>
    <n v="9.1"/>
    <n v="7.1"/>
    <n v="8.5"/>
    <n v="88"/>
    <n v="283"/>
    <n v="1"/>
    <n v="1"/>
    <n v="0.95"/>
    <n v="4.18"/>
    <n v="2"/>
    <n v="45"/>
    <n v="70"/>
    <n v="16000"/>
    <n v="2"/>
    <n v="2"/>
  </r>
  <r>
    <n v="2610"/>
    <s v="RIVER SPITI BEFORE CONF.WITH RIVER SUTLEJ AT_x000a_KHAB"/>
    <x v="0"/>
    <n v="7"/>
    <n v="11.5"/>
    <n v="9.1999999999999993"/>
    <n v="9.6999999999999993"/>
    <n v="7.6"/>
    <n v="8.4"/>
    <n v="129"/>
    <n v="509"/>
    <n v="1"/>
    <n v="1"/>
    <n v="0.32"/>
    <n v="0.82"/>
    <n v="2"/>
    <n v="70"/>
    <n v="2"/>
    <n v="280"/>
    <n v="2"/>
    <n v="2"/>
  </r>
  <r>
    <n v="2612"/>
    <s v="RIVER BASPA U/S RESERVOIR BASPA HEP AT KUPPA"/>
    <x v="0"/>
    <n v="7"/>
    <n v="12"/>
    <n v="9.3000000000000007"/>
    <n v="9.8000000000000007"/>
    <n v="7.5"/>
    <n v="8.4"/>
    <n v="104"/>
    <n v="304"/>
    <n v="1"/>
    <n v="1"/>
    <n v="0.32"/>
    <n v="1.45"/>
    <n v="2"/>
    <n v="39"/>
    <n v="9"/>
    <n v="280"/>
    <n v="2"/>
    <n v="2"/>
  </r>
  <r>
    <n v="5767"/>
    <s v="RIVER ANDHRA B/C TO RIVER PABBAR AT CHIRGAON"/>
    <x v="0"/>
    <n v="6"/>
    <n v="10.4"/>
    <n v="7.6"/>
    <n v="8.6999999999999993"/>
    <n v="7"/>
    <n v="8.4"/>
    <n v="42"/>
    <n v="136"/>
    <n v="1"/>
    <n v="1"/>
    <n v="0.32"/>
    <n v="0.66"/>
    <n v="2"/>
    <n v="20"/>
    <n v="2"/>
    <n v="280"/>
    <n v="2"/>
    <n v="2"/>
  </r>
  <r>
    <n v="5769"/>
    <s v="BANOI KHAD AT KALAPUL ON CANT ROAD_x000a_DHARAMSHALA"/>
    <x v="0"/>
    <n v="12"/>
    <n v="19"/>
    <n v="9"/>
    <n v="9.1"/>
    <n v="7.5"/>
    <n v="8.1999999999999993"/>
    <n v="79"/>
    <n v="213"/>
    <n v="1"/>
    <n v="1"/>
    <n v="0.69"/>
    <n v="3.12"/>
    <n v="2"/>
    <n v="93"/>
    <n v="26"/>
    <n v="5400"/>
    <n v="2"/>
    <n v="2"/>
  </r>
  <r>
    <n v="2755"/>
    <s v="RIVER BANGANGA (BATHING GHAT), KATRA,"/>
    <x v="2"/>
    <n v="11"/>
    <n v="22"/>
    <n v="2.6"/>
    <n v="7.8"/>
    <n v="8.1"/>
    <n v="8.8000000000000007"/>
    <n v="280"/>
    <n v="487"/>
    <n v="1"/>
    <n v="2.7"/>
    <n v="0"/>
    <n v="0.77"/>
    <m/>
    <m/>
    <n v="500"/>
    <n v="3000"/>
    <m/>
    <m/>
  </r>
  <r>
    <n v="2756"/>
    <s v="RIVER BANGANGA (IN FRONT OF PONY SHED NEAR_x000a_REASI BRIDGE)KATRA"/>
    <x v="2"/>
    <n v="11"/>
    <n v="22"/>
    <n v="2.4"/>
    <n v="6.2"/>
    <n v="8"/>
    <n v="8.5"/>
    <n v="264"/>
    <n v="589"/>
    <n v="1.3"/>
    <n v="3"/>
    <n v="0"/>
    <n v="1.1000000000000001"/>
    <m/>
    <m/>
    <n v="700"/>
    <n v="3000"/>
    <m/>
    <m/>
  </r>
  <r>
    <n v="2752"/>
    <s v="RIVER BASANTER U/S (R.H.S) SAMBA (BELOW NH-1A_x000a_BRIDGE),"/>
    <x v="2"/>
    <n v="7.8"/>
    <n v="24"/>
    <n v="4.7"/>
    <n v="7.2"/>
    <n v="7.3"/>
    <n v="8"/>
    <n v="234"/>
    <n v="386"/>
    <n v="1"/>
    <n v="2.2999999999999998"/>
    <n v="0"/>
    <n v="0.32"/>
    <m/>
    <m/>
    <n v="700"/>
    <n v="700"/>
    <m/>
    <m/>
  </r>
  <r>
    <n v="2753"/>
    <s v="RIVER BASANTER D/S(R.H.S.) SAMBA (AT CHAK MANGA_x000a_GUJJAR"/>
    <x v="2"/>
    <n v="14"/>
    <n v="26"/>
    <n v="3.1"/>
    <n v="6.5"/>
    <n v="7.5"/>
    <n v="8.1999999999999993"/>
    <n v="224"/>
    <n v="446"/>
    <n v="1"/>
    <n v="3.7"/>
    <n v="0"/>
    <n v="0.79"/>
    <m/>
    <m/>
    <n v="600"/>
    <n v="1000"/>
    <m/>
    <m/>
  </r>
  <r>
    <n v="2747"/>
    <s v="RIVER TAWI AT SURAJPUR CHATHA(10 KM D/S TAWI_x000a_BRIDGE)BELOW BRIDGE NEAR CHATHA MSW DUMPING_x000a_SITE, J&amp;K"/>
    <x v="2"/>
    <n v="17"/>
    <n v="26"/>
    <n v="6.7"/>
    <n v="7.2"/>
    <n v="7.6"/>
    <n v="8.4"/>
    <n v="160"/>
    <n v="324"/>
    <n v="1"/>
    <n v="1"/>
    <n v="0"/>
    <n v="0.32"/>
    <m/>
    <m/>
    <n v="600"/>
    <n v="1300"/>
    <m/>
    <m/>
  </r>
  <r>
    <n v="2748"/>
    <s v="RIVER CHENAB AT L.H.S.(BELOW BRIDGE CHENAB)"/>
    <x v="2"/>
    <n v="9"/>
    <n v="16"/>
    <n v="7.2"/>
    <n v="7.6"/>
    <n v="7.1"/>
    <n v="7.5"/>
    <n v="110"/>
    <n v="224"/>
    <n v="1"/>
    <n v="1.1000000000000001"/>
    <n v="0"/>
    <n v="0.32"/>
    <m/>
    <m/>
    <m/>
    <m/>
    <m/>
    <m/>
  </r>
  <r>
    <n v="2749"/>
    <s v="RIVER CHENAB AT BLIND CURVE SHAMSHAN GHAT (1.5_x000a_KM U/S FROM SPOT)"/>
    <x v="2"/>
    <n v="9"/>
    <n v="16"/>
    <n v="7.2"/>
    <n v="7.6"/>
    <n v="7.2"/>
    <n v="7.5"/>
    <n v="110"/>
    <n v="206"/>
    <n v="1"/>
    <n v="1.1000000000000001"/>
    <n v="0"/>
    <n v="0.32"/>
    <m/>
    <m/>
    <m/>
    <m/>
    <m/>
    <m/>
  </r>
  <r>
    <n v="2750"/>
    <s v="RIVER CHENAB AT CHADRA GAON VIEW POINT(4 KM U/S_x000a_FROM SPOT)"/>
    <x v="2"/>
    <n v="9"/>
    <n v="16"/>
    <n v="7.3"/>
    <n v="7.5"/>
    <n v="7.2"/>
    <n v="7.5"/>
    <n v="110"/>
    <n v="204"/>
    <n v="1"/>
    <n v="1.1000000000000001"/>
    <n v="0"/>
    <n v="0.32"/>
    <m/>
    <m/>
    <m/>
    <m/>
    <m/>
    <m/>
  </r>
  <r>
    <n v="2751"/>
    <s v="RIVER CHENAB AT JAL PATAN MANDIR AFTER MEETING_x000a_WITH MAIN DRAIN OF AKHNOOR CITY(1.5 KMD/S FROM_x000a_SPOT)"/>
    <x v="2"/>
    <n v="9"/>
    <n v="16"/>
    <n v="6.8"/>
    <n v="7"/>
    <n v="7.3"/>
    <n v="7.9"/>
    <n v="114"/>
    <n v="227"/>
    <n v="1.1000000000000001"/>
    <n v="1.6"/>
    <n v="0"/>
    <n v="1.19"/>
    <m/>
    <m/>
    <n v="600"/>
    <n v="1000"/>
    <m/>
    <m/>
  </r>
  <r>
    <n v="2754"/>
    <s v="RIVER DEVAK UDHAMPUR(NEAR SHIV MANDIR_x000a_D/S)L.H.S."/>
    <x v="2"/>
    <n v="16"/>
    <n v="26"/>
    <n v="3.1"/>
    <n v="5.3"/>
    <n v="7.9"/>
    <n v="8.1999999999999993"/>
    <n v="312"/>
    <n v="627"/>
    <n v="2.2999999999999998"/>
    <n v="4.4000000000000004"/>
    <n v="0"/>
    <n v="4.32"/>
    <m/>
    <m/>
    <n v="800"/>
    <n v="2000"/>
    <m/>
    <m/>
  </r>
  <r>
    <n v="2757"/>
    <s v="RIVER DEVAK AT UTTERBEHNI"/>
    <x v="2"/>
    <n v="17"/>
    <n v="22"/>
    <n v="6.4"/>
    <n v="7.3"/>
    <n v="7.6"/>
    <n v="8.6"/>
    <n v="164"/>
    <n v="314"/>
    <n v="1"/>
    <n v="1"/>
    <n v="0"/>
    <n v="0.32"/>
    <m/>
    <m/>
    <m/>
    <m/>
    <m/>
    <m/>
  </r>
  <r>
    <n v="4058"/>
    <s v="RIVER DEVAK AT PURMANDAL, NEAR TEMPLE"/>
    <x v="2"/>
    <n v="17"/>
    <n v="24"/>
    <n v="5"/>
    <n v="7.3"/>
    <n v="8.3000000000000007"/>
    <n v="8.6999999999999993"/>
    <n v="412"/>
    <n v="589"/>
    <n v="1"/>
    <n v="1.3"/>
    <n v="0"/>
    <n v="0.32"/>
    <m/>
    <m/>
    <m/>
    <m/>
    <m/>
    <m/>
  </r>
  <r>
    <n v="4062"/>
    <s v="RIVER DEVAK 2 KM D/S FROM SHIV MANDIR AT_x000a_UDHAMPUR,"/>
    <x v="2"/>
    <n v="16"/>
    <n v="26"/>
    <n v="5.8"/>
    <n v="7.8"/>
    <n v="7.6"/>
    <n v="8.3000000000000007"/>
    <n v="300"/>
    <n v="542"/>
    <n v="1"/>
    <n v="1.9"/>
    <n v="0"/>
    <n v="1.55"/>
    <m/>
    <m/>
    <n v="700"/>
    <n v="3000"/>
    <m/>
    <m/>
  </r>
  <r>
    <n v="4063"/>
    <s v="RIVER DEVAK ABOUT 10 KM D/S FROM SHIV MANDIR,_x000a_BELOW RAILWAY BRIDGE, UDHAMPUR"/>
    <x v="2"/>
    <n v="16"/>
    <n v="26"/>
    <n v="5.6"/>
    <n v="8"/>
    <n v="7.3"/>
    <n v="8.5"/>
    <n v="286"/>
    <n v="420"/>
    <n v="1"/>
    <n v="2"/>
    <n v="0"/>
    <n v="0.32"/>
    <m/>
    <m/>
    <n v="700"/>
    <n v="2000"/>
    <m/>
    <m/>
  </r>
  <r>
    <n v="4081"/>
    <s v="SURAN RIVER BELOW SHER-E-KASHMIR BRIDGE AT_x000a_POONCH"/>
    <x v="2"/>
    <n v="17"/>
    <n v="24"/>
    <n v="7.4"/>
    <n v="7.6"/>
    <n v="7.5"/>
    <n v="7.6"/>
    <n v="110"/>
    <n v="165"/>
    <n v="1"/>
    <n v="1"/>
    <n v="0.32"/>
    <n v="0.32"/>
    <m/>
    <m/>
    <m/>
    <m/>
    <m/>
    <m/>
  </r>
  <r>
    <n v="3277"/>
    <s v="RIVER JHELUM AT BARAMULLA D/S"/>
    <x v="2"/>
    <n v="5.5"/>
    <n v="23"/>
    <n v="5.8"/>
    <n v="9.8000000000000007"/>
    <n v="7.4"/>
    <n v="8.1999999999999993"/>
    <n v="160"/>
    <n v="325"/>
    <n v="2.5"/>
    <n v="3.8"/>
    <n v="0"/>
    <n v="0"/>
    <m/>
    <m/>
    <m/>
    <m/>
    <m/>
    <m/>
  </r>
  <r>
    <n v="1410"/>
    <s v="RIVER JHELAM AT DALAGATE (INLET), SRINAGAR"/>
    <x v="2"/>
    <n v="6.1"/>
    <n v="25.1"/>
    <n v="4.5999999999999996"/>
    <n v="8.9"/>
    <n v="7.3"/>
    <n v="8"/>
    <n v="155"/>
    <n v="366"/>
    <n v="1.9"/>
    <n v="5.9"/>
    <n v="0"/>
    <n v="0"/>
    <m/>
    <m/>
    <m/>
    <m/>
    <m/>
    <m/>
  </r>
  <r>
    <n v="1411"/>
    <s v="RIVER JHELAM AT CHATTABAL WEIR (OUTLET"/>
    <x v="2"/>
    <n v="7.3"/>
    <n v="25.1"/>
    <n v="4.0999999999999996"/>
    <n v="8.1999999999999993"/>
    <n v="7.3"/>
    <n v="8.1"/>
    <n v="154"/>
    <n v="371"/>
    <n v="2.9"/>
    <n v="7.8"/>
    <n v="0"/>
    <n v="0"/>
    <m/>
    <m/>
    <m/>
    <m/>
    <m/>
    <m/>
  </r>
  <r>
    <n v="3272"/>
    <s v="RIVER JHELUM AT VERINAG"/>
    <x v="2"/>
    <n v="7"/>
    <n v="19.5"/>
    <n v="6"/>
    <n v="9.6999999999999993"/>
    <n v="7.1"/>
    <n v="7.9"/>
    <n v="152"/>
    <n v="351"/>
    <n v="1"/>
    <n v="4.2"/>
    <n v="0"/>
    <n v="0"/>
    <m/>
    <m/>
    <m/>
    <m/>
    <m/>
    <m/>
  </r>
  <r>
    <n v="3273"/>
    <s v="RIVER JHELUM AT SANGAM, CONFLUENCE POINT OF_x000a_VISHAV NALLAH"/>
    <x v="2"/>
    <n v="8"/>
    <n v="22"/>
    <n v="5.9"/>
    <n v="9"/>
    <n v="7.7"/>
    <n v="8"/>
    <n v="120"/>
    <n v="281"/>
    <n v="1.8"/>
    <n v="4.4000000000000004"/>
    <n v="0"/>
    <n v="0"/>
    <m/>
    <m/>
    <m/>
    <m/>
    <m/>
    <m/>
  </r>
  <r>
    <n v="3274"/>
    <s v="RIVER JHELUM AT AWANTIPORA"/>
    <x v="2"/>
    <n v="7.5"/>
    <n v="22.2"/>
    <n v="6"/>
    <n v="9.9"/>
    <n v="7.5"/>
    <n v="8.1"/>
    <n v="118"/>
    <n v="297"/>
    <n v="2"/>
    <n v="3.2"/>
    <n v="0"/>
    <n v="0"/>
    <m/>
    <m/>
    <m/>
    <m/>
    <m/>
    <m/>
  </r>
  <r>
    <n v="3275"/>
    <s v="RIVER JHELUM AT PAMPORE"/>
    <x v="2"/>
    <n v="7.6"/>
    <n v="22.1"/>
    <n v="5.9"/>
    <n v="9.8000000000000007"/>
    <n v="7.3"/>
    <n v="8.1"/>
    <n v="114"/>
    <n v="312"/>
    <n v="2.1"/>
    <n v="4.2"/>
    <n v="0"/>
    <n v="0"/>
    <m/>
    <m/>
    <m/>
    <m/>
    <m/>
    <m/>
  </r>
  <r>
    <n v="3276"/>
    <s v="RIVER JHELUM AT SOPORE, CONFLUENCE POINT OF_x000a_WULAR LAKE"/>
    <x v="2"/>
    <n v="5"/>
    <n v="23.4"/>
    <n v="6"/>
    <n v="10.8"/>
    <n v="7.3"/>
    <n v="8.1999999999999993"/>
    <n v="153"/>
    <n v="354"/>
    <n v="1.6"/>
    <n v="3.2"/>
    <n v="0"/>
    <n v="0"/>
    <m/>
    <m/>
    <m/>
    <m/>
    <m/>
    <m/>
  </r>
  <r>
    <n v="4053"/>
    <s v="RIVER JHELUM AT BIJEHARA"/>
    <x v="2"/>
    <n v="8.4"/>
    <n v="22.8"/>
    <n v="5.3"/>
    <n v="9.4"/>
    <n v="7.6"/>
    <n v="7.9"/>
    <n v="121"/>
    <n v="310"/>
    <n v="2"/>
    <n v="3.8"/>
    <n v="0"/>
    <n v="0"/>
    <m/>
    <m/>
    <m/>
    <m/>
    <m/>
    <m/>
  </r>
  <r>
    <n v="4054"/>
    <s v="RIVER JHELUM AT PANTHACHOWK"/>
    <x v="2"/>
    <n v="7.5"/>
    <n v="22.3"/>
    <n v="5.5"/>
    <n v="9.9"/>
    <n v="7.5"/>
    <n v="8"/>
    <n v="114"/>
    <n v="316"/>
    <n v="2"/>
    <n v="32"/>
    <n v="0"/>
    <n v="0"/>
    <m/>
    <m/>
    <m/>
    <m/>
    <m/>
    <m/>
  </r>
  <r>
    <n v="2742"/>
    <s v="RIVER TAWI AT SHETALI LIFTING POINT NAGROTA(5KM_x000a_U/S TAWI BRIDGE)"/>
    <x v="2"/>
    <n v="16"/>
    <n v="26"/>
    <n v="7.2"/>
    <n v="7.6"/>
    <n v="7.3"/>
    <n v="8.1999999999999993"/>
    <n v="166"/>
    <n v="455"/>
    <n v="1"/>
    <n v="1"/>
    <n v="0"/>
    <n v="0.32"/>
    <m/>
    <m/>
    <m/>
    <m/>
    <m/>
    <m/>
  </r>
  <r>
    <n v="2743"/>
    <s v="RIVER TAWI AT BAGH-E-BAHU LIFTING POINT(1 KM U/S_x000a_TAWI BRIDGE)"/>
    <x v="2"/>
    <n v="17"/>
    <n v="26"/>
    <n v="6.8"/>
    <n v="7.5"/>
    <n v="7.5"/>
    <n v="8.5"/>
    <n v="176"/>
    <n v="370"/>
    <n v="1"/>
    <n v="1"/>
    <n v="0"/>
    <n v="0.32"/>
    <m/>
    <m/>
    <m/>
    <m/>
    <m/>
    <m/>
  </r>
  <r>
    <n v="1412"/>
    <s v="RIVER TAWI AT JAMMU U/S, (TAWI BRIDGE )"/>
    <x v="2"/>
    <n v="14"/>
    <n v="28"/>
    <n v="4.8"/>
    <n v="6"/>
    <n v="7.9"/>
    <n v="8.4"/>
    <n v="420"/>
    <n v="442"/>
    <n v="2"/>
    <n v="3.6"/>
    <n v="0"/>
    <n v="0.26"/>
    <m/>
    <m/>
    <m/>
    <m/>
    <m/>
    <m/>
  </r>
  <r>
    <n v="2744"/>
    <s v="RIVER TAWI BELOW TAWI BRIDGE"/>
    <x v="2"/>
    <n v="17"/>
    <n v="26"/>
    <n v="3"/>
    <n v="7.5"/>
    <n v="7.9"/>
    <n v="8.9"/>
    <n v="185"/>
    <n v="372"/>
    <n v="1.1000000000000001"/>
    <n v="4"/>
    <n v="0"/>
    <n v="1.42"/>
    <m/>
    <m/>
    <n v="700"/>
    <n v="800"/>
    <m/>
    <m/>
  </r>
  <r>
    <n v="2745"/>
    <s v="RIVER TAWI BAGHWATI NAGAR (2KM D/S TAWI BRIDGE"/>
    <x v="2"/>
    <n v="17"/>
    <n v="17"/>
    <n v="3"/>
    <n v="3"/>
    <n v="9"/>
    <n v="9"/>
    <n v="176"/>
    <n v="176"/>
    <n v="9"/>
    <n v="9"/>
    <n v="0"/>
    <n v="0"/>
    <m/>
    <m/>
    <m/>
    <m/>
    <m/>
    <m/>
  </r>
  <r>
    <n v="2746"/>
    <s v="RIVER TAWI AT BELICHARANA(4KM D/S TAWI BRIDGE)"/>
    <x v="2"/>
    <n v="17"/>
    <n v="26"/>
    <n v="6.5"/>
    <n v="7.2"/>
    <n v="7.9"/>
    <n v="8.5"/>
    <n v="156"/>
    <n v="360"/>
    <n v="1"/>
    <n v="1"/>
    <n v="0"/>
    <n v="0.32"/>
    <m/>
    <m/>
    <n v="500"/>
    <n v="1500"/>
    <m/>
    <m/>
  </r>
  <r>
    <n v="4055"/>
    <s v="RIVER TAWI AT 1 KM D/S BELOW STP DISCHARGE POINT_x000a_AT BHAGWATI NAGAR"/>
    <x v="2"/>
    <n v="18"/>
    <n v="18"/>
    <n v="2.2999999999999998"/>
    <n v="2.2999999999999998"/>
    <n v="8.9"/>
    <n v="8.9"/>
    <n v="172"/>
    <n v="172"/>
    <n v="9.5"/>
    <n v="9.5"/>
    <n v="0"/>
    <n v="0"/>
    <m/>
    <m/>
    <m/>
    <m/>
    <m/>
    <m/>
  </r>
  <r>
    <n v="4056"/>
    <s v="RIVER TAWI AT BALOL NALLAH, NEAR NIT COLLEGE,_x000a_MIRAN SAHIB, BEFORE MIXING"/>
    <x v="2"/>
    <n v="16"/>
    <n v="28"/>
    <n v="2.9"/>
    <n v="6"/>
    <n v="7.7"/>
    <n v="8.1999999999999993"/>
    <n v="326"/>
    <n v="612"/>
    <n v="1"/>
    <n v="4.9000000000000004"/>
    <n v="0"/>
    <n v="0.31"/>
    <m/>
    <m/>
    <m/>
    <m/>
    <m/>
    <m/>
  </r>
  <r>
    <n v="3284"/>
    <s v="RIVER SINDH AT SONAMARG D/S"/>
    <x v="2"/>
    <n v="4.0999999999999996"/>
    <n v="10.8"/>
    <n v="7.3"/>
    <n v="10.199999999999999"/>
    <n v="7.3"/>
    <n v="8.4"/>
    <n v="203"/>
    <n v="454"/>
    <n v="1"/>
    <n v="1.8"/>
    <n v="0"/>
    <n v="0"/>
    <m/>
    <m/>
    <m/>
    <m/>
    <m/>
    <m/>
  </r>
  <r>
    <n v="3285"/>
    <s v="RIVER SINDH AT WAIL BRIDGE"/>
    <x v="2"/>
    <n v="3.5"/>
    <n v="16"/>
    <n v="7.2"/>
    <n v="10.9"/>
    <n v="7.6"/>
    <n v="8.3000000000000007"/>
    <n v="143"/>
    <n v="340"/>
    <n v="1"/>
    <n v="2"/>
    <n v="0"/>
    <n v="0"/>
    <m/>
    <m/>
    <m/>
    <m/>
    <m/>
    <m/>
  </r>
  <r>
    <n v="3286"/>
    <s v="RIVER SINDH AT DUDERHAMA"/>
    <x v="2"/>
    <n v="4.0999999999999996"/>
    <n v="17.2"/>
    <n v="7.4"/>
    <n v="9.6999999999999993"/>
    <n v="7.4"/>
    <n v="8.1999999999999993"/>
    <n v="146"/>
    <n v="344"/>
    <n v="1"/>
    <n v="2.6"/>
    <n v="0"/>
    <n v="0"/>
    <m/>
    <m/>
    <m/>
    <m/>
    <m/>
    <m/>
  </r>
  <r>
    <n v="3287"/>
    <s v="RIVER SINDH AT RANGIL, SRINAGAR"/>
    <x v="2"/>
    <n v="4"/>
    <n v="18.8"/>
    <n v="7.5"/>
    <n v="10.8"/>
    <n v="7.5"/>
    <n v="8.1999999999999993"/>
    <n v="156"/>
    <n v="359"/>
    <n v="1"/>
    <n v="2.6"/>
    <n v="0"/>
    <n v="0"/>
    <m/>
    <m/>
    <m/>
    <m/>
    <m/>
    <m/>
  </r>
  <r>
    <n v="4023"/>
    <s v="MANJHI KHAD U/S DHARAMSHALA OF KHANIYARA"/>
    <x v="0"/>
    <n v="11"/>
    <n v="20"/>
    <n v="8.1999999999999993"/>
    <n v="9.1"/>
    <n v="7.5"/>
    <n v="8.4"/>
    <n v="59"/>
    <n v="228"/>
    <n v="1"/>
    <n v="1"/>
    <n v="0.41"/>
    <n v="2.76"/>
    <n v="2"/>
    <n v="20"/>
    <n v="22"/>
    <n v="3500"/>
    <n v="2"/>
    <n v="2"/>
  </r>
  <r>
    <n v="4024"/>
    <s v="MANJHI KHAD D/S DHARAMSHALA AT CHETRU"/>
    <x v="0"/>
    <n v="12"/>
    <n v="20"/>
    <n v="8.1999999999999993"/>
    <n v="9.1999999999999993"/>
    <n v="7.6"/>
    <n v="8.5"/>
    <n v="59"/>
    <n v="242"/>
    <n v="1"/>
    <n v="1"/>
    <n v="0.49"/>
    <n v="2.67"/>
    <n v="2"/>
    <n v="20"/>
    <n v="39"/>
    <n v="5400"/>
    <n v="2"/>
    <n v="2"/>
  </r>
  <r>
    <n v="4025"/>
    <s v="MOL KHAD U/S PALAMPUR"/>
    <x v="0"/>
    <n v="12"/>
    <n v="21"/>
    <n v="8.6"/>
    <n v="9.1999999999999993"/>
    <n v="7.3"/>
    <n v="8"/>
    <n v="74"/>
    <n v="329"/>
    <n v="1"/>
    <n v="1"/>
    <n v="0.3"/>
    <n v="2.04"/>
    <n v="2"/>
    <n v="45"/>
    <n v="13"/>
    <n v="9200"/>
    <n v="2"/>
    <n v="2"/>
  </r>
  <r>
    <n v="4026"/>
    <s v="MOL KHAD D/S PALAMPUR"/>
    <x v="0"/>
    <n v="10"/>
    <n v="21"/>
    <n v="8.4"/>
    <n v="9.3000000000000007"/>
    <n v="7"/>
    <n v="8.1999999999999993"/>
    <n v="74"/>
    <n v="368"/>
    <n v="1"/>
    <n v="1"/>
    <n v="0.3"/>
    <n v="2.62"/>
    <n v="2"/>
    <n v="45"/>
    <n v="22"/>
    <n v="16000"/>
    <n v="2"/>
    <n v="2"/>
  </r>
  <r>
    <n v="4038"/>
    <s v="RIVER TIRTHAN BEFORE CONF. TO RIVER SUTLEJ"/>
    <x v="0"/>
    <n v="7"/>
    <n v="19"/>
    <n v="7.8"/>
    <n v="8.5"/>
    <n v="7.2"/>
    <n v="8"/>
    <n v="61"/>
    <n v="280"/>
    <n v="1"/>
    <n v="1"/>
    <n v="0.32"/>
    <n v="4.93"/>
    <n v="21"/>
    <n v="79"/>
    <n v="79"/>
    <n v="430"/>
    <n v="2"/>
    <n v="2"/>
  </r>
  <r>
    <n v="4424"/>
    <s v="RAW WATER FOR LWSS OF NAUTI KHAD AT GUMMA_x000a_(BASANTPUR)"/>
    <x v="0"/>
    <n v="8"/>
    <n v="18"/>
    <n v="7.2"/>
    <n v="8.1"/>
    <n v="7.2"/>
    <n v="8.3000000000000007"/>
    <n v="105"/>
    <n v="800"/>
    <n v="1"/>
    <n v="1"/>
    <n v="0.32"/>
    <n v="2.34"/>
    <n v="4"/>
    <n v="220"/>
    <n v="17"/>
    <n v="920"/>
    <n v="2"/>
    <n v="7"/>
  </r>
  <r>
    <n v="4432"/>
    <s v="DHAULI KHAD AT CHARAN GANGA MEDI"/>
    <x v="0"/>
    <n v="17"/>
    <n v="33.4"/>
    <n v="6.9"/>
    <n v="8"/>
    <n v="7.4"/>
    <n v="8.3000000000000007"/>
    <n v="344"/>
    <n v="517"/>
    <n v="1"/>
    <n v="3"/>
    <n v="0.32"/>
    <n v="5.94"/>
    <n v="2"/>
    <n v="6"/>
    <n v="14"/>
    <n v="170"/>
    <n v="2"/>
    <n v="2"/>
  </r>
  <r>
    <n v="4457"/>
    <s v="BANER KHAD U/S CHAMUNDA TEMPLE"/>
    <x v="0"/>
    <n v="16"/>
    <n v="20"/>
    <n v="8.8000000000000007"/>
    <n v="9.4"/>
    <n v="7.1"/>
    <n v="8.1"/>
    <n v="97"/>
    <n v="201"/>
    <n v="1"/>
    <n v="1"/>
    <n v="0.48"/>
    <n v="3.68"/>
    <n v="2"/>
    <n v="40"/>
    <n v="33"/>
    <n v="16000"/>
    <n v="2"/>
    <n v="2"/>
  </r>
  <r>
    <n v="4458"/>
    <s v="BANER KHAD D/S CHAMUNDA TEMPLE"/>
    <x v="0"/>
    <n v="16"/>
    <n v="21"/>
    <n v="8.8000000000000007"/>
    <n v="9.1999999999999993"/>
    <n v="7.3"/>
    <n v="8.3000000000000007"/>
    <n v="95"/>
    <n v="187"/>
    <n v="1"/>
    <n v="1"/>
    <n v="0.56999999999999995"/>
    <n v="3.26"/>
    <n v="2"/>
    <n v="78"/>
    <n v="79"/>
    <n v="16000"/>
    <n v="2"/>
    <n v="2"/>
  </r>
  <r>
    <n v="4460"/>
    <s v="CHARAN KHAND U/S BHAGSUNAG"/>
    <x v="0"/>
    <n v="12"/>
    <n v="19"/>
    <n v="9.1"/>
    <n v="9.1999999999999993"/>
    <n v="7.6"/>
    <n v="8.1999999999999993"/>
    <n v="74"/>
    <n v="197"/>
    <n v="1"/>
    <n v="1"/>
    <n v="0.3"/>
    <n v="5.53"/>
    <n v="2"/>
    <n v="20"/>
    <n v="13"/>
    <n v="3500"/>
    <n v="2"/>
    <n v="2"/>
  </r>
  <r>
    <n v="4469"/>
    <s v="GAJ KHAD NEAR WATER SUPPLY SCHEME_x000a_DHARAMSHALA CANTT."/>
    <x v="0"/>
    <n v="11"/>
    <n v="18"/>
    <n v="8.8000000000000007"/>
    <n v="9.1"/>
    <n v="7.7"/>
    <n v="8.6"/>
    <n v="67"/>
    <n v="237"/>
    <n v="1"/>
    <n v="1"/>
    <n v="0.3"/>
    <n v="6.43"/>
    <n v="2"/>
    <n v="7"/>
    <n v="11"/>
    <n v="790"/>
    <n v="2"/>
    <n v="2"/>
  </r>
  <r>
    <n v="4470"/>
    <s v="BATHER KHAD WATER SUPPLY SCHEME AT DAL LAKE"/>
    <x v="0"/>
    <n v="10"/>
    <n v="18"/>
    <n v="9"/>
    <n v="9.1999999999999993"/>
    <n v="7.4"/>
    <n v="8.4"/>
    <n v="70"/>
    <n v="196"/>
    <n v="1"/>
    <n v="1"/>
    <n v="0.3"/>
    <n v="5.96"/>
    <n v="2"/>
    <n v="20"/>
    <n v="11"/>
    <n v="1300"/>
    <n v="2"/>
    <n v="2"/>
  </r>
  <r>
    <n v="4471"/>
    <s v="NEUGAL KHAD NEAR WATER SUPPLY SCHEME AT_x000a_BANDLA, PALAMPUR"/>
    <x v="0"/>
    <n v="9"/>
    <n v="17"/>
    <n v="8.9"/>
    <n v="9.6"/>
    <n v="7.2"/>
    <n v="8"/>
    <n v="77"/>
    <n v="480"/>
    <n v="1"/>
    <n v="1"/>
    <n v="0.3"/>
    <n v="4.12"/>
    <n v="2"/>
    <n v="20"/>
    <n v="8"/>
    <n v="5400"/>
    <n v="2"/>
    <n v="2"/>
  </r>
  <r>
    <n v="4488"/>
    <s v="RIVER RATTA BEFORE CONF. TO RIVER SIRSA"/>
    <x v="0"/>
    <n v="14"/>
    <n v="23"/>
    <n v="5.8"/>
    <n v="7.1"/>
    <n v="7.5"/>
    <n v="8"/>
    <n v="615"/>
    <n v="1384"/>
    <n v="1"/>
    <n v="5.4"/>
    <n v="1.69"/>
    <n v="17.260000000000002"/>
    <n v="5"/>
    <n v="220"/>
    <n v="34"/>
    <n v="1600"/>
    <n v="2"/>
    <n v="2"/>
  </r>
  <r>
    <n v="5489"/>
    <s v="RIVER BHAWA KHAD AT RESERVIOR SITE OF ALLIAN_x000a_DUHANGAN HEP,PRINI,MANALI"/>
    <x v="0"/>
    <n v="9"/>
    <n v="9"/>
    <n v="9.6"/>
    <n v="9.6"/>
    <n v="8.3000000000000007"/>
    <n v="8.3000000000000007"/>
    <n v="87"/>
    <n v="87"/>
    <n v="1"/>
    <n v="1"/>
    <n v="0.61"/>
    <n v="0.61"/>
    <n v="11"/>
    <n v="11"/>
    <n v="26"/>
    <n v="26"/>
    <n v="2"/>
    <n v="2"/>
  </r>
  <r>
    <n v="5766"/>
    <s v="CHAKKI KHAD AT LAHROO D/S OF PHINNA SINGH_x000a_IRRIGATION SCHEME"/>
    <x v="0"/>
    <n v="10"/>
    <n v="16"/>
    <n v="8.8000000000000007"/>
    <n v="9"/>
    <n v="7.3"/>
    <n v="8"/>
    <n v="125"/>
    <n v="259"/>
    <n v="1"/>
    <n v="1"/>
    <n v="0.73"/>
    <n v="2.68"/>
    <n v="4"/>
    <n v="45"/>
    <n v="350"/>
    <n v="5400"/>
    <n v="2"/>
    <n v="2"/>
  </r>
  <r>
    <n v="1306"/>
    <s v="RIVER GAWKADAL, SRG (SHERGHARI, SRG)"/>
    <x v="2"/>
    <n v="6.6"/>
    <n v="25.2"/>
    <n v="4.7"/>
    <n v="7.8"/>
    <n v="7.4"/>
    <n v="8.1"/>
    <n v="149"/>
    <n v="357"/>
    <n v="2.2999999999999998"/>
    <n v="5"/>
    <n v="0"/>
    <n v="0"/>
    <m/>
    <m/>
    <m/>
    <m/>
    <m/>
    <m/>
  </r>
  <r>
    <n v="5248"/>
    <s v="RIVER UHL D/S OF IIT, MANDI"/>
    <x v="0"/>
    <n v="4"/>
    <n v="23"/>
    <n v="8.5"/>
    <n v="9.6"/>
    <n v="7.1"/>
    <n v="8.1"/>
    <n v="62"/>
    <n v="205"/>
    <n v="1"/>
    <n v="1"/>
    <n v="0.32"/>
    <n v="1.01"/>
    <n v="23"/>
    <n v="79"/>
    <n v="170"/>
    <n v="350"/>
    <n v="2"/>
    <n v="2"/>
  </r>
  <r>
    <n v="5251"/>
    <s v="SUKETI KHAD D/S SWM SITE AT SUNDER NAGAR"/>
    <x v="0"/>
    <n v="12"/>
    <n v="27"/>
    <n v="7"/>
    <n v="8.8000000000000007"/>
    <n v="7.1"/>
    <n v="8.1999999999999993"/>
    <n v="210"/>
    <n v="414"/>
    <n v="1"/>
    <n v="2.8"/>
    <n v="0.49"/>
    <n v="3.25"/>
    <n v="58"/>
    <n v="920"/>
    <n v="280"/>
    <n v="1600"/>
    <n v="2"/>
    <n v="2"/>
  </r>
  <r>
    <n v="5252"/>
    <s v="SEER KHAD U/S INTAKE POINT OF WSS GHUMARWIN_x000a_TOWN"/>
    <x v="0"/>
    <n v="5"/>
    <n v="32"/>
    <n v="8.1999999999999993"/>
    <n v="9.3000000000000007"/>
    <n v="7.2"/>
    <n v="8.1999999999999993"/>
    <n v="185"/>
    <n v="285"/>
    <n v="1"/>
    <n v="1"/>
    <n v="0.32"/>
    <n v="1.83"/>
    <n v="11"/>
    <n v="79"/>
    <n v="33"/>
    <n v="350"/>
    <n v="2"/>
    <n v="2"/>
  </r>
  <r>
    <n v="5254"/>
    <s v="RIVER BHAGGA U/S BEFORE CONFLUENCE TO RIVER_x000a_CHENAB"/>
    <x v="0"/>
    <n v="3"/>
    <n v="12"/>
    <n v="7.5"/>
    <n v="8.9"/>
    <n v="7.2"/>
    <n v="8.1"/>
    <n v="92"/>
    <n v="225"/>
    <n v="1"/>
    <n v="1"/>
    <n v="0.32"/>
    <n v="0.55000000000000004"/>
    <n v="23"/>
    <n v="39"/>
    <n v="140"/>
    <n v="280"/>
    <n v="2"/>
    <n v="2"/>
  </r>
  <r>
    <n v="5255"/>
    <s v="RIVER CHANDRA U/S BEFORE CONFLUENCE TO RIVER_x000a_CHENAB"/>
    <x v="0"/>
    <n v="3"/>
    <n v="10"/>
    <n v="7.6"/>
    <n v="8.5"/>
    <n v="7.2"/>
    <n v="8.1"/>
    <n v="88"/>
    <n v="221"/>
    <n v="1"/>
    <n v="1"/>
    <n v="0.32"/>
    <n v="0.64"/>
    <n v="2"/>
    <n v="39"/>
    <n v="45"/>
    <n v="210"/>
    <n v="2"/>
    <n v="2"/>
  </r>
  <r>
    <n v="5256"/>
    <s v="RIVER CHENAB D/S AT TANDI (L &amp; S)"/>
    <x v="0"/>
    <n v="4"/>
    <n v="12"/>
    <n v="7.6"/>
    <n v="9.1"/>
    <n v="7.2"/>
    <n v="8.1999999999999993"/>
    <n v="87"/>
    <n v="218"/>
    <n v="1"/>
    <n v="1"/>
    <n v="0.32"/>
    <n v="0.95"/>
    <n v="26"/>
    <n v="47"/>
    <n v="170"/>
    <n v="240"/>
    <n v="2"/>
    <n v="2"/>
  </r>
  <r>
    <n v="1491"/>
    <s v="RIVER BHAGIRATHI AT GANGOTRI,"/>
    <x v="3"/>
    <n v="7"/>
    <n v="7"/>
    <n v="11"/>
    <n v="11"/>
    <n v="8.4"/>
    <n v="8.4"/>
    <n v="84"/>
    <n v="84"/>
    <n v="1"/>
    <n v="1"/>
    <n v="0.32"/>
    <n v="0.32"/>
    <n v="2"/>
    <n v="2"/>
    <n v="2"/>
    <n v="2"/>
    <n v="2"/>
    <n v="2"/>
  </r>
  <r>
    <n v="5451"/>
    <s v="RIVER MANDAKINI AT KEDARNATH"/>
    <x v="3"/>
    <n v="10"/>
    <n v="10"/>
    <n v="11.4"/>
    <n v="11.4"/>
    <n v="8"/>
    <n v="8"/>
    <n v="50"/>
    <n v="50"/>
    <n v="1"/>
    <n v="1"/>
    <n v="0.32"/>
    <n v="0.32"/>
    <n v="2"/>
    <n v="2"/>
    <n v="2"/>
    <n v="2"/>
    <n v="2"/>
    <n v="2"/>
  </r>
  <r>
    <n v="5452"/>
    <s v="RIVER ALAKNANDA AT BADRINATH"/>
    <x v="3"/>
    <n v="13.5"/>
    <n v="13.5"/>
    <n v="11.2"/>
    <n v="11.2"/>
    <n v="7.3"/>
    <n v="7.3"/>
    <n v="43"/>
    <n v="43"/>
    <n v="1"/>
    <n v="1"/>
    <n v="0.32"/>
    <n v="0.32"/>
    <n v="2"/>
    <n v="2"/>
    <n v="2"/>
    <n v="2"/>
    <n v="2"/>
    <n v="2"/>
  </r>
  <r>
    <n v="1484"/>
    <s v="RIVER ALAKNANDA B/C TO RIVER MANDAKINI AT RUDRA_x000a_PRAYAG"/>
    <x v="3"/>
    <n v="15"/>
    <n v="17"/>
    <n v="10"/>
    <n v="10.6"/>
    <n v="7.6"/>
    <n v="8.3000000000000007"/>
    <n v="47"/>
    <n v="137"/>
    <n v="1"/>
    <n v="1"/>
    <n v="0.32"/>
    <n v="0.35"/>
    <n v="2"/>
    <n v="2"/>
    <n v="2"/>
    <n v="4"/>
    <n v="2"/>
    <n v="2"/>
  </r>
  <r>
    <n v="1485"/>
    <s v="RIVER MANDAKINI B/C TO RIVER ALKALNADA AT_x000a_RUDRAPRAYAG,"/>
    <x v="3"/>
    <n v="14"/>
    <n v="17"/>
    <n v="9.8000000000000007"/>
    <n v="10.8"/>
    <n v="7.6"/>
    <n v="7.8"/>
    <n v="61"/>
    <n v="80"/>
    <n v="1"/>
    <n v="1"/>
    <n v="0.32"/>
    <n v="0.33"/>
    <n v="2"/>
    <n v="2"/>
    <n v="2"/>
    <n v="4"/>
    <n v="2"/>
    <n v="2"/>
  </r>
  <r>
    <n v="1486"/>
    <s v="RIVER ALAKNANDA A/C OF RIVER MANDAKINI AND_x000a_RIVER ALAKNANDA AT RUDRAPRAYAG"/>
    <x v="3"/>
    <n v="14"/>
    <n v="17"/>
    <n v="10.199999999999999"/>
    <n v="10.8"/>
    <n v="7.4"/>
    <n v="8.1999999999999993"/>
    <n v="58"/>
    <n v="122"/>
    <n v="1"/>
    <n v="1"/>
    <n v="0.32"/>
    <n v="0.33"/>
    <n v="2"/>
    <n v="2"/>
    <n v="2"/>
    <n v="4"/>
    <n v="2"/>
    <n v="2"/>
  </r>
  <r>
    <n v="1487"/>
    <s v="RIVER ALAKNANDA B/C TORIVER BHAGIRATHI AT_x000a_DEVPRAYAG,"/>
    <x v="3"/>
    <n v="15"/>
    <n v="19"/>
    <n v="10"/>
    <n v="10.6"/>
    <n v="7.8"/>
    <n v="8.3000000000000007"/>
    <n v="89"/>
    <n v="128"/>
    <n v="1"/>
    <n v="1"/>
    <n v="0.32"/>
    <n v="0.33"/>
    <n v="2"/>
    <n v="2"/>
    <n v="2"/>
    <n v="4"/>
    <n v="2"/>
    <n v="2"/>
  </r>
  <r>
    <n v="1488"/>
    <s v="RIVER BHAGIRATHI B/C TO RIVER ALAKNANDA AT_x000a_DEVPRAYAG,DIST-TEHRI GARHWAL"/>
    <x v="3"/>
    <n v="16"/>
    <n v="20"/>
    <n v="9.8000000000000007"/>
    <n v="10.8"/>
    <n v="7.8"/>
    <n v="8.1"/>
    <n v="76"/>
    <n v="117"/>
    <n v="1"/>
    <n v="1"/>
    <n v="0.32"/>
    <n v="0.36"/>
    <n v="2"/>
    <n v="2"/>
    <n v="2"/>
    <n v="2"/>
    <n v="2"/>
    <n v="2"/>
  </r>
  <r>
    <n v="1489"/>
    <s v="RIVER GANGA AFTER CONFLUENCE OF RIVER_x000a_BHAGIRATHI AND RIVER ALAKNANDA AT DEVPRAYAG_x000a_,DIST-TEFRI GARHWAL"/>
    <x v="3"/>
    <n v="15"/>
    <n v="20"/>
    <n v="10"/>
    <n v="10.8"/>
    <n v="7.5"/>
    <n v="8.1999999999999993"/>
    <n v="87"/>
    <n v="110"/>
    <n v="1"/>
    <n v="1"/>
    <n v="0.32"/>
    <n v="0.33"/>
    <n v="2"/>
    <n v="2"/>
    <n v="2"/>
    <n v="4"/>
    <n v="2"/>
    <n v="2"/>
  </r>
  <r>
    <n v="5776"/>
    <s v="RIVER GANGA AT SWARG ASHRAM ,RISHIKESH"/>
    <x v="3"/>
    <n v="13"/>
    <n v="24"/>
    <n v="9"/>
    <n v="10.6"/>
    <n v="7.2"/>
    <n v="8.4"/>
    <n v="84"/>
    <n v="265"/>
    <n v="1"/>
    <n v="1"/>
    <n v="0.32"/>
    <n v="0.43"/>
    <n v="31"/>
    <n v="48"/>
    <n v="39"/>
    <n v="49"/>
    <n v="2"/>
    <n v="2"/>
  </r>
  <r>
    <n v="1060"/>
    <s v="RIVER GANGA U/S AT LAXMANJHULA,RISHIKESH"/>
    <x v="3"/>
    <n v="12"/>
    <n v="23"/>
    <n v="9.6"/>
    <n v="11"/>
    <n v="7.1"/>
    <n v="8.3000000000000007"/>
    <n v="70"/>
    <n v="154"/>
    <n v="1"/>
    <n v="1"/>
    <n v="0"/>
    <n v="0.37"/>
    <n v="21"/>
    <n v="43"/>
    <n v="26"/>
    <n v="48"/>
    <n v="2"/>
    <n v="2"/>
  </r>
  <r>
    <n v="5777"/>
    <s v="RIVER GANGA NEAR VISTHAPHIT COLONY, RISHIKESH"/>
    <x v="3"/>
    <n v="14"/>
    <n v="28"/>
    <n v="8.1999999999999993"/>
    <n v="10.199999999999999"/>
    <n v="7"/>
    <n v="8.1999999999999993"/>
    <n v="90"/>
    <n v="431"/>
    <n v="1"/>
    <n v="1.7"/>
    <n v="0.32"/>
    <n v="0.48"/>
    <n v="27"/>
    <n v="84"/>
    <n v="34"/>
    <n v="94"/>
    <n v="2"/>
    <n v="26"/>
  </r>
  <r>
    <n v="10147"/>
    <s v="RIVER GANGA D/S AT BAIRAAJ,RISHIKESH"/>
    <x v="3"/>
    <n v="14"/>
    <n v="22"/>
    <n v="9.1999999999999993"/>
    <n v="10.8"/>
    <n v="7.1"/>
    <n v="8.5"/>
    <n v="67"/>
    <n v="141"/>
    <n v="1"/>
    <n v="1.2"/>
    <n v="0.32"/>
    <n v="0.39"/>
    <n v="2"/>
    <n v="43"/>
    <n v="2"/>
    <n v="49"/>
    <n v="2"/>
    <n v="2"/>
  </r>
  <r>
    <n v="2725"/>
    <s v="RIVER GANGA AFTER CONFLUENCE OF SONG NEAR_x000a_SATYANARAYAN TEMPLE D/S RAIWALA, DEHRADUN"/>
    <x v="3"/>
    <n v="13"/>
    <n v="29"/>
    <n v="8.1999999999999993"/>
    <n v="10"/>
    <n v="7.1"/>
    <n v="8.5"/>
    <n v="157"/>
    <n v="325"/>
    <n v="1.1000000000000001"/>
    <n v="1.7"/>
    <n v="0.32"/>
    <n v="0.38"/>
    <n v="33"/>
    <n v="63"/>
    <n v="58"/>
    <n v="94"/>
    <n v="2"/>
    <n v="6"/>
  </r>
  <r>
    <n v="10148"/>
    <s v="RIVER GANGA AT HAR-KI-PAURI GHAT"/>
    <x v="3"/>
    <n v="14.8"/>
    <n v="26.2"/>
    <n v="8"/>
    <n v="10.3"/>
    <n v="7.3"/>
    <n v="8.3000000000000007"/>
    <n v="166"/>
    <n v="351"/>
    <n v="1"/>
    <n v="2"/>
    <n v="0.32"/>
    <n v="1.65"/>
    <n v="21"/>
    <n v="79"/>
    <n v="63"/>
    <n v="170"/>
    <n v="9"/>
    <n v="43"/>
  </r>
  <r>
    <n v="3997"/>
    <s v="RIVER GANGA U/S AT ABINDUGHAT, DUDHIYABAD,_x000a_HARIDWAR"/>
    <x v="3"/>
    <n v="16.8"/>
    <n v="25.3"/>
    <n v="7.6"/>
    <n v="9.8000000000000007"/>
    <n v="7.3"/>
    <n v="8.3000000000000007"/>
    <n v="219"/>
    <n v="421"/>
    <n v="1.2"/>
    <n v="2.6"/>
    <n v="0.32"/>
    <n v="1.5"/>
    <n v="31"/>
    <n v="94"/>
    <n v="79"/>
    <n v="170"/>
    <n v="6"/>
    <n v="46"/>
  </r>
  <r>
    <n v="1061"/>
    <s v="RIVER GANGA D/S AT BALKUMARI MANDIR, AJEETPUR,_x000a_HARIDWAR"/>
    <x v="3"/>
    <n v="17.899999999999999"/>
    <n v="26.3"/>
    <n v="7.1"/>
    <n v="9.9"/>
    <n v="7.2"/>
    <n v="8.5"/>
    <n v="146"/>
    <n v="648"/>
    <n v="1"/>
    <n v="2.6"/>
    <n v="0.34"/>
    <n v="1.49"/>
    <n v="32"/>
    <n v="94"/>
    <n v="70"/>
    <n v="210"/>
    <n v="9"/>
    <n v="63"/>
  </r>
  <r>
    <n v="5778"/>
    <s v="RIVER GANGA NEAR BISHANPUR KUNDI, HARIDWAR"/>
    <x v="3"/>
    <n v="18.2"/>
    <n v="26.4"/>
    <n v="7.6"/>
    <n v="9.8000000000000007"/>
    <n v="7.2"/>
    <n v="8.4"/>
    <n v="178"/>
    <n v="3203"/>
    <n v="1"/>
    <n v="2.4"/>
    <n v="0.33"/>
    <n v="1.57"/>
    <n v="24"/>
    <n v="94"/>
    <n v="79"/>
    <n v="220"/>
    <n v="11"/>
    <n v="43"/>
  </r>
  <r>
    <n v="2727"/>
    <s v="UPPER GANGA CANAL D/S AT ROORKEE, HARIDWAR"/>
    <x v="3"/>
    <n v="14.7"/>
    <n v="27"/>
    <n v="7.4"/>
    <n v="9.6999999999999993"/>
    <n v="7.4"/>
    <n v="8.3000000000000007"/>
    <n v="219"/>
    <n v="435"/>
    <n v="1.2"/>
    <n v="2.4"/>
    <n v="0.32"/>
    <n v="1.85"/>
    <n v="21"/>
    <n v="94"/>
    <n v="79"/>
    <n v="170"/>
    <n v="10"/>
    <n v="63"/>
  </r>
  <r>
    <n v="30005"/>
    <s v="RIVER GANGA AT SULTANPUR (UTTARAKHAND)"/>
    <x v="3"/>
    <n v="21.5"/>
    <n v="30.7"/>
    <n v="7"/>
    <n v="8.6"/>
    <n v="7.3"/>
    <n v="8"/>
    <n v="165"/>
    <n v="273"/>
    <n v="1.2"/>
    <n v="2.7"/>
    <n v="0.32"/>
    <n v="0.41"/>
    <n v="2"/>
    <n v="490000"/>
    <n v="2000"/>
    <n v="1100000"/>
    <m/>
    <m/>
  </r>
  <r>
    <n v="30006"/>
    <s v="RIVER GANGA AT BIJNOR (U.P.)"/>
    <x v="4"/>
    <n v="16"/>
    <n v="16"/>
    <n v="7.2"/>
    <n v="8.5"/>
    <n v="7.6"/>
    <n v="8.1"/>
    <n v="180"/>
    <n v="289"/>
    <n v="1"/>
    <n v="2"/>
    <n v="0.32"/>
    <n v="0.72"/>
    <n v="330"/>
    <n v="93000"/>
    <n v="780"/>
    <n v="1400000"/>
    <n v="13"/>
    <n v="1300"/>
  </r>
  <r>
    <n v="10149"/>
    <s v="RIVER GANGA AT U/S BRIJ GHAT ,GHARMUKTESHWAR"/>
    <x v="4"/>
    <n v="12"/>
    <n v="30"/>
    <n v="8.5"/>
    <n v="12"/>
    <n v="7"/>
    <n v="7.6"/>
    <n v="170"/>
    <n v="252"/>
    <n v="1"/>
    <n v="2.6"/>
    <n v="0"/>
    <n v="0.49"/>
    <n v="170"/>
    <n v="920"/>
    <n v="350"/>
    <n v="1600"/>
    <n v="94"/>
    <n v="280"/>
  </r>
  <r>
    <n v="1062"/>
    <s v="RIVER GANGA AT D/S GARHMUKTESHWAR, U.P"/>
    <x v="4"/>
    <n v="12"/>
    <n v="30"/>
    <n v="8.1999999999999993"/>
    <n v="11.7"/>
    <n v="7.3"/>
    <n v="7.6"/>
    <n v="174"/>
    <n v="255"/>
    <n v="1"/>
    <n v="2.9"/>
    <n v="0.3"/>
    <n v="0.5"/>
    <n v="240"/>
    <n v="1300"/>
    <n v="540"/>
    <n v="2200"/>
    <n v="130"/>
    <n v="540"/>
  </r>
  <r>
    <n v="2488"/>
    <s v="RIVER GANGA U/S, ANOOPSHAHAR"/>
    <x v="4"/>
    <n v="16"/>
    <n v="32"/>
    <n v="7.1"/>
    <n v="11"/>
    <n v="7.1"/>
    <n v="7.3"/>
    <n v="94"/>
    <n v="198"/>
    <n v="1"/>
    <n v="2.7"/>
    <n v="0"/>
    <n v="0"/>
    <n v="170"/>
    <n v="920"/>
    <n v="350"/>
    <n v="1600"/>
    <m/>
    <m/>
  </r>
  <r>
    <n v="2489"/>
    <s v="RIVER GANGA D/S, ANOOPSHAHAR"/>
    <x v="4"/>
    <n v="16"/>
    <n v="31"/>
    <n v="7.2"/>
    <n v="10.6"/>
    <n v="7.1"/>
    <n v="7.4"/>
    <n v="101"/>
    <n v="179"/>
    <n v="1"/>
    <n v="2.6"/>
    <n v="0"/>
    <n v="0"/>
    <n v="170"/>
    <n v="1100"/>
    <n v="350"/>
    <n v="1700"/>
    <m/>
    <m/>
  </r>
  <r>
    <n v="1145"/>
    <s v="RIVER GANGA AT NARORA (BULANDSAHAR), U.P."/>
    <x v="4"/>
    <n v="17"/>
    <n v="32"/>
    <n v="7.3"/>
    <n v="10.4"/>
    <n v="7"/>
    <n v="7.4"/>
    <n v="106"/>
    <n v="177"/>
    <n v="1"/>
    <n v="2.8"/>
    <n v="0"/>
    <n v="0"/>
    <n v="170"/>
    <n v="930"/>
    <n v="350"/>
    <n v="1700"/>
    <m/>
    <m/>
  </r>
  <r>
    <n v="2490"/>
    <s v="RIVER GANGA AT KACHHLA GHAT, ALIGARH"/>
    <x v="4"/>
    <n v="18"/>
    <n v="38"/>
    <n v="8.4"/>
    <n v="10.9"/>
    <n v="7.4"/>
    <n v="7.7"/>
    <n v="143"/>
    <n v="16350"/>
    <n v="1.1000000000000001"/>
    <n v="1.6"/>
    <n v="0.3"/>
    <n v="4.2"/>
    <n v="2"/>
    <n v="480"/>
    <n v="260"/>
    <n v="630"/>
    <n v="2"/>
    <n v="350"/>
  </r>
  <r>
    <n v="10151"/>
    <s v="RIVER GANGA AT GHATIYAGHAT FARRUKABAD"/>
    <x v="4"/>
    <n v="14"/>
    <n v="31"/>
    <n v="6.5"/>
    <n v="10.9"/>
    <n v="8"/>
    <n v="8.5"/>
    <n v="181"/>
    <n v="346"/>
    <n v="2.6"/>
    <n v="3.7"/>
    <n v="0"/>
    <n v="0"/>
    <n v="1100"/>
    <n v="2600"/>
    <n v="1600"/>
    <n v="3300"/>
    <n v="2"/>
    <n v="2"/>
  </r>
  <r>
    <n v="1063"/>
    <s v="RIVER GANGA AT KANNAUJ U/S (NEAR MEHNDIGHAT_x000a_BRIDGE), U.P"/>
    <x v="4"/>
    <n v="14"/>
    <n v="30"/>
    <n v="6.1"/>
    <n v="10.9"/>
    <n v="8.1"/>
    <n v="8.6"/>
    <n v="199"/>
    <n v="366"/>
    <n v="3"/>
    <n v="3.9"/>
    <n v="0"/>
    <n v="0"/>
    <n v="900"/>
    <n v="2700"/>
    <n v="1600"/>
    <n v="4300"/>
    <n v="2"/>
    <n v="2"/>
  </r>
  <r>
    <n v="1066"/>
    <s v="RIVER GANGA AT DURJANPUR, KANNAUJ D/S, U.P"/>
    <x v="4"/>
    <n v="14"/>
    <n v="31"/>
    <n v="6.3"/>
    <n v="11.6"/>
    <n v="8"/>
    <n v="8.5"/>
    <n v="218"/>
    <n v="388"/>
    <n v="3.2"/>
    <n v="6.3"/>
    <n v="0"/>
    <n v="0"/>
    <n v="252"/>
    <n v="3400"/>
    <n v="2700"/>
    <n v="4900"/>
    <n v="2"/>
    <n v="2"/>
  </r>
  <r>
    <n v="5709"/>
    <s v="RIVER GANGAÂ NANAMAU GANGA BRIDGE, LUCKNOW_x000a_MOHAN-HASANGANJ- RASULABAD MARG, KARTI_x000a_AKBERPUR SENG"/>
    <x v="4"/>
    <n v="18"/>
    <n v="23"/>
    <n v="6.6"/>
    <n v="10.1"/>
    <n v="8.1"/>
    <n v="8.5"/>
    <n v="274"/>
    <n v="376"/>
    <n v="3"/>
    <n v="3.3"/>
    <n v="0"/>
    <n v="0"/>
    <n v="2300"/>
    <n v="2700"/>
    <n v="3100"/>
    <n v="4600"/>
    <m/>
    <m/>
  </r>
  <r>
    <n v="1146"/>
    <s v="RIVER GANGA AT BITHOOR (KANPUR), U.P."/>
    <x v="4"/>
    <n v="14"/>
    <n v="31"/>
    <n v="6.2"/>
    <n v="11.2"/>
    <n v="7.8"/>
    <n v="8.5"/>
    <n v="224"/>
    <n v="356"/>
    <n v="3"/>
    <n v="11.6"/>
    <n v="0"/>
    <n v="0"/>
    <n v="1700"/>
    <n v="2700"/>
    <n v="3100"/>
    <n v="4300"/>
    <n v="2"/>
    <n v="45"/>
  </r>
  <r>
    <n v="10154"/>
    <s v="RIVER GANGA AT BATHING GHAT (BHARAOGHAT)"/>
    <x v="4"/>
    <n v="14"/>
    <n v="31"/>
    <n v="6.1"/>
    <n v="10.8"/>
    <n v="7.8"/>
    <n v="8.5"/>
    <n v="226"/>
    <n v="441"/>
    <n v="3"/>
    <n v="4.3"/>
    <n v="0"/>
    <n v="0"/>
    <n v="2100"/>
    <n v="4900"/>
    <n v="3100"/>
    <n v="7900"/>
    <n v="2"/>
    <n v="78"/>
  </r>
  <r>
    <n v="1067"/>
    <s v="RIVER GANGA AT KANPUR U/S (SHUKLAGANJ U/S), U.P"/>
    <x v="4"/>
    <n v="14"/>
    <n v="31"/>
    <n v="6.1"/>
    <n v="11.1"/>
    <n v="7.5"/>
    <n v="8.6999999999999993"/>
    <n v="214"/>
    <n v="443"/>
    <n v="3"/>
    <n v="4.4000000000000004"/>
    <n v="0"/>
    <n v="0"/>
    <n v="2000"/>
    <n v="3100"/>
    <n v="3100"/>
    <n v="5000"/>
    <n v="2"/>
    <n v="20"/>
  </r>
  <r>
    <n v="10155"/>
    <s v="RIVER GANGA AT D/S (SHUKLAGANJ)"/>
    <x v="4"/>
    <n v="14"/>
    <n v="31"/>
    <n v="6"/>
    <n v="10.9"/>
    <n v="7.5"/>
    <n v="8.9"/>
    <n v="232"/>
    <n v="465"/>
    <n v="3.2"/>
    <n v="4.5999999999999996"/>
    <n v="0"/>
    <n v="0"/>
    <n v="2100"/>
    <n v="3400"/>
    <n v="3800"/>
    <n v="6300"/>
    <n v="2"/>
    <n v="20"/>
  </r>
  <r>
    <n v="10156"/>
    <s v="RIVER GANGA AT BATHING GHAT (GOLA GHAT)"/>
    <x v="4"/>
    <n v="14"/>
    <n v="31"/>
    <n v="5.9"/>
    <n v="10.6"/>
    <n v="7.8"/>
    <n v="8.8000000000000007"/>
    <n v="223"/>
    <n v="431"/>
    <n v="3.4"/>
    <n v="13.2"/>
    <n v="0"/>
    <n v="0"/>
    <n v="2200"/>
    <n v="4600"/>
    <n v="3100"/>
    <n v="7000"/>
    <n v="2"/>
    <n v="2"/>
  </r>
  <r>
    <n v="10157"/>
    <s v="RIVER GANGA AT BATHING GHAT (JAJMAU BRIDGE)"/>
    <x v="4"/>
    <n v="14"/>
    <n v="30"/>
    <n v="6"/>
    <n v="10.4"/>
    <n v="7.7"/>
    <n v="8.5"/>
    <n v="266"/>
    <n v="630"/>
    <n v="3.4"/>
    <n v="4.9000000000000004"/>
    <n v="0"/>
    <n v="0"/>
    <n v="2100"/>
    <n v="7900"/>
    <n v="3400"/>
    <n v="13000"/>
    <n v="20"/>
    <n v="20"/>
  </r>
  <r>
    <n v="1068"/>
    <s v="RIVER GANGA AT KANPUR D/S (JANA VILLAGE), U.P"/>
    <x v="4"/>
    <n v="14"/>
    <n v="31"/>
    <n v="5.6"/>
    <n v="10.199999999999999"/>
    <n v="7.4"/>
    <n v="8.6"/>
    <n v="269"/>
    <n v="645"/>
    <n v="3.7"/>
    <n v="14.8"/>
    <n v="0"/>
    <n v="0"/>
    <n v="4100"/>
    <n v="17000"/>
    <n v="7800"/>
    <n v="20000"/>
    <n v="2"/>
    <n v="2"/>
  </r>
  <r>
    <n v="5710"/>
    <s v="RIVER GANGA PURANA RAJAPUR, RAJAPUR, KANPUR"/>
    <x v="4"/>
    <n v="15"/>
    <n v="23"/>
    <n v="6.1"/>
    <n v="10.4"/>
    <n v="7.8"/>
    <n v="8.4"/>
    <n v="232"/>
    <n v="560"/>
    <n v="3.4"/>
    <n v="3.8"/>
    <n v="0"/>
    <n v="0"/>
    <n v="2300"/>
    <n v="4300"/>
    <n v="4100"/>
    <n v="7000"/>
    <m/>
    <m/>
  </r>
  <r>
    <n v="5711"/>
    <s v="RIVER GANGA A/C PANDU RIVER AT MADEVESHWAR_x000a_BABA TAMPLE DEOMAI AHT."/>
    <x v="4"/>
    <n v="26.9"/>
    <n v="29.8"/>
    <n v="7.5"/>
    <n v="8.6"/>
    <n v="7.8"/>
    <n v="8.3000000000000007"/>
    <n v="253"/>
    <n v="269"/>
    <n v="2.4"/>
    <n v="2.7"/>
    <n v="0.62"/>
    <n v="0.67"/>
    <n v="610"/>
    <n v="680"/>
    <n v="1500"/>
    <n v="2000"/>
    <m/>
    <m/>
  </r>
  <r>
    <n v="1147"/>
    <s v="RIVER GANGA AT DALMAU (RAI BAREILLY), U.P."/>
    <x v="4"/>
    <n v="21"/>
    <n v="26"/>
    <n v="3"/>
    <n v="10.5"/>
    <n v="7.7"/>
    <n v="8"/>
    <n v="268"/>
    <n v="377"/>
    <n v="2.5"/>
    <n v="3.9"/>
    <n v="0.78"/>
    <n v="0.98"/>
    <n v="1300"/>
    <n v="2400"/>
    <n v="2200"/>
    <n v="3900"/>
    <n v="8"/>
    <n v="22"/>
  </r>
  <r>
    <n v="2498"/>
    <s v="RIVER GANGA AT KALA KANKAR, RAEBARELI"/>
    <x v="4"/>
    <n v="21"/>
    <n v="26"/>
    <n v="0.3"/>
    <n v="10.6"/>
    <n v="7.8"/>
    <n v="8"/>
    <n v="265"/>
    <n v="373"/>
    <n v="2.4"/>
    <n v="3.8"/>
    <n v="0.76"/>
    <n v="0.88"/>
    <n v="1100"/>
    <n v="2300"/>
    <n v="2200"/>
    <n v="3400"/>
    <n v="7"/>
    <n v="22"/>
  </r>
  <r>
    <n v="2487"/>
    <s v="RIVER GANGA AT KADAGHAT, KAUSHAMABI"/>
    <x v="4"/>
    <n v="20.5"/>
    <n v="30.7"/>
    <n v="6.9"/>
    <n v="9.3000000000000007"/>
    <n v="7.7"/>
    <n v="8.4"/>
    <n v="246"/>
    <n v="286"/>
    <n v="2.6"/>
    <n v="2.9"/>
    <n v="0.64"/>
    <n v="0.74"/>
    <n v="400"/>
    <n v="680"/>
    <n v="1300"/>
    <n v="2000"/>
    <m/>
    <m/>
  </r>
  <r>
    <n v="5713"/>
    <s v="RIVER GANGA AT GANGA BRIDGE .NH19, DHEEMI"/>
    <x v="4"/>
    <n v="24"/>
    <n v="25"/>
    <n v="7.8"/>
    <n v="8.6"/>
    <n v="7.8"/>
    <n v="7.9"/>
    <n v="271"/>
    <n v="334"/>
    <n v="3.1"/>
    <n v="3.2"/>
    <n v="0.76"/>
    <n v="0.78"/>
    <n v="1700"/>
    <n v="2200"/>
    <n v="2700"/>
    <n v="3200"/>
    <n v="14"/>
    <n v="20"/>
  </r>
  <r>
    <n v="1046"/>
    <s v="RIVER GANGA AT PRAYAGRAJ (RASOOLABAD), U.P."/>
    <x v="4"/>
    <n v="20.399999999999999"/>
    <n v="30.8"/>
    <n v="7.2"/>
    <n v="9.1999999999999993"/>
    <n v="7.8"/>
    <n v="8.4"/>
    <n v="220"/>
    <n v="273"/>
    <n v="2.7"/>
    <n v="2.9"/>
    <n v="0.6"/>
    <n v="0.76"/>
    <n v="450"/>
    <n v="920"/>
    <n v="1700"/>
    <n v="2400"/>
    <m/>
    <m/>
  </r>
  <r>
    <n v="1049"/>
    <s v="RIVER GANGA AT PRAYAGRAJ D/S (SANGAM), U.P."/>
    <x v="4"/>
    <n v="20.399999999999999"/>
    <n v="30.8"/>
    <n v="7.1"/>
    <n v="9.1"/>
    <n v="7.8"/>
    <n v="8.4"/>
    <n v="258"/>
    <n v="292"/>
    <n v="2.6"/>
    <n v="3"/>
    <n v="0.53"/>
    <n v="0.73"/>
    <n v="680"/>
    <n v="930"/>
    <n v="2200"/>
    <n v="2700"/>
    <m/>
    <m/>
  </r>
  <r>
    <n v="5714"/>
    <s v="RIVER GANGA B/CÂ TAMSA RIVER AT PRACHIN_x000a_SHIVALAYA DUMDUMA GHAT"/>
    <x v="4"/>
    <n v="25.8"/>
    <n v="29.7"/>
    <n v="7.5"/>
    <n v="8.6999999999999993"/>
    <n v="7.7"/>
    <n v="8.1"/>
    <n v="260"/>
    <n v="284"/>
    <n v="2.5"/>
    <n v="2.9"/>
    <n v="0.56999999999999995"/>
    <n v="0.7"/>
    <n v="610"/>
    <n v="780"/>
    <n v="1500"/>
    <n v="2100"/>
    <m/>
    <m/>
  </r>
  <r>
    <n v="10158"/>
    <s v="RIVER GANGA A/C TAMSA RIVER, SIRSA, SON BARSA"/>
    <x v="4"/>
    <n v="20.5"/>
    <n v="30.7"/>
    <n v="7.2"/>
    <n v="8.9"/>
    <n v="7.4"/>
    <n v="8.4"/>
    <n v="260"/>
    <n v="297"/>
    <n v="2.6"/>
    <n v="3"/>
    <n v="0.61"/>
    <n v="0.72"/>
    <n v="610"/>
    <n v="920"/>
    <n v="1500"/>
    <n v="2500"/>
    <m/>
    <m/>
  </r>
  <r>
    <n v="2485"/>
    <s v="RIVER GANGA U/S, VINDHYACHAL, MIRZAPUR"/>
    <x v="4"/>
    <n v="22.5"/>
    <n v="31"/>
    <n v="7.3"/>
    <n v="9.4"/>
    <n v="7.9"/>
    <n v="8.4"/>
    <n v="324"/>
    <n v="542"/>
    <n v="2.2000000000000002"/>
    <n v="2.9"/>
    <n v="0.62"/>
    <n v="124"/>
    <n v="700"/>
    <n v="1300"/>
    <n v="1200"/>
    <n v="2000"/>
    <n v="380"/>
    <n v="700"/>
  </r>
  <r>
    <n v="2486"/>
    <s v="RIVER GANGA D/S, MIRZAPUR"/>
    <x v="4"/>
    <n v="22.5"/>
    <n v="31"/>
    <n v="6.6"/>
    <n v="8.5"/>
    <n v="7.6"/>
    <n v="8"/>
    <n v="332"/>
    <n v="552"/>
    <n v="3.3"/>
    <n v="4.5"/>
    <n v="0"/>
    <n v="1.96"/>
    <n v="7900"/>
    <n v="14000"/>
    <n v="13000"/>
    <n v="22000"/>
    <n v="3400"/>
    <n v="9400"/>
  </r>
  <r>
    <n v="10153"/>
    <s v="RIVER GANGA AT CHUNAR"/>
    <x v="4"/>
    <n v="23"/>
    <n v="31.5"/>
    <n v="7"/>
    <n v="9"/>
    <n v="7.7"/>
    <n v="8.1999999999999993"/>
    <n v="328"/>
    <n v="548"/>
    <n v="2.8"/>
    <n v="3.8"/>
    <n v="0.68"/>
    <n v="1.88"/>
    <n v="5800"/>
    <n v="11000"/>
    <n v="8400"/>
    <n v="17000"/>
    <n v="630"/>
    <n v="6300"/>
  </r>
  <r>
    <n v="1070"/>
    <s v="RIVER GANGA AT VARANASI U/S NEAR VISHWASUNDARI_x000a_BRIDGE B/C DRAINS( NAGWA NALA, SAMNE GHAT_x000a_NALA,NAKHHI NALA)"/>
    <x v="4"/>
    <n v="22.5"/>
    <n v="31"/>
    <n v="7.2"/>
    <n v="9.6"/>
    <n v="7.8"/>
    <n v="8.4"/>
    <n v="320"/>
    <n v="542"/>
    <n v="2.1"/>
    <n v="2.8"/>
    <n v="0.57999999999999996"/>
    <n v="1.56"/>
    <n v="680"/>
    <n v="1100"/>
    <n v="1100"/>
    <n v="2000"/>
    <n v="310"/>
    <n v="550"/>
  </r>
  <r>
    <n v="1071"/>
    <s v="RIVER GANGA AT VARANASI D/S , A/C RIVER VARUNA ,_x000a_U.P"/>
    <x v="4"/>
    <n v="22.5"/>
    <n v="31"/>
    <n v="6.7"/>
    <n v="8.5"/>
    <n v="7.6"/>
    <n v="8.1"/>
    <n v="332"/>
    <n v="550"/>
    <n v="3.3"/>
    <n v="4.5"/>
    <n v="0.72"/>
    <n v="2.25"/>
    <n v="7900"/>
    <n v="17000"/>
    <n v="14000"/>
    <n v="23000"/>
    <n v="4900"/>
    <n v="9200"/>
  </r>
  <r>
    <n v="5715"/>
    <s v="RIVER GANGAÂ B/C GOMTI RIVER AT BALUA GHAT_x000a_BRIDGE, VARANASI"/>
    <x v="4"/>
    <n v="27"/>
    <n v="29"/>
    <n v="7"/>
    <n v="7.8"/>
    <n v="7.7"/>
    <n v="8"/>
    <n v="328"/>
    <n v="540"/>
    <n v="3.2"/>
    <n v="4.2"/>
    <n v="0.68"/>
    <n v="1.86"/>
    <n v="6300"/>
    <n v="11000"/>
    <n v="9400"/>
    <n v="17000"/>
    <n v="4600"/>
    <n v="6300"/>
  </r>
  <r>
    <n v="10152"/>
    <s v="RIVER GANGA A/C GOMTI RIVER, BHUSAULA"/>
    <x v="4"/>
    <n v="23"/>
    <n v="33.5"/>
    <n v="7"/>
    <n v="8.8000000000000007"/>
    <n v="7.8"/>
    <n v="8.1999999999999993"/>
    <n v="324"/>
    <n v="546"/>
    <n v="2.8"/>
    <n v="3.8"/>
    <n v="0.65"/>
    <n v="1.98"/>
    <n v="4600"/>
    <n v="11000"/>
    <n v="8400"/>
    <n v="17000"/>
    <n v="4100"/>
    <n v="9800"/>
  </r>
  <r>
    <n v="5716"/>
    <s v="RIVER GANGAÂ ZAMANIA GANGA BRIDGE , ZAMANIZ,_x000a_UP"/>
    <x v="4"/>
    <n v="27"/>
    <n v="29"/>
    <n v="7.4"/>
    <n v="8.4"/>
    <n v="7.3"/>
    <n v="8.1999999999999993"/>
    <n v="320"/>
    <n v="536"/>
    <n v="2.8"/>
    <n v="3.6"/>
    <n v="0.6"/>
    <n v="1.76"/>
    <n v="4600"/>
    <n v="7000"/>
    <n v="6300"/>
    <n v="11000"/>
    <n v="2700"/>
    <n v="4900"/>
  </r>
  <r>
    <n v="1073"/>
    <s v="RIVER GANGA AT TARIGHAT (GHAZIPUR), U.P"/>
    <x v="4"/>
    <n v="23"/>
    <n v="31.5"/>
    <n v="6.5"/>
    <n v="8.1999999999999993"/>
    <n v="7.7"/>
    <n v="8"/>
    <n v="336"/>
    <n v="768"/>
    <n v="3.5"/>
    <n v="4.7"/>
    <n v="0.78"/>
    <n v="2.3199999999999998"/>
    <n v="9400"/>
    <n v="17000"/>
    <n v="15000"/>
    <n v="26000"/>
    <n v="6300"/>
    <n v="13000"/>
  </r>
  <r>
    <n v="10113"/>
    <s v="RIVER GANGA AT U/S JAIL GHAT, BUXAR"/>
    <x v="5"/>
    <n v="16"/>
    <n v="33"/>
    <n v="6.9"/>
    <n v="8.8000000000000007"/>
    <n v="7.2"/>
    <n v="8.1999999999999993"/>
    <n v="225"/>
    <n v="617"/>
    <n v="1"/>
    <n v="2.5"/>
    <n v="0.3"/>
    <n v="0.3"/>
    <n v="780"/>
    <n v="92000"/>
    <n v="2300"/>
    <n v="160000"/>
    <n v="2"/>
    <n v="490"/>
  </r>
  <r>
    <n v="1074"/>
    <s v="RIVER GANGA CHUSA AT BUXAR"/>
    <x v="5"/>
    <n v="17"/>
    <n v="32"/>
    <n v="7"/>
    <n v="9"/>
    <n v="7.1"/>
    <n v="8.3000000000000007"/>
    <n v="247"/>
    <n v="646"/>
    <n v="1"/>
    <n v="2.1"/>
    <n v="0.3"/>
    <n v="0.34"/>
    <n v="2200"/>
    <n v="54000"/>
    <n v="3300"/>
    <n v="92000"/>
    <n v="2"/>
    <n v="330"/>
  </r>
  <r>
    <n v="2551"/>
    <s v="RIVER GANGA AT BUXAR, RAMREKHAGHAT"/>
    <x v="5"/>
    <n v="16"/>
    <n v="33"/>
    <n v="6.7"/>
    <n v="8.5"/>
    <n v="7.3"/>
    <n v="8.4"/>
    <n v="243"/>
    <n v="635"/>
    <n v="1"/>
    <n v="2.6"/>
    <n v="0.3"/>
    <n v="0.3"/>
    <n v="1300"/>
    <n v="92000"/>
    <n v="2300"/>
    <n v="160000"/>
    <n v="2"/>
    <n v="1100"/>
  </r>
  <r>
    <n v="3113"/>
    <s v="RIVER GANGA AT D/S BUXAR NEAR VEER KUNWAR_x000a_SINGH ROAD BRIDGE"/>
    <x v="5"/>
    <n v="16"/>
    <n v="31"/>
    <n v="6.5"/>
    <n v="8.9"/>
    <n v="7.3"/>
    <n v="8.1999999999999993"/>
    <n v="249"/>
    <n v="610"/>
    <n v="1"/>
    <n v="2.6"/>
    <n v="0.3"/>
    <n v="0.33"/>
    <n v="1300"/>
    <n v="54000"/>
    <n v="2300"/>
    <n v="92000"/>
    <n v="2"/>
    <n v="220"/>
  </r>
  <r>
    <n v="10162"/>
    <s v="RIVER GANGA AT ARA- CHAPRA ROAD BRIDGE_x000a_(KOIILWAR BARHARA-CHAPRA ROAD)"/>
    <x v="5"/>
    <n v="17"/>
    <n v="32"/>
    <n v="7.3"/>
    <n v="8.9"/>
    <n v="7.2"/>
    <n v="8.3000000000000007"/>
    <n v="219"/>
    <n v="432"/>
    <n v="1"/>
    <n v="2.5"/>
    <n v="0.3"/>
    <n v="0.35"/>
    <n v="130"/>
    <n v="35000"/>
    <n v="230"/>
    <n v="54000"/>
    <n v="2"/>
    <n v="540"/>
  </r>
  <r>
    <n v="2564"/>
    <s v="RIVER GANGA AT THE BALUGHAT, DORIGANJ, SARAN"/>
    <x v="5"/>
    <n v="16"/>
    <n v="32"/>
    <n v="6.6"/>
    <n v="9"/>
    <n v="7.4"/>
    <n v="8.4"/>
    <n v="211"/>
    <n v="483"/>
    <n v="1"/>
    <n v="2.8"/>
    <n v="0.3"/>
    <n v="0.32"/>
    <n v="780"/>
    <n v="92000"/>
    <n v="2300"/>
    <n v="160000"/>
    <n v="2"/>
    <n v="1300"/>
  </r>
  <r>
    <n v="10114"/>
    <s v="RIVER GANGA AT MAA AMBIKA ASTHAN, AAMI, SARAN"/>
    <x v="5"/>
    <n v="15"/>
    <n v="32"/>
    <n v="6.9"/>
    <n v="8.8000000000000007"/>
    <n v="7.4"/>
    <n v="8"/>
    <n v="209"/>
    <n v="409"/>
    <n v="1.2"/>
    <n v="2.6"/>
    <n v="0.3"/>
    <n v="0.3"/>
    <n v="780"/>
    <n v="92000"/>
    <n v="2300"/>
    <n v="160000"/>
    <n v="2"/>
    <n v="790"/>
  </r>
  <r>
    <n v="3114"/>
    <s v="RIVER GANGA NEAR DANAPUR (NEAR PIPA PUL) ,PATNA"/>
    <x v="5"/>
    <n v="13"/>
    <n v="33"/>
    <n v="6.8"/>
    <n v="9.9"/>
    <n v="7.2"/>
    <n v="8.4"/>
    <n v="268"/>
    <n v="542"/>
    <n v="1"/>
    <n v="2.2000000000000002"/>
    <n v="0.3"/>
    <n v="0.34"/>
    <n v="1100"/>
    <n v="54000"/>
    <n v="1400"/>
    <n v="92000"/>
    <n v="2"/>
    <n v="490"/>
  </r>
  <r>
    <n v="1077"/>
    <s v="RIVER GANGA AT DIGHA, NEAR J P SETU, PATNA U/S"/>
    <x v="5"/>
    <n v="13"/>
    <n v="32"/>
    <n v="6.9"/>
    <n v="9.8000000000000007"/>
    <n v="7.2"/>
    <n v="8.4"/>
    <n v="251"/>
    <n v="417"/>
    <n v="1"/>
    <n v="2.2000000000000002"/>
    <n v="0.3"/>
    <n v="0.3"/>
    <n v="2300"/>
    <n v="92000"/>
    <n v="3300"/>
    <n v="160000"/>
    <n v="2"/>
    <n v="490"/>
  </r>
  <r>
    <n v="2552"/>
    <s v="RIVER GANGA AT GANDHIGHAT, NIT PATNA"/>
    <x v="5"/>
    <n v="13"/>
    <n v="32"/>
    <n v="6.1"/>
    <n v="9.5"/>
    <n v="7.1"/>
    <n v="8.3000000000000007"/>
    <n v="242"/>
    <n v="415"/>
    <n v="1"/>
    <n v="2.5"/>
    <n v="0.3"/>
    <n v="0.3"/>
    <n v="17000"/>
    <n v="92000"/>
    <n v="28000"/>
    <n v="160000"/>
    <n v="2"/>
    <n v="5400"/>
  </r>
  <r>
    <n v="10115"/>
    <s v="RIVER GANGA AT GULABI GHAT, PATNA"/>
    <x v="5"/>
    <n v="13"/>
    <n v="31"/>
    <n v="6.3"/>
    <n v="9"/>
    <n v="7.2"/>
    <n v="8.4"/>
    <n v="251"/>
    <n v="398"/>
    <n v="1.2"/>
    <n v="2.5"/>
    <n v="0.3"/>
    <n v="0.3"/>
    <n v="13000"/>
    <n v="92000"/>
    <n v="22000"/>
    <n v="160000"/>
    <n v="2"/>
    <n v="35000"/>
  </r>
  <r>
    <n v="1079"/>
    <s v="RIVER GANGA AT PATNA D/S (GANGA BRIDGE),_x000a_GAIGHAT, PATNA"/>
    <x v="5"/>
    <n v="13"/>
    <n v="33"/>
    <n v="6.1"/>
    <n v="9.4"/>
    <n v="7.22"/>
    <n v="8.3800000000000008"/>
    <n v="240"/>
    <n v="418"/>
    <n v="1.1000000000000001"/>
    <n v="2.6"/>
    <n v="0.3"/>
    <n v="0.32"/>
    <n v="2300"/>
    <n v="92000"/>
    <n v="3300"/>
    <n v="160000"/>
    <n v="2"/>
    <n v="2400"/>
  </r>
  <r>
    <n v="3122"/>
    <s v="RIVER GANGA AT MALSALAMI, PATNA CITY, PATNA"/>
    <x v="5"/>
    <n v="13"/>
    <n v="33"/>
    <n v="6.5"/>
    <n v="9.3000000000000007"/>
    <n v="7.2"/>
    <n v="8.3000000000000007"/>
    <n v="238"/>
    <n v="406"/>
    <n v="1"/>
    <n v="2.9"/>
    <n v="0.3"/>
    <n v="0.3"/>
    <n v="1300"/>
    <n v="92000"/>
    <n v="2300"/>
    <n v="160000"/>
    <n v="2"/>
    <n v="1300"/>
  </r>
  <r>
    <n v="4297"/>
    <s v="RIVER GANGA AT KACHCHI-DARGAH-BIDUPUR NEAR_x000a_ROAD BRIDGE, PATNA"/>
    <x v="5"/>
    <n v="13"/>
    <n v="32"/>
    <n v="6.3"/>
    <n v="9.5"/>
    <n v="7.1"/>
    <n v="8.4"/>
    <n v="240"/>
    <n v="410"/>
    <n v="1"/>
    <n v="2.2999999999999998"/>
    <n v="0.3"/>
    <n v="0.3"/>
    <n v="2300"/>
    <n v="54000"/>
    <n v="4600"/>
    <n v="92000"/>
    <n v="2"/>
    <n v="1300"/>
  </r>
  <r>
    <n v="10122"/>
    <s v="RIVER GANGA AT TRIVENI GHAT, PATNA"/>
    <x v="5"/>
    <n v="14"/>
    <n v="33"/>
    <n v="6.1"/>
    <n v="8.8000000000000007"/>
    <n v="7.2"/>
    <n v="8.4"/>
    <n v="232"/>
    <n v="417"/>
    <n v="1.2"/>
    <n v="2.6"/>
    <n v="0.3"/>
    <n v="0.3"/>
    <n v="2300"/>
    <n v="35000"/>
    <n v="3300"/>
    <n v="92000"/>
    <n v="2"/>
    <n v="490"/>
  </r>
  <r>
    <n v="2553"/>
    <s v="RIVER GANGA AT KEWALA GHAT,FATUHA, PATNA"/>
    <x v="5"/>
    <n v="14"/>
    <n v="33"/>
    <n v="6"/>
    <n v="8.5"/>
    <n v="7"/>
    <n v="8.3000000000000007"/>
    <n v="238"/>
    <n v="502"/>
    <n v="1.3"/>
    <n v="2.5"/>
    <n v="0.3"/>
    <n v="0.31"/>
    <n v="2300"/>
    <n v="92000"/>
    <n v="3300"/>
    <n v="160000"/>
    <n v="2"/>
    <n v="3500"/>
  </r>
  <r>
    <n v="4301"/>
    <s v="RIVER GANGA AT BAKHTIYARPUR-TAJPUR BRIDGE ON_x000a_GANGA, ATHMALGOLA, PATNA"/>
    <x v="5"/>
    <n v="15"/>
    <n v="31"/>
    <n v="7.2"/>
    <n v="9.4"/>
    <n v="7.4"/>
    <n v="8.1999999999999993"/>
    <n v="199"/>
    <n v="439"/>
    <n v="1"/>
    <n v="2.2999999999999998"/>
    <n v="0.3"/>
    <n v="0.3"/>
    <n v="130"/>
    <n v="54000"/>
    <n v="230"/>
    <n v="160000"/>
    <n v="2"/>
    <n v="110"/>
  </r>
  <r>
    <n v="3115"/>
    <s v="RIVER GANGA AT UMA NATH MANDIR,BARH"/>
    <x v="5"/>
    <n v="16"/>
    <n v="32"/>
    <n v="7.2"/>
    <n v="9.1"/>
    <n v="7.4"/>
    <n v="8.1999999999999993"/>
    <n v="188"/>
    <n v="436"/>
    <n v="1.1000000000000001"/>
    <n v="2.5"/>
    <n v="0.3"/>
    <n v="0.31"/>
    <n v="490"/>
    <n v="92000"/>
    <n v="790"/>
    <n v="160000"/>
    <n v="2"/>
    <n v="1300"/>
  </r>
  <r>
    <n v="10130"/>
    <s v="RIVER GANGA U/S OF M/S NTPC, BARH WATER INTAKE_x000a_POINT, BARH"/>
    <x v="5"/>
    <n v="16"/>
    <n v="32"/>
    <n v="7.3"/>
    <n v="9.5"/>
    <n v="7.3"/>
    <n v="8.1999999999999993"/>
    <n v="184"/>
    <n v="457"/>
    <n v="1"/>
    <n v="2.7"/>
    <n v="0.3"/>
    <n v="0.3"/>
    <n v="490"/>
    <n v="92000"/>
    <n v="700"/>
    <n v="160000"/>
    <n v="2"/>
    <n v="490"/>
  </r>
  <r>
    <n v="10131"/>
    <s v="RIVER GANGA D/S OF M/S NTPC, BARH WATER INTAKE_x000a_POINT,PATHANICHAK, BINDTOLA BARH"/>
    <x v="5"/>
    <n v="17"/>
    <n v="32"/>
    <n v="7"/>
    <n v="8.1999999999999993"/>
    <n v="7.4"/>
    <n v="8.1"/>
    <n v="179"/>
    <n v="380"/>
    <n v="1.5"/>
    <n v="2.2000000000000002"/>
    <n v="0.3"/>
    <n v="0.3"/>
    <n v="2300"/>
    <n v="17000"/>
    <n v="3300"/>
    <n v="22000"/>
    <n v="2"/>
    <n v="170"/>
  </r>
  <r>
    <n v="1817"/>
    <s v="RIVER GANGA AT MOKAMA (U/S), MAHADEO ASTHAN,_x000a_PATNA"/>
    <x v="5"/>
    <n v="16"/>
    <n v="33"/>
    <n v="7.2"/>
    <n v="9.5"/>
    <n v="7.2"/>
    <n v="8.4"/>
    <n v="190"/>
    <n v="435"/>
    <n v="1"/>
    <n v="2.8"/>
    <n v="0.3"/>
    <n v="0.3"/>
    <n v="2300"/>
    <n v="92000"/>
    <n v="3300"/>
    <n v="160000"/>
    <n v="2"/>
    <n v="330"/>
  </r>
  <r>
    <n v="1815"/>
    <s v="RIVER GANGA AT MOKAMA (D/S), NEAR RAJENDRA_x000a_BRIDGE , SIMIRIYA GHAT"/>
    <x v="5"/>
    <n v="12"/>
    <n v="34"/>
    <n v="7"/>
    <n v="9.9"/>
    <n v="7.1"/>
    <n v="8.3000000000000007"/>
    <n v="226"/>
    <n v="440"/>
    <n v="1"/>
    <n v="2.8"/>
    <n v="0.3"/>
    <n v="0.3"/>
    <n v="1700"/>
    <n v="92000"/>
    <n v="3300"/>
    <n v="160000"/>
    <n v="2"/>
    <n v="330"/>
  </r>
  <r>
    <n v="3123"/>
    <s v="RIVER GANGA AT BARAHIYA, NEPALITOLA, MARANCHI,_x000a_HATHIDAH AT MOKAMA, PATNA"/>
    <x v="5"/>
    <n v="15"/>
    <n v="33"/>
    <n v="6.9"/>
    <n v="9.4"/>
    <n v="7.2"/>
    <n v="8.3000000000000007"/>
    <n v="198"/>
    <n v="482"/>
    <n v="1"/>
    <n v="2.6"/>
    <n v="0.3"/>
    <n v="0.3"/>
    <n v="1300"/>
    <n v="92000"/>
    <n v="2300"/>
    <n v="160000"/>
    <n v="2"/>
    <n v="330"/>
  </r>
  <r>
    <n v="3116"/>
    <s v="RIVER GANGA AT U/S MUNGER KASHATHARNI GHAT"/>
    <x v="5"/>
    <n v="13"/>
    <n v="34"/>
    <n v="6.7"/>
    <n v="10"/>
    <n v="7.4"/>
    <n v="8.3000000000000007"/>
    <n v="229"/>
    <n v="413"/>
    <n v="1"/>
    <n v="3"/>
    <n v="0.3"/>
    <n v="0.3"/>
    <n v="3300"/>
    <n v="92000"/>
    <n v="7000"/>
    <n v="160000"/>
    <n v="2"/>
    <n v="1300"/>
  </r>
  <r>
    <n v="1818"/>
    <s v="RIVER GANGA AT MUNGER D/S, CREAMINATION GHAT"/>
    <x v="5"/>
    <n v="13"/>
    <n v="34"/>
    <n v="6.6"/>
    <n v="9.9"/>
    <n v="7.4"/>
    <n v="8.3000000000000007"/>
    <n v="227"/>
    <n v="433"/>
    <n v="1"/>
    <n v="2.7"/>
    <n v="0.3"/>
    <n v="0.3"/>
    <n v="2300"/>
    <n v="92000"/>
    <n v="3300"/>
    <n v="160000"/>
    <n v="2"/>
    <n v="1300"/>
  </r>
  <r>
    <n v="3117"/>
    <s v="RIVER GANGA AT U/S AJGABINATH MANDIR_x000a_SULTANGANJ, BHAGALPUR"/>
    <x v="5"/>
    <n v="14"/>
    <n v="38"/>
    <n v="6.7"/>
    <n v="9.8000000000000007"/>
    <n v="7.2"/>
    <n v="8.3000000000000007"/>
    <n v="225"/>
    <n v="440"/>
    <n v="1"/>
    <n v="2.5"/>
    <n v="0.3"/>
    <n v="0.3"/>
    <n v="1300"/>
    <n v="92000"/>
    <n v="2300"/>
    <n v="160000"/>
    <n v="2"/>
    <n v="790"/>
  </r>
  <r>
    <n v="2554"/>
    <s v="RIVER GANGA D/S CREMINATION GHAT AT_x000a_SULTANGANJ, BHAGALPUR"/>
    <x v="5"/>
    <n v="14"/>
    <n v="37"/>
    <n v="6.3"/>
    <n v="9.6"/>
    <n v="7.3"/>
    <n v="8.3000000000000007"/>
    <n v="222"/>
    <n v="414"/>
    <n v="1"/>
    <n v="2.4"/>
    <n v="0.3"/>
    <n v="0.31"/>
    <n v="2300"/>
    <n v="92000"/>
    <n v="3300"/>
    <n v="160000"/>
    <n v="2"/>
    <n v="1300"/>
  </r>
  <r>
    <n v="10138"/>
    <s v="RIVER GANGA AT CHAMPANAGAR, RASIDPUR,_x000a_BHAGALPUR"/>
    <x v="5"/>
    <n v="15"/>
    <n v="30"/>
    <n v="6.4"/>
    <n v="10"/>
    <n v="7.2"/>
    <n v="8.1999999999999993"/>
    <n v="187"/>
    <n v="479"/>
    <n v="1"/>
    <n v="2.1"/>
    <n v="0.3"/>
    <n v="0.3"/>
    <n v="2300"/>
    <n v="92000"/>
    <n v="3300"/>
    <n v="160000"/>
    <n v="2"/>
    <n v="3500"/>
  </r>
  <r>
    <n v="1819"/>
    <s v="RIVER GANGA AT BHAGALPUR, OPP. KUPPA GHAT"/>
    <x v="5"/>
    <n v="10"/>
    <n v="33"/>
    <n v="6.3"/>
    <n v="9"/>
    <n v="7.2"/>
    <n v="8.3000000000000007"/>
    <n v="219"/>
    <n v="463"/>
    <n v="1"/>
    <n v="2.9"/>
    <n v="0.3"/>
    <n v="0.33"/>
    <n v="1300"/>
    <n v="54000"/>
    <n v="2300"/>
    <n v="92000"/>
    <n v="2"/>
    <n v="230"/>
  </r>
  <r>
    <n v="4398"/>
    <s v="RIVER GANGA AT WATER INTAKE POINT, BHAGALPUR"/>
    <x v="5"/>
    <n v="12"/>
    <n v="29"/>
    <n v="5.5"/>
    <n v="9.6999999999999993"/>
    <n v="7.2"/>
    <n v="8.1"/>
    <n v="212"/>
    <n v="1240"/>
    <n v="1"/>
    <n v="2.7"/>
    <n v="0.3"/>
    <n v="0.31"/>
    <n v="450"/>
    <n v="54000"/>
    <n v="1300"/>
    <n v="92000"/>
    <n v="2"/>
    <n v="1700"/>
  </r>
  <r>
    <n v="3118"/>
    <s v="RIVER GANGA AT D/S BHAGALPUR NEAR BARARIGHAT"/>
    <x v="5"/>
    <n v="12"/>
    <n v="29"/>
    <n v="5.9"/>
    <n v="12.1"/>
    <n v="7.2"/>
    <n v="8.1999999999999993"/>
    <n v="211"/>
    <n v="522"/>
    <n v="1.1000000000000001"/>
    <n v="5.5"/>
    <n v="0.3"/>
    <n v="0.39"/>
    <n v="1300"/>
    <n v="92000"/>
    <n v="2300"/>
    <n v="160000"/>
    <n v="2"/>
    <n v="3500"/>
  </r>
  <r>
    <n v="1816"/>
    <s v="RIVER GANGA, JHAJGHAT AT KAHALGAON"/>
    <x v="5"/>
    <n v="16"/>
    <n v="34"/>
    <n v="6.5"/>
    <n v="9.1999999999999993"/>
    <n v="7"/>
    <n v="8.3000000000000007"/>
    <n v="214"/>
    <n v="434"/>
    <n v="1"/>
    <n v="2.6"/>
    <n v="0.3"/>
    <n v="0.3"/>
    <n v="1300"/>
    <n v="92000"/>
    <n v="2300"/>
    <n v="160000"/>
    <n v="2"/>
    <n v="920"/>
  </r>
  <r>
    <n v="10143"/>
    <s v="RIVER GANGA D/S NEAR CREMATION GHAT, KHALGOAN"/>
    <x v="5"/>
    <n v="16"/>
    <n v="34"/>
    <n v="6.7"/>
    <n v="9.1"/>
    <n v="7.4"/>
    <n v="8.3000000000000007"/>
    <n v="218"/>
    <n v="441"/>
    <n v="1"/>
    <n v="2.5"/>
    <n v="0.3"/>
    <n v="0.3"/>
    <n v="2300"/>
    <n v="92000"/>
    <n v="3300"/>
    <n v="160000"/>
    <n v="2"/>
    <n v="490"/>
  </r>
  <r>
    <n v="30076"/>
    <s v="RIVER GANGA AT MANJHIGHAT DIST. CHHAPRA(BIHAR)"/>
    <x v="5"/>
    <n v="22"/>
    <n v="28.2"/>
    <n v="7.9"/>
    <n v="8.4"/>
    <n v="7.8"/>
    <n v="8.5"/>
    <n v="296"/>
    <n v="700"/>
    <n v="2.1"/>
    <n v="5.8"/>
    <n v="0.32"/>
    <n v="0.69"/>
    <n v="200"/>
    <n v="13000"/>
    <n v="450"/>
    <n v="3500000"/>
    <m/>
    <m/>
  </r>
  <r>
    <n v="10144"/>
    <s v="RIVER GANGA U/S NEAR LCT GHAT"/>
    <x v="6"/>
    <n v="16"/>
    <n v="39"/>
    <n v="7"/>
    <n v="7.5"/>
    <n v="7.4"/>
    <n v="7.8"/>
    <n v="94"/>
    <n v="236"/>
    <n v="1.1000000000000001"/>
    <n v="1.3"/>
    <n v="0"/>
    <n v="0"/>
    <m/>
    <m/>
    <m/>
    <m/>
    <m/>
    <m/>
  </r>
  <r>
    <n v="10145"/>
    <s v="RIVER GANGA D/S NEAR JANTA GHAT"/>
    <x v="6"/>
    <n v="15"/>
    <n v="38"/>
    <n v="7.1"/>
    <n v="7.5"/>
    <n v="7.5"/>
    <n v="7.7"/>
    <n v="98"/>
    <n v="258"/>
    <n v="1.1000000000000001"/>
    <n v="1.4"/>
    <n v="0"/>
    <n v="0"/>
    <m/>
    <m/>
    <m/>
    <m/>
    <m/>
    <m/>
  </r>
  <r>
    <n v="1059"/>
    <s v="RIVER GANGA AT RAJMAHAL, BIHAR"/>
    <x v="6"/>
    <n v="15"/>
    <n v="38"/>
    <n v="6.7"/>
    <n v="7.3"/>
    <n v="7.3"/>
    <n v="7.7"/>
    <n v="102"/>
    <n v="159"/>
    <n v="1.1000000000000001"/>
    <n v="1.4"/>
    <n v="0"/>
    <n v="0"/>
    <m/>
    <m/>
    <m/>
    <m/>
    <m/>
    <m/>
  </r>
  <r>
    <n v="10146"/>
    <s v="RIVER GANGA AT SANGI DALAN"/>
    <x v="6"/>
    <n v="16"/>
    <n v="37"/>
    <n v="6.9"/>
    <n v="7.4"/>
    <n v="7.4"/>
    <n v="7.8"/>
    <n v="102"/>
    <n v="245"/>
    <n v="1.1000000000000001"/>
    <n v="1.3"/>
    <n v="0"/>
    <n v="0"/>
    <m/>
    <m/>
    <m/>
    <m/>
    <m/>
    <m/>
  </r>
  <r>
    <n v="5162"/>
    <s v="RIVER GANGA AT FARAKKA, MUSHIDABAD"/>
    <x v="7"/>
    <n v="17"/>
    <n v="35"/>
    <n v="5.5"/>
    <n v="9.8000000000000007"/>
    <n v="6.7"/>
    <n v="9"/>
    <n v="223"/>
    <n v="436"/>
    <n v="1.3"/>
    <n v="2.9"/>
    <n v="0.32"/>
    <n v="0.96"/>
    <n v="130"/>
    <n v="1700"/>
    <n v="220"/>
    <n v="5400"/>
    <n v="23"/>
    <n v="79"/>
  </r>
  <r>
    <n v="10160"/>
    <s v="RIVER GANGA AT BEHRAMPORE, (GORA_x000a_BAZAR),MURSHIDABAD"/>
    <x v="7"/>
    <n v="16"/>
    <n v="36"/>
    <n v="6.4"/>
    <n v="9.5"/>
    <n v="6.8"/>
    <n v="8.6999999999999993"/>
    <n v="227"/>
    <n v="429"/>
    <n v="1.4"/>
    <n v="2.9"/>
    <n v="0.32"/>
    <n v="0.71"/>
    <n v="790"/>
    <n v="17000"/>
    <n v="3300"/>
    <n v="24000"/>
    <n v="110"/>
    <n v="790"/>
  </r>
  <r>
    <n v="1080"/>
    <s v="RIVER GANGA AT BAHARAMPORE, MURSHIDABAD,_x000a_WEST BENGAL"/>
    <x v="7"/>
    <n v="16"/>
    <n v="36"/>
    <n v="5.9"/>
    <n v="9.9"/>
    <n v="6.7"/>
    <n v="9"/>
    <n v="219"/>
    <n v="439"/>
    <n v="1.3"/>
    <n v="2.8"/>
    <n v="0.32"/>
    <n v="0.89"/>
    <n v="1700"/>
    <n v="24000"/>
    <n v="3300"/>
    <n v="49000"/>
    <n v="130"/>
    <n v="1300"/>
  </r>
  <r>
    <n v="10159"/>
    <s v="RIVER GANGA AT BEHRAMPORE(KHAGRA),_x000a_MURSHIDABAD"/>
    <x v="7"/>
    <n v="16"/>
    <n v="36"/>
    <n v="6"/>
    <n v="9.8000000000000007"/>
    <n v="6.8"/>
    <n v="8.4"/>
    <n v="229"/>
    <n v="424"/>
    <n v="1.4"/>
    <n v="2.9"/>
    <n v="0.32"/>
    <n v="0.57999999999999996"/>
    <n v="130"/>
    <n v="3500"/>
    <n v="790"/>
    <n v="9200"/>
    <n v="23"/>
    <n v="170"/>
  </r>
  <r>
    <n v="2511"/>
    <s v="RIVER NABADIP ON GANGA, GHOSHPARA NEAR_x000a_MONIPURGHAT,NADIA"/>
    <x v="7"/>
    <n v="16"/>
    <n v="36"/>
    <n v="5.4"/>
    <n v="9.4"/>
    <n v="7"/>
    <n v="8.6"/>
    <n v="246"/>
    <n v="468"/>
    <n v="1"/>
    <n v="2.9"/>
    <n v="0.32"/>
    <n v="1.2"/>
    <n v="210"/>
    <n v="3500"/>
    <n v="1100"/>
    <n v="11000"/>
    <n v="49"/>
    <n v="240"/>
  </r>
  <r>
    <n v="2506"/>
    <s v="RIVER TRIBENI ON GANGA, NEAR BURNING GHAT,_x000a_HOOGHLY"/>
    <x v="7"/>
    <n v="15"/>
    <n v="36"/>
    <n v="5.0999999999999996"/>
    <n v="9.6999999999999993"/>
    <n v="6.7"/>
    <n v="8.5"/>
    <n v="224"/>
    <n v="427"/>
    <n v="1"/>
    <n v="3"/>
    <n v="0.32"/>
    <n v="0.62"/>
    <n v="240"/>
    <n v="5400"/>
    <n v="1100"/>
    <n v="14000"/>
    <n v="23"/>
    <n v="790"/>
  </r>
  <r>
    <n v="1054"/>
    <s v="RIVER GANGA AT PALTA WEST BENGAL"/>
    <x v="7"/>
    <n v="15"/>
    <n v="36"/>
    <n v="5.2"/>
    <n v="9.9"/>
    <n v="7.1"/>
    <n v="8.4"/>
    <n v="232"/>
    <n v="444"/>
    <n v="1.4"/>
    <n v="2.9"/>
    <n v="0.32"/>
    <n v="0.83"/>
    <n v="3500"/>
    <n v="49000"/>
    <n v="13000"/>
    <n v="79000"/>
    <n v="330"/>
    <n v="1400"/>
  </r>
  <r>
    <n v="10161"/>
    <s v="RIVER GANGA AT PALTA, SHITALTALA,"/>
    <x v="7"/>
    <n v="14"/>
    <n v="36"/>
    <n v="5.0999999999999996"/>
    <n v="9.6"/>
    <n v="7.1"/>
    <n v="8.6999999999999993"/>
    <n v="240"/>
    <n v="484"/>
    <n v="1.4"/>
    <n v="2.9"/>
    <n v="0.32"/>
    <n v="0.73"/>
    <n v="1700"/>
    <n v="49000"/>
    <n v="6300"/>
    <n v="110000"/>
    <n v="130"/>
    <n v="1400"/>
  </r>
  <r>
    <n v="1472"/>
    <s v="RIVER GANGA AT SERAMPORE, HOOGHLY,WEST_x000a_BENGAL"/>
    <x v="7"/>
    <n v="16"/>
    <n v="36"/>
    <n v="5.3"/>
    <n v="9.6999999999999993"/>
    <n v="7.1"/>
    <n v="8.4"/>
    <n v="268"/>
    <n v="4223"/>
    <n v="1.4"/>
    <n v="2.9"/>
    <n v="0.32"/>
    <n v="0.99"/>
    <n v="5400"/>
    <n v="54000"/>
    <n v="14000"/>
    <n v="79000"/>
    <n v="330"/>
    <n v="9400"/>
  </r>
  <r>
    <n v="1053"/>
    <s v="RIVER GANGA AT DAKSHMINESHWAR, KOLKATA, WEST_x000a_BENGAL"/>
    <x v="7"/>
    <n v="18"/>
    <n v="35"/>
    <n v="5"/>
    <n v="7.5"/>
    <n v="6.9"/>
    <n v="8.1"/>
    <n v="230"/>
    <n v="451"/>
    <n v="2.4"/>
    <n v="3.3"/>
    <n v="0.32"/>
    <n v="1.33"/>
    <n v="23000"/>
    <n v="84000"/>
    <n v="79000"/>
    <n v="170000"/>
    <n v="260"/>
    <n v="540"/>
  </r>
  <r>
    <n v="1471"/>
    <s v="RIVER GANGA AT HOWRAH-SHIVPUR WEST BENGAL"/>
    <x v="7"/>
    <n v="20"/>
    <n v="34"/>
    <n v="5"/>
    <n v="7.8"/>
    <n v="6.8"/>
    <n v="7.9"/>
    <n v="222"/>
    <n v="483"/>
    <n v="2.4"/>
    <n v="3.6"/>
    <n v="0.35"/>
    <n v="1.56"/>
    <n v="31000"/>
    <n v="79000"/>
    <n v="70000"/>
    <n v="140000"/>
    <n v="170"/>
    <n v="490"/>
  </r>
  <r>
    <n v="1470"/>
    <s v="RIVER GANGA AT GARDEN REACH, KOLKATA, WEST_x000a_BENGAL"/>
    <x v="7"/>
    <n v="20"/>
    <n v="36"/>
    <n v="5"/>
    <n v="7.8"/>
    <n v="6.9"/>
    <n v="8"/>
    <n v="243"/>
    <n v="469"/>
    <n v="2"/>
    <n v="3.9"/>
    <n v="0.33"/>
    <n v="1.84"/>
    <n v="33000"/>
    <n v="94000"/>
    <n v="70000"/>
    <n v="170000"/>
    <n v="210"/>
    <n v="580"/>
  </r>
  <r>
    <n v="1052"/>
    <s v="RIVER GANGA AT ULUBERIA , HOWRAH,WEST BENGAL"/>
    <x v="7"/>
    <n v="23"/>
    <n v="35"/>
    <n v="5"/>
    <n v="6.8"/>
    <n v="6.8"/>
    <n v="8"/>
    <n v="254"/>
    <n v="1224"/>
    <n v="2.2999999999999998"/>
    <n v="3.1"/>
    <n v="0.53"/>
    <n v="1.75"/>
    <n v="17000"/>
    <n v="34000"/>
    <n v="27000"/>
    <n v="49000"/>
    <n v="110"/>
    <n v="330"/>
  </r>
  <r>
    <n v="1469"/>
    <s v="RIVER GANGA AT DIAMOND HARBOUR, 24 PARGANAS_x000a_(S)WEST BENGAL"/>
    <x v="7"/>
    <n v="21"/>
    <n v="37"/>
    <n v="5.2"/>
    <n v="6.9"/>
    <n v="6.8"/>
    <n v="8.1999999999999993"/>
    <n v="508"/>
    <n v="10296"/>
    <n v="2.1"/>
    <n v="3.2"/>
    <n v="0.61"/>
    <n v="1.85"/>
    <n v="1300"/>
    <n v="7800"/>
    <n v="2200"/>
    <n v="11000"/>
    <n v="11"/>
    <n v="110"/>
  </r>
  <r>
    <n v="1335"/>
    <s v="RIVER GANGA AT PATIKALI NEAR DURGA CHAK WEST_x000a_BENGAL"/>
    <x v="7"/>
    <n v="22"/>
    <n v="34"/>
    <n v="5.4"/>
    <n v="7.5"/>
    <n v="7.8"/>
    <n v="8.5"/>
    <n v="705"/>
    <n v="17930"/>
    <n v="1"/>
    <n v="2.6"/>
    <n v="0.32"/>
    <n v="1.87"/>
    <n v="3600"/>
    <n v="7900"/>
    <n v="7900"/>
    <n v="14000"/>
    <n v="170"/>
    <n v="320"/>
  </r>
  <r>
    <n v="1492"/>
    <s v="RIVER YAMUNA AT YAMUNOTRI"/>
    <x v="3"/>
    <n v="4"/>
    <n v="4"/>
    <n v="11.2"/>
    <n v="11.2"/>
    <n v="7.8"/>
    <n v="7.8"/>
    <n v="31"/>
    <n v="31"/>
    <n v="1"/>
    <n v="1"/>
    <n v="0.32"/>
    <n v="0.32"/>
    <n v="2"/>
    <n v="2"/>
    <n v="2"/>
    <n v="2"/>
    <n v="2"/>
    <n v="2"/>
  </r>
  <r>
    <n v="1493"/>
    <s v="RIVER YAMUNA AT HANUMANCHATTI"/>
    <x v="3"/>
    <n v="10"/>
    <n v="10"/>
    <n v="10.8"/>
    <n v="10.8"/>
    <n v="7.6"/>
    <n v="7.6"/>
    <n v="56"/>
    <n v="56"/>
    <n v="1"/>
    <n v="1"/>
    <n v="0.33"/>
    <n v="0.33"/>
    <n v="2"/>
    <n v="2"/>
    <n v="2"/>
    <n v="2"/>
    <n v="2"/>
    <n v="2"/>
  </r>
  <r>
    <n v="1494"/>
    <s v="RIVER YAMUNA AT U/S OF LAKHWAR DAM"/>
    <x v="3"/>
    <n v="9"/>
    <n v="21"/>
    <n v="9.4"/>
    <n v="10.8"/>
    <n v="7.7"/>
    <n v="8.4"/>
    <n v="105"/>
    <n v="214"/>
    <n v="1"/>
    <n v="1"/>
    <n v="0.32"/>
    <n v="0.6"/>
    <n v="2"/>
    <n v="2"/>
    <n v="2"/>
    <n v="2"/>
    <n v="2"/>
    <n v="2"/>
  </r>
  <r>
    <n v="30025"/>
    <s v="RIVER YAMUNA AT DAK PATHER (UTTARAKHAND)"/>
    <x v="3"/>
    <n v="17"/>
    <n v="21"/>
    <n v="9.4"/>
    <n v="10.8"/>
    <n v="8.1999999999999993"/>
    <n v="8.4"/>
    <n v="128"/>
    <n v="286"/>
    <n v="1"/>
    <n v="9"/>
    <n v="0.32"/>
    <n v="0.47"/>
    <n v="2"/>
    <n v="4000"/>
    <n v="13"/>
    <n v="17000"/>
    <n v="2"/>
    <n v="230"/>
  </r>
  <r>
    <n v="1490"/>
    <s v="RIVER YAMUNA AT U/S DAKPATHER, DEHRADUN"/>
    <x v="3"/>
    <n v="10"/>
    <n v="22"/>
    <n v="9.1999999999999993"/>
    <n v="10.6"/>
    <n v="7"/>
    <n v="8.1"/>
    <n v="72"/>
    <n v="186"/>
    <n v="1"/>
    <n v="1"/>
    <n v="0.32"/>
    <n v="0.37"/>
    <n v="41"/>
    <n v="84"/>
    <n v="70"/>
    <n v="94"/>
    <n v="6"/>
    <n v="14"/>
  </r>
  <r>
    <n v="30027"/>
    <s v="RIVER YAMUNA AT PONTA SAHIB (H.P)"/>
    <x v="0"/>
    <n v="20"/>
    <n v="24.3"/>
    <n v="9"/>
    <n v="10.5"/>
    <n v="8"/>
    <n v="8.4"/>
    <n v="134"/>
    <n v="518"/>
    <n v="1"/>
    <n v="9"/>
    <n v="0.49"/>
    <n v="1.32"/>
    <n v="7"/>
    <n v="7800"/>
    <n v="170"/>
    <n v="33000"/>
    <n v="4"/>
    <n v="2400"/>
  </r>
  <r>
    <n v="1553"/>
    <s v="RIVER YAMUNA U/S PAONTA SAHIB"/>
    <x v="0"/>
    <n v="16"/>
    <n v="23"/>
    <n v="6.3"/>
    <n v="8.4"/>
    <n v="7"/>
    <n v="8.4"/>
    <n v="264"/>
    <n v="702"/>
    <n v="1"/>
    <n v="2.5"/>
    <n v="0.54"/>
    <n v="0.9"/>
    <n v="2"/>
    <n v="94"/>
    <n v="49"/>
    <n v="220"/>
    <n v="2"/>
    <n v="2"/>
  </r>
  <r>
    <n v="1554"/>
    <s v="RIVER YAMUNA D/S PAONTA SAHIB"/>
    <x v="0"/>
    <n v="16"/>
    <n v="22"/>
    <n v="6.3"/>
    <n v="8.4"/>
    <n v="7.7"/>
    <n v="8.3000000000000007"/>
    <n v="243"/>
    <n v="666"/>
    <n v="1.6"/>
    <n v="3.6"/>
    <n v="0.54"/>
    <n v="0.9"/>
    <n v="2"/>
    <n v="220"/>
    <n v="94"/>
    <n v="540"/>
    <n v="2"/>
    <n v="2"/>
  </r>
  <r>
    <n v="4439"/>
    <s v="RIVER YAMUNA U/S SUN PHARMACEUTICALS"/>
    <x v="0"/>
    <n v="15"/>
    <n v="23"/>
    <n v="6.4"/>
    <n v="8.5"/>
    <n v="7.4"/>
    <n v="8.3000000000000007"/>
    <n v="257"/>
    <n v="587"/>
    <n v="1.3"/>
    <n v="2.9"/>
    <n v="0.54"/>
    <n v="0.92"/>
    <n v="40"/>
    <n v="240"/>
    <n v="170"/>
    <n v="350"/>
    <n v="2"/>
    <n v="2"/>
  </r>
  <r>
    <n v="4440"/>
    <s v="RIVER YAMUNA D/S SUN PHARMACEUTICALS"/>
    <x v="0"/>
    <n v="16"/>
    <n v="24"/>
    <n v="6.4"/>
    <n v="8.4"/>
    <n v="7.7"/>
    <n v="8.4"/>
    <n v="301"/>
    <n v="550"/>
    <n v="1.2"/>
    <n v="3.5"/>
    <n v="0"/>
    <n v="0.92"/>
    <n v="46"/>
    <n v="350"/>
    <n v="280"/>
    <n v="920"/>
    <n v="2"/>
    <n v="2"/>
  </r>
  <r>
    <n v="30028"/>
    <s v="RIVER YAMUNA AT BURIYA U/S JAGADHARI, MANDOLI,_x000a_HARYANA"/>
    <x v="8"/>
    <n v="17.5"/>
    <n v="27.5"/>
    <n v="7.9"/>
    <n v="8.8000000000000007"/>
    <n v="8"/>
    <n v="8.4"/>
    <n v="211"/>
    <n v="358"/>
    <n v="1"/>
    <n v="15"/>
    <n v="0.53"/>
    <n v="0.89"/>
    <n v="110"/>
    <n v="4900"/>
    <n v="790"/>
    <n v="92000"/>
    <n v="2"/>
    <n v="490"/>
  </r>
  <r>
    <n v="30035"/>
    <s v="RIVER YAMUNA AT HATHNIKUND"/>
    <x v="8"/>
    <n v="14"/>
    <n v="20"/>
    <n v="7.6"/>
    <n v="9.8000000000000007"/>
    <n v="7.8"/>
    <n v="8.3000000000000007"/>
    <n v="208"/>
    <n v="390"/>
    <n v="1"/>
    <n v="6"/>
    <n v="0.79"/>
    <n v="1.07"/>
    <n v="14"/>
    <n v="1300"/>
    <n v="79"/>
    <n v="13000"/>
    <n v="5"/>
    <n v="330"/>
  </r>
  <r>
    <n v="10006"/>
    <s v="RIVER YAMUNA AT PALLA"/>
    <x v="9"/>
    <n v="16"/>
    <n v="16"/>
    <n v="11.2"/>
    <n v="11.2"/>
    <n v="7.5"/>
    <n v="7.5"/>
    <n v="1172"/>
    <n v="1172"/>
    <n v="13"/>
    <n v="13"/>
    <n v="2"/>
    <n v="2"/>
    <n v="1400"/>
    <n v="1400"/>
    <n v="2200"/>
    <n v="2200"/>
    <n v="33"/>
    <n v="33"/>
  </r>
  <r>
    <n v="30031"/>
    <s v="RIVER YAMUNA AT HASANPUR"/>
    <x v="8"/>
    <n v="16"/>
    <n v="30"/>
    <n v="0.3"/>
    <n v="6"/>
    <n v="7.6"/>
    <n v="8.6999999999999993"/>
    <n v="1034"/>
    <n v="1358"/>
    <n v="11"/>
    <n v="36"/>
    <n v="0.32"/>
    <n v="0.67"/>
    <n v="1700"/>
    <n v="490000"/>
    <n v="6300"/>
    <n v="790000"/>
    <n v="330"/>
    <n v="130000"/>
  </r>
  <r>
    <n v="30024"/>
    <s v="RIVER YAMUNA AT MOHENA PALWAL ROAD, HARYANA"/>
    <x v="8"/>
    <n v="15"/>
    <n v="28"/>
    <n v="0.3"/>
    <n v="1.7"/>
    <n v="7.5"/>
    <n v="8.1999999999999993"/>
    <n v="1101"/>
    <n v="1385"/>
    <n v="12"/>
    <n v="55"/>
    <n v="0.37"/>
    <n v="3.8"/>
    <n v="130000"/>
    <n v="1700000"/>
    <n v="130000"/>
    <n v="9400000"/>
    <n v="17000"/>
    <n v="130000"/>
  </r>
  <r>
    <n v="2493"/>
    <s v="RIVER YAMUNA AT SHAHPUR"/>
    <x v="4"/>
    <n v="12"/>
    <n v="28"/>
    <n v="4.2"/>
    <n v="7.2"/>
    <n v="7.6"/>
    <n v="8.1"/>
    <n v="692"/>
    <n v="734"/>
    <n v="9.1999999999999993"/>
    <n v="15.6"/>
    <n v="0"/>
    <n v="0"/>
    <n v="23000"/>
    <n v="49000"/>
    <n v="58000"/>
    <n v="110000"/>
    <m/>
    <m/>
  </r>
  <r>
    <n v="2495"/>
    <s v="RIVER YAMUNA AT KESIGHAT, VRINDAVAN"/>
    <x v="4"/>
    <n v="11"/>
    <n v="28"/>
    <n v="4"/>
    <n v="7.4"/>
    <n v="7.6"/>
    <n v="8.1999999999999993"/>
    <n v="614"/>
    <n v="642"/>
    <n v="7.6"/>
    <n v="11.6"/>
    <n v="0"/>
    <n v="0"/>
    <n v="22000"/>
    <n v="33000"/>
    <n v="49000"/>
    <n v="94000"/>
    <m/>
    <m/>
  </r>
  <r>
    <n v="1123"/>
    <s v="RIVER YAMUNA AT MATHURA U/S ,NEAR GAUGHAT U.P."/>
    <x v="4"/>
    <n v="11"/>
    <n v="28"/>
    <n v="4.5999999999999996"/>
    <n v="6.6"/>
    <n v="7.6"/>
    <n v="8.1999999999999993"/>
    <n v="543"/>
    <n v="628"/>
    <n v="7.8"/>
    <n v="12.2"/>
    <n v="0"/>
    <n v="0"/>
    <n v="12000"/>
    <n v="33000"/>
    <n v="39000"/>
    <n v="94000"/>
    <m/>
    <m/>
  </r>
  <r>
    <n v="2494"/>
    <s v="RIVER YAMUNA AT VISHRAMGHAT, MATHURA"/>
    <x v="4"/>
    <n v="11"/>
    <n v="28"/>
    <n v="4.2"/>
    <n v="6.8"/>
    <n v="7.6"/>
    <n v="8.1999999999999993"/>
    <n v="572"/>
    <n v="652"/>
    <n v="8"/>
    <n v="13.2"/>
    <n v="0"/>
    <n v="0"/>
    <n v="14000"/>
    <n v="33000"/>
    <n v="41000"/>
    <n v="120000"/>
    <m/>
    <m/>
  </r>
  <r>
    <n v="1124"/>
    <s v="RIVER YAMUNA AT MATHURA D/S , NEAR SHAMSHAN_x000a_GHAT U.P."/>
    <x v="4"/>
    <n v="11"/>
    <n v="28"/>
    <n v="4"/>
    <n v="6.4"/>
    <n v="7.8"/>
    <n v="8.1999999999999993"/>
    <n v="618"/>
    <n v="668"/>
    <n v="8.8000000000000007"/>
    <n v="14"/>
    <n v="0"/>
    <n v="0"/>
    <n v="572"/>
    <n v="38000"/>
    <n v="640"/>
    <n v="150000"/>
    <m/>
    <m/>
  </r>
  <r>
    <n v="1125"/>
    <s v="RIVER YAMUNA AT AGRA U/S, U.P.(KAILASH GHAT)"/>
    <x v="4"/>
    <n v="24"/>
    <n v="28"/>
    <n v="7"/>
    <n v="8"/>
    <n v="7.5"/>
    <n v="7.8"/>
    <n v="406"/>
    <n v="1800"/>
    <n v="6.4"/>
    <n v="14.4"/>
    <n v="0"/>
    <n v="0"/>
    <n v="4000"/>
    <n v="7000"/>
    <n v="7800"/>
    <n v="11000"/>
    <m/>
    <m/>
  </r>
  <r>
    <n v="1126"/>
    <s v="RIVER YAMUNA AT D/S OF AGRA, U.P."/>
    <x v="4"/>
    <n v="24"/>
    <n v="28"/>
    <n v="6.6"/>
    <n v="7"/>
    <n v="6.7"/>
    <n v="7.5"/>
    <n v="512"/>
    <n v="2045"/>
    <n v="7.2"/>
    <n v="15.6"/>
    <n v="0"/>
    <n v="0"/>
    <n v="6800"/>
    <n v="17000"/>
    <n v="11000"/>
    <n v="33000"/>
    <m/>
    <m/>
  </r>
  <r>
    <n v="1498"/>
    <s v="RIVER YAMUNA AT BATESWAR, U.P"/>
    <x v="4"/>
    <n v="23"/>
    <n v="28"/>
    <n v="6"/>
    <n v="7.2"/>
    <n v="7.4"/>
    <n v="7.8"/>
    <n v="1022"/>
    <n v="2512"/>
    <n v="8"/>
    <n v="9.6"/>
    <n v="0"/>
    <n v="0"/>
    <n v="6800"/>
    <n v="17000"/>
    <n v="9300"/>
    <n v="25000"/>
    <m/>
    <m/>
  </r>
  <r>
    <n v="10081"/>
    <s v="RIVER YAMUNA AT ETAWAH D/S"/>
    <x v="4"/>
    <n v="16.8"/>
    <n v="36.799999999999997"/>
    <n v="5.0999999999999996"/>
    <n v="7.1"/>
    <n v="7.5"/>
    <n v="7.9"/>
    <n v="487"/>
    <n v="2438"/>
    <n v="8.4"/>
    <n v="22"/>
    <n v="0"/>
    <n v="0"/>
    <n v="7000"/>
    <n v="46000"/>
    <n v="21000"/>
    <n v="160000"/>
    <m/>
    <m/>
  </r>
  <r>
    <n v="10082"/>
    <s v="RIVER YAMUNA AT UDI"/>
    <x v="4"/>
    <n v="17.100000000000001"/>
    <n v="36.4"/>
    <n v="4.9000000000000004"/>
    <n v="6.5"/>
    <n v="7.4"/>
    <n v="7.8"/>
    <n v="434"/>
    <n v="2418"/>
    <n v="7.2"/>
    <n v="18.8"/>
    <n v="0"/>
    <n v="0"/>
    <n v="4900"/>
    <n v="40000"/>
    <n v="14000"/>
    <n v="94000"/>
    <m/>
    <m/>
  </r>
  <r>
    <n v="1127"/>
    <s v="RIVER YAMUNA AT ETAWAH, U.P."/>
    <x v="4"/>
    <n v="17.2"/>
    <n v="36.6"/>
    <n v="5.2"/>
    <n v="6"/>
    <n v="7.5"/>
    <n v="8"/>
    <n v="460"/>
    <n v="2722"/>
    <n v="7.6"/>
    <n v="18"/>
    <n v="0"/>
    <n v="0"/>
    <n v="5800"/>
    <n v="43000"/>
    <n v="17000"/>
    <n v="94000"/>
    <m/>
    <m/>
  </r>
  <r>
    <n v="1499"/>
    <s v="RIVER YAMUNA AT JUHIKA B/C WITH CHANBAL,_x000a_ETAWAH, U.P"/>
    <x v="4"/>
    <n v="18.600000000000001"/>
    <n v="37.9"/>
    <n v="6.2"/>
    <n v="7.4"/>
    <n v="7.5"/>
    <n v="7.8"/>
    <n v="407"/>
    <n v="2532"/>
    <n v="6.4"/>
    <n v="16"/>
    <n v="0"/>
    <n v="0"/>
    <n v="4100"/>
    <n v="27000"/>
    <n v="13000"/>
    <n v="70000"/>
    <m/>
    <m/>
  </r>
  <r>
    <n v="30034"/>
    <s v="RIVER YAMUNA AT ETAWAH"/>
    <x v="4"/>
    <n v="18"/>
    <n v="32"/>
    <n v="6.2"/>
    <n v="9.3000000000000007"/>
    <n v="7.2"/>
    <n v="8.8000000000000007"/>
    <n v="602"/>
    <n v="1633"/>
    <n v="3.9"/>
    <n v="15.7"/>
    <n v="3.09"/>
    <n v="21.93"/>
    <n v="2"/>
    <n v="79000"/>
    <n v="4500"/>
    <n v="240000"/>
    <m/>
    <m/>
  </r>
  <r>
    <n v="30033"/>
    <s v="RIVER YAMUNA A/C OF CHAMBAL AT SHERGARH,_x000a_JUHIKA (U.P)"/>
    <x v="4"/>
    <n v="18"/>
    <n v="31"/>
    <n v="7.1"/>
    <n v="9"/>
    <n v="7.3"/>
    <n v="8.9"/>
    <n v="447"/>
    <n v="1091"/>
    <n v="2.1"/>
    <n v="8.1"/>
    <n v="0.32"/>
    <n v="5.89"/>
    <n v="2"/>
    <n v="33000"/>
    <n v="2"/>
    <n v="490000"/>
    <n v="2"/>
    <n v="2"/>
  </r>
  <r>
    <n v="2283"/>
    <s v="RIVER YAMUNA AT HAMIRPUR"/>
    <x v="4"/>
    <n v="17"/>
    <n v="28"/>
    <n v="4.9000000000000004"/>
    <n v="7.1"/>
    <n v="7.4"/>
    <n v="7.8"/>
    <n v="659"/>
    <n v="848"/>
    <n v="2.6"/>
    <n v="5.2"/>
    <n v="0"/>
    <n v="0"/>
    <n v="9300"/>
    <n v="23000"/>
    <n v="17000"/>
    <n v="79000"/>
    <m/>
    <m/>
  </r>
  <r>
    <n v="1069"/>
    <s v="RIVER YAMUNA AT PRAYAGRAJ D/S (BALUA GHAT),_x000a_U.P."/>
    <x v="4"/>
    <n v="20.7"/>
    <n v="30.7"/>
    <n v="6.8"/>
    <n v="8.4"/>
    <n v="7.7"/>
    <n v="8.3000000000000007"/>
    <n v="318"/>
    <n v="397"/>
    <n v="2.5"/>
    <n v="2.7"/>
    <n v="0.55000000000000004"/>
    <n v="0.68"/>
    <n v="400"/>
    <n v="680"/>
    <n v="1400"/>
    <n v="1700"/>
    <m/>
    <m/>
  </r>
  <r>
    <n v="1510"/>
    <s v="RIVER TONS AT TIUNI (HIMACHAL PRADESH/UTTRA_x000a_KHAND BORDER)"/>
    <x v="0"/>
    <n v="6.8"/>
    <n v="10.6"/>
    <n v="7.9"/>
    <n v="9.3000000000000007"/>
    <n v="7.3"/>
    <n v="7.9"/>
    <n v="35"/>
    <n v="105"/>
    <n v="1"/>
    <n v="1"/>
    <n v="0.32"/>
    <n v="1.31"/>
    <n v="2"/>
    <n v="20"/>
    <n v="7"/>
    <n v="920"/>
    <n v="2"/>
    <n v="2"/>
  </r>
  <r>
    <n v="30023"/>
    <s v="RIVER TONS AT HARIPUR (U.K.)"/>
    <x v="3"/>
    <n v="16.5"/>
    <n v="24"/>
    <n v="9.4"/>
    <n v="10.4"/>
    <n v="8.1999999999999993"/>
    <n v="8.5"/>
    <n v="121"/>
    <n v="318"/>
    <n v="1"/>
    <n v="13"/>
    <n v="0.32"/>
    <n v="0.44"/>
    <n v="2"/>
    <n v="7900"/>
    <n v="17"/>
    <n v="13000"/>
    <n v="2"/>
    <n v="1300"/>
  </r>
  <r>
    <n v="4027"/>
    <s v="RIVER GIRI D/S RAJGARH TOWN"/>
    <x v="0"/>
    <n v="18"/>
    <n v="25"/>
    <n v="7.8"/>
    <n v="8.4"/>
    <n v="7.6"/>
    <n v="8.4"/>
    <n v="292"/>
    <n v="421"/>
    <n v="1.2"/>
    <n v="2.1"/>
    <n v="0.66"/>
    <n v="0.89"/>
    <n v="22"/>
    <n v="110"/>
    <n v="130"/>
    <n v="280"/>
    <n v="2"/>
    <n v="2"/>
  </r>
  <r>
    <n v="4028"/>
    <s v="RIVER GIRI D/S KALGIDHAR TRUST, BARU SAHIB"/>
    <x v="0"/>
    <n v="18"/>
    <n v="25"/>
    <n v="7.7"/>
    <n v="8.1999999999999993"/>
    <n v="7.6"/>
    <n v="8.4"/>
    <n v="296"/>
    <n v="421"/>
    <n v="1.1000000000000001"/>
    <n v="2.2000000000000002"/>
    <n v="0.59"/>
    <n v="0.9"/>
    <n v="26"/>
    <n v="130"/>
    <n v="130"/>
    <n v="350"/>
    <n v="2"/>
    <n v="2"/>
  </r>
  <r>
    <n v="2621"/>
    <s v="RIVER GIRI AT D/S YASHWANT NAGAR AFTER CONF._x000a_WITH ASHWANI KHAD AT YASHWANT NAGAR- NEAR_x000a_SHANI MANDIR"/>
    <x v="0"/>
    <n v="6"/>
    <n v="8"/>
    <n v="6.7"/>
    <n v="8.8000000000000007"/>
    <n v="7.7"/>
    <n v="8.4"/>
    <n v="216"/>
    <n v="366"/>
    <n v="1"/>
    <n v="1"/>
    <n v="1.78"/>
    <n v="6.64"/>
    <n v="2"/>
    <n v="8"/>
    <n v="21"/>
    <n v="140"/>
    <n v="2"/>
    <n v="2"/>
  </r>
  <r>
    <n v="3876"/>
    <s v="RIVER GIRI AFTER CONFLUENCE OF ASHWANI RIVER AT_x000a_VILLAGE MARYOG"/>
    <x v="0"/>
    <n v="6"/>
    <n v="18"/>
    <n v="7.6"/>
    <n v="9.3000000000000007"/>
    <n v="7.5"/>
    <n v="8.3000000000000007"/>
    <n v="208"/>
    <n v="446"/>
    <n v="1"/>
    <n v="1"/>
    <n v="0.32"/>
    <n v="5.25"/>
    <n v="2"/>
    <n v="11"/>
    <n v="12"/>
    <n v="220"/>
    <n v="2"/>
    <n v="2"/>
  </r>
  <r>
    <n v="2622"/>
    <s v="RIVER GIRI AT U/S CCI MINES AT VILLAGE NADI"/>
    <x v="0"/>
    <n v="18"/>
    <n v="25"/>
    <n v="6.5"/>
    <n v="8.6"/>
    <n v="7.3"/>
    <n v="8.1999999999999993"/>
    <n v="348"/>
    <n v="927"/>
    <n v="1"/>
    <n v="2.6"/>
    <n v="0.47"/>
    <n v="0.97"/>
    <n v="13"/>
    <n v="70"/>
    <n v="33"/>
    <n v="280"/>
    <n v="2"/>
    <n v="2"/>
  </r>
  <r>
    <n v="2623"/>
    <s v="RIVER GIRI D/S SATAUN"/>
    <x v="0"/>
    <n v="17"/>
    <n v="25"/>
    <n v="6.5"/>
    <n v="8.5"/>
    <n v="7.9"/>
    <n v="8.3000000000000007"/>
    <n v="346"/>
    <n v="889"/>
    <n v="1.1000000000000001"/>
    <n v="3.2"/>
    <n v="0"/>
    <n v="3.14"/>
    <n v="33"/>
    <n v="130"/>
    <n v="110"/>
    <n v="350"/>
    <n v="2"/>
    <n v="2"/>
  </r>
  <r>
    <n v="3877"/>
    <s v="RIVER GIRI U/S LWSS AT SAINJ"/>
    <x v="0"/>
    <n v="8"/>
    <n v="12.1"/>
    <n v="7.2"/>
    <n v="8"/>
    <n v="7.2"/>
    <n v="8.1"/>
    <n v="76"/>
    <n v="282"/>
    <n v="1"/>
    <n v="1"/>
    <n v="0.65"/>
    <n v="2.2200000000000002"/>
    <n v="4"/>
    <n v="110"/>
    <n v="39"/>
    <n v="280"/>
    <n v="2"/>
    <n v="2"/>
  </r>
  <r>
    <n v="3878"/>
    <s v="RIVER GIRI D/S LWSS AT SAINJ"/>
    <x v="0"/>
    <n v="8"/>
    <n v="12.2"/>
    <n v="7.2"/>
    <n v="8.1"/>
    <n v="7.2"/>
    <n v="8.1"/>
    <n v="72"/>
    <n v="288"/>
    <n v="1"/>
    <n v="1"/>
    <n v="0.63"/>
    <n v="2.1800000000000002"/>
    <n v="7"/>
    <n v="70"/>
    <n v="27"/>
    <n v="1600"/>
    <n v="2"/>
    <n v="2"/>
  </r>
  <r>
    <n v="3860"/>
    <s v="RIVER GIRI D/S CEMENT CORPORATION OF INDIA,_x000a_RAJBAN AT BANGRAN BRIDGE"/>
    <x v="0"/>
    <n v="17"/>
    <n v="24"/>
    <n v="6.4"/>
    <n v="8.6999999999999993"/>
    <n v="7.3"/>
    <n v="8.1999999999999993"/>
    <n v="390"/>
    <n v="899"/>
    <n v="1"/>
    <n v="2.8"/>
    <n v="0.49"/>
    <n v="0.79"/>
    <n v="21"/>
    <n v="70"/>
    <n v="70"/>
    <n v="280"/>
    <n v="2"/>
    <n v="2"/>
  </r>
  <r>
    <n v="4427"/>
    <s v="RIVER GIRI U/S CHAILLA"/>
    <x v="0"/>
    <n v="8"/>
    <n v="11.4"/>
    <n v="7.4"/>
    <n v="8.3000000000000007"/>
    <n v="7.2"/>
    <n v="8.1"/>
    <n v="69"/>
    <n v="250"/>
    <n v="1"/>
    <n v="1"/>
    <n v="0.62"/>
    <n v="2.3199999999999998"/>
    <n v="4"/>
    <n v="26"/>
    <n v="17"/>
    <n v="220"/>
    <n v="2"/>
    <n v="2"/>
  </r>
  <r>
    <n v="4441"/>
    <s v="RIVER GIRI U/S PROPOSED SITE OF SRI RENUKAJI DAM_x000a_SITE."/>
    <x v="0"/>
    <n v="15"/>
    <n v="25"/>
    <n v="7.6"/>
    <n v="8.1"/>
    <n v="7.6"/>
    <n v="8.3000000000000007"/>
    <n v="318"/>
    <n v="443"/>
    <n v="1"/>
    <n v="2.2999999999999998"/>
    <n v="0.59"/>
    <n v="0.89"/>
    <n v="26"/>
    <n v="70"/>
    <n v="130"/>
    <n v="280"/>
    <n v="2"/>
    <n v="2"/>
  </r>
  <r>
    <n v="4442"/>
    <s v="RIVER GIRI D/S PROPOSED SITE OF SRI RENUKAJI DAM_x000a_SITE NEAR BRIDGE AT DADAHU- RENUKAJI"/>
    <x v="0"/>
    <n v="15"/>
    <n v="25"/>
    <n v="7.6"/>
    <n v="8.1999999999999993"/>
    <n v="7"/>
    <n v="8.4"/>
    <n v="303"/>
    <n v="449"/>
    <n v="1.2"/>
    <n v="2.5"/>
    <n v="0.61"/>
    <n v="0.86"/>
    <n v="27"/>
    <n v="94"/>
    <n v="170"/>
    <n v="350"/>
    <n v="2"/>
    <n v="2"/>
  </r>
  <r>
    <n v="4473"/>
    <s v="RIVER GIRI D/S PROPOSED SITE OF RENUKA DAM"/>
    <x v="0"/>
    <n v="17"/>
    <n v="24"/>
    <n v="7.1"/>
    <n v="8"/>
    <n v="7.8"/>
    <n v="8.4"/>
    <n v="302"/>
    <n v="4563"/>
    <n v="1.1000000000000001"/>
    <n v="2.6"/>
    <n v="0.6"/>
    <n v="0.9"/>
    <n v="32"/>
    <n v="140"/>
    <n v="170"/>
    <n v="350"/>
    <n v="2"/>
    <n v="2"/>
  </r>
  <r>
    <n v="5292"/>
    <s v="RIVER GIRI AT NIHARI, KOTKHAL"/>
    <x v="0"/>
    <n v="6.1"/>
    <n v="10.3"/>
    <n v="7.3"/>
    <n v="9"/>
    <n v="7.2"/>
    <n v="8"/>
    <n v="71"/>
    <n v="264"/>
    <n v="1"/>
    <n v="1"/>
    <n v="0.83"/>
    <n v="2.08"/>
    <n v="2"/>
    <n v="220"/>
    <n v="9"/>
    <n v="1600"/>
    <n v="2"/>
    <n v="2"/>
  </r>
  <r>
    <n v="5764"/>
    <s v="RIVER GIRI B/C WITH ASHWANI KHAD U/S OF WSS_x000a_YASHWANT NAGAR"/>
    <x v="0"/>
    <n v="6"/>
    <n v="8"/>
    <n v="6.7"/>
    <n v="9.5"/>
    <n v="7.6"/>
    <n v="8.3000000000000007"/>
    <n v="210"/>
    <n v="476"/>
    <n v="1"/>
    <n v="1.2"/>
    <n v="1.65"/>
    <n v="5.16"/>
    <n v="2"/>
    <n v="25"/>
    <n v="24"/>
    <n v="540"/>
    <n v="2"/>
    <n v="2"/>
  </r>
  <r>
    <n v="2617"/>
    <s v="RIVER PABBAR AT U/S DHAMBARI"/>
    <x v="0"/>
    <n v="5.8"/>
    <n v="8"/>
    <n v="8"/>
    <n v="9.1999999999999993"/>
    <n v="7.2"/>
    <n v="8"/>
    <n v="42"/>
    <n v="145"/>
    <n v="1"/>
    <n v="1"/>
    <n v="0.33"/>
    <n v="3.86"/>
    <n v="2"/>
    <n v="17"/>
    <n v="9"/>
    <n v="280"/>
    <n v="2"/>
    <n v="2"/>
  </r>
  <r>
    <n v="2618"/>
    <s v="RIVER PABBAR AT U/S ROHRU"/>
    <x v="0"/>
    <n v="5.9"/>
    <n v="10"/>
    <n v="7.9"/>
    <n v="9.1"/>
    <n v="7.2"/>
    <n v="8.3000000000000007"/>
    <n v="49"/>
    <n v="110"/>
    <n v="1"/>
    <n v="1"/>
    <n v="0.34"/>
    <n v="1.26"/>
    <n v="2"/>
    <n v="27"/>
    <n v="5"/>
    <n v="350"/>
    <n v="2"/>
    <n v="2"/>
  </r>
  <r>
    <n v="2619"/>
    <s v="RIVER PABBAR D/S SWARAKUDDU"/>
    <x v="0"/>
    <n v="6.3"/>
    <n v="10"/>
    <n v="7.7"/>
    <n v="8.9"/>
    <n v="7"/>
    <n v="8.4"/>
    <n v="37"/>
    <n v="132"/>
    <n v="1"/>
    <n v="1"/>
    <n v="0.32"/>
    <n v="1.36"/>
    <n v="7"/>
    <n v="47"/>
    <n v="26"/>
    <n v="350"/>
    <n v="2"/>
    <n v="2"/>
  </r>
  <r>
    <n v="4039"/>
    <s v="RIVER PABBAR U/S HATKOTI"/>
    <x v="0"/>
    <n v="6"/>
    <n v="10"/>
    <n v="7.2"/>
    <n v="8.6999999999999993"/>
    <n v="7.2"/>
    <n v="8.1999999999999993"/>
    <n v="34"/>
    <n v="109"/>
    <n v="1"/>
    <n v="1"/>
    <n v="0.32"/>
    <n v="1.31"/>
    <n v="2"/>
    <n v="220"/>
    <n v="11"/>
    <n v="920"/>
    <n v="2"/>
    <n v="4"/>
  </r>
  <r>
    <n v="5488"/>
    <s v="RIVER PABBAR AT HATKOTI RESERVOIR"/>
    <x v="0"/>
    <n v="8"/>
    <n v="9"/>
    <n v="6.2"/>
    <n v="7.2"/>
    <n v="7.1"/>
    <n v="7.8"/>
    <n v="35"/>
    <n v="105"/>
    <n v="1"/>
    <n v="1"/>
    <n v="0.41"/>
    <n v="1.42"/>
    <n v="2"/>
    <n v="21"/>
    <n v="2"/>
    <n v="170"/>
    <n v="2"/>
    <n v="2"/>
  </r>
  <r>
    <n v="5767"/>
    <s v="RIVER ANDHRA B/C TO RIVER PABBAR AT CHIRGAON"/>
    <x v="0"/>
    <n v="6"/>
    <n v="10.4"/>
    <n v="7.6"/>
    <n v="8.6999999999999993"/>
    <n v="7"/>
    <n v="8.4"/>
    <n v="42"/>
    <n v="136"/>
    <n v="1"/>
    <n v="1"/>
    <n v="0.32"/>
    <n v="0.66"/>
    <n v="2"/>
    <n v="20"/>
    <n v="2"/>
    <n v="280"/>
    <n v="2"/>
    <n v="2"/>
  </r>
  <r>
    <n v="2620"/>
    <s v="ASHWANI KHAD U/S OF YASHWANT NAGAR BEFORE_x000a_CONF. WITH RIVER GIRI AT YASHWANT NAGAR"/>
    <x v="0"/>
    <n v="6"/>
    <n v="9"/>
    <n v="6.7"/>
    <n v="8.5"/>
    <n v="7.7"/>
    <n v="8.5"/>
    <n v="260"/>
    <n v="518"/>
    <n v="1"/>
    <n v="1.4"/>
    <n v="2.02"/>
    <n v="13.06"/>
    <n v="2"/>
    <n v="21"/>
    <n v="21"/>
    <n v="540"/>
    <n v="2"/>
    <n v="2"/>
  </r>
  <r>
    <n v="2626"/>
    <s v="RIVER BATTA U/S PAONTA AT KISHANPURA"/>
    <x v="0"/>
    <n v="14"/>
    <n v="24"/>
    <n v="6.3"/>
    <n v="8.6"/>
    <n v="7.1"/>
    <n v="8.1999999999999993"/>
    <n v="261"/>
    <n v="633"/>
    <n v="1.1000000000000001"/>
    <n v="2.6"/>
    <n v="0.57999999999999996"/>
    <n v="0.86"/>
    <n v="2"/>
    <n v="70"/>
    <n v="70"/>
    <n v="350"/>
    <n v="2"/>
    <n v="2"/>
  </r>
  <r>
    <n v="2627"/>
    <s v="RIVER BATTA BEFORE CONFLUENCE TO YAMUNA"/>
    <x v="0"/>
    <n v="15"/>
    <n v="23"/>
    <n v="6.4"/>
    <n v="8.3000000000000007"/>
    <n v="7.4"/>
    <n v="8.3000000000000007"/>
    <n v="237"/>
    <n v="620"/>
    <n v="1.2"/>
    <n v="2.6"/>
    <n v="0.59"/>
    <n v="0.84"/>
    <n v="32"/>
    <n v="130"/>
    <n v="140"/>
    <n v="430"/>
    <n v="2"/>
    <n v="2"/>
  </r>
  <r>
    <n v="4428"/>
    <s v="ASHWANI KHAD U/S OF WEIR SITE OF WTP NEAR_x000a_ASHWANI BRIDGE"/>
    <x v="0"/>
    <n v="9"/>
    <n v="19.5"/>
    <n v="7"/>
    <n v="8.6999999999999993"/>
    <n v="5.5"/>
    <n v="8.3000000000000007"/>
    <n v="81"/>
    <n v="422"/>
    <n v="1"/>
    <n v="3.1"/>
    <n v="0.33"/>
    <n v="11.06"/>
    <n v="8"/>
    <n v="110"/>
    <n v="70"/>
    <n v="1600"/>
    <n v="2"/>
    <n v="24"/>
  </r>
  <r>
    <n v="4429"/>
    <s v="ASHWANI KHAD AFTER CONFLUENCE OF LIFT NALLAH_x000a_NEAR DOGRHA BRIDGE"/>
    <x v="0"/>
    <n v="9"/>
    <n v="22.7"/>
    <n v="6.9"/>
    <n v="8.1999999999999993"/>
    <n v="6.8"/>
    <n v="8.1999999999999993"/>
    <n v="102"/>
    <n v="473"/>
    <n v="1"/>
    <n v="6.8"/>
    <n v="0.32"/>
    <n v="7.32"/>
    <n v="7"/>
    <n v="540"/>
    <n v="17"/>
    <n v="1600"/>
    <n v="4"/>
    <n v="40"/>
  </r>
  <r>
    <n v="4461"/>
    <s v="ASHWANI KHAD D/S OF VILLAGE SADHUPIL, TEHSIL_x000a_KANDAGHAT, DISTRICT SOLAN."/>
    <x v="0"/>
    <n v="7"/>
    <n v="18"/>
    <n v="6.7"/>
    <n v="11"/>
    <n v="7.2"/>
    <n v="8.1999999999999993"/>
    <n v="166"/>
    <n v="530"/>
    <n v="1"/>
    <n v="1"/>
    <n v="1.87"/>
    <n v="5.8"/>
    <n v="2"/>
    <n v="9"/>
    <n v="21"/>
    <n v="220"/>
    <n v="2"/>
    <n v="2"/>
  </r>
  <r>
    <n v="4479"/>
    <s v="ASHWANI KHAD U/S OF SADHUPUL VILLAGE (NEARBY_x000a_800 METERS U/S OF THE BRIDGE)"/>
    <x v="0"/>
    <n v="7"/>
    <n v="20"/>
    <n v="6.2"/>
    <n v="10"/>
    <n v="7.1"/>
    <n v="8.1"/>
    <n v="145"/>
    <n v="769"/>
    <n v="1"/>
    <n v="1"/>
    <n v="2.38"/>
    <n v="6.61"/>
    <n v="2"/>
    <n v="11"/>
    <n v="26"/>
    <n v="220"/>
    <n v="2"/>
    <n v="2"/>
  </r>
  <r>
    <n v="4431"/>
    <s v="SHIKARI KHAD BEFORE CONFLUENCE TO RIVER_x000a_PABBAR NEAR HRTC ROHRU BUS STAND"/>
    <x v="0"/>
    <n v="7.8"/>
    <n v="30"/>
    <n v="6.8"/>
    <n v="8"/>
    <n v="7.6"/>
    <n v="8.3000000000000007"/>
    <n v="51"/>
    <n v="343"/>
    <n v="1"/>
    <n v="1.8"/>
    <n v="0.32"/>
    <n v="1.9"/>
    <n v="2"/>
    <n v="33"/>
    <n v="34"/>
    <n v="920"/>
    <n v="2"/>
    <n v="2"/>
  </r>
  <r>
    <n v="30037"/>
    <s v="RIVER BANGANGA AT U/S IDRISHPUR (U.K.)"/>
    <x v="3"/>
    <n v="21.6"/>
    <n v="31.2"/>
    <n v="0.4"/>
    <n v="6.8"/>
    <n v="7.2"/>
    <n v="7.5"/>
    <n v="366"/>
    <n v="614"/>
    <n v="1.6"/>
    <n v="3.1"/>
    <n v="0.32"/>
    <n v="1.05"/>
    <n v="2"/>
    <n v="790000"/>
    <n v="2000"/>
    <n v="2400000"/>
    <m/>
    <m/>
  </r>
  <r>
    <n v="30038"/>
    <s v="RIVER BANGANGA AT D/S SHUKRATAL (BEFORE_x000a_CONFLUENCE OF LAKSAR DRAIN )"/>
    <x v="4"/>
    <n v="21.6"/>
    <n v="31.2"/>
    <n v="5"/>
    <n v="7.8"/>
    <n v="7.3"/>
    <n v="7.6"/>
    <n v="359"/>
    <n v="518"/>
    <n v="1"/>
    <n v="2.6"/>
    <n v="0.32"/>
    <n v="1.65"/>
    <n v="2"/>
    <n v="330000"/>
    <n v="2"/>
    <n v="790000"/>
    <n v="2"/>
    <n v="2"/>
  </r>
  <r>
    <n v="10099"/>
    <s v="RIVER HINDON AT MAHESHPUR D/S"/>
    <x v="4"/>
    <n v="18"/>
    <n v="32"/>
    <n v="1.4"/>
    <n v="1.4"/>
    <n v="7.2"/>
    <n v="7.4"/>
    <n v="380"/>
    <n v="750"/>
    <n v="32"/>
    <n v="44"/>
    <n v="0"/>
    <n v="0"/>
    <m/>
    <m/>
    <m/>
    <m/>
    <m/>
    <m/>
  </r>
  <r>
    <n v="10102"/>
    <s v="RIVER HINDON AT MOHAN NAGAR U/S"/>
    <x v="4"/>
    <n v="18"/>
    <n v="27"/>
    <n v="1.2"/>
    <n v="4.5"/>
    <n v="6.5"/>
    <n v="7.5"/>
    <n v="330"/>
    <n v="530"/>
    <n v="15"/>
    <n v="20"/>
    <n v="0.4"/>
    <n v="0.46"/>
    <n v="130000"/>
    <n v="260000"/>
    <n v="170000"/>
    <n v="790000"/>
    <m/>
    <m/>
  </r>
  <r>
    <n v="10103"/>
    <s v="RIVER HINDON AT MOHAN NAGAR D/S"/>
    <x v="4"/>
    <n v="18"/>
    <n v="28"/>
    <n v="2.1"/>
    <n v="6.5"/>
    <n v="6.8"/>
    <n v="7.6"/>
    <n v="330"/>
    <n v="746"/>
    <n v="10"/>
    <n v="20"/>
    <n v="0.35"/>
    <n v="0.48"/>
    <n v="110000"/>
    <n v="340000"/>
    <n v="140000"/>
    <n v="470000"/>
    <m/>
    <m/>
  </r>
  <r>
    <n v="10106"/>
    <s v="RIVER HINDON AT GHAZIABAD U/S"/>
    <x v="4"/>
    <n v="18"/>
    <n v="28"/>
    <n v="1.1000000000000001"/>
    <n v="5.5"/>
    <n v="6.2"/>
    <n v="7.6"/>
    <n v="316"/>
    <n v="589"/>
    <n v="12"/>
    <n v="24"/>
    <n v="0.41"/>
    <n v="0.55000000000000004"/>
    <n v="170000"/>
    <n v="350000"/>
    <n v="210000"/>
    <n v="920000"/>
    <m/>
    <m/>
  </r>
  <r>
    <n v="10100"/>
    <s v="RIVER HINDON AT BARNAWA U/S"/>
    <x v="4"/>
    <n v="16"/>
    <n v="22"/>
    <n v="0.3"/>
    <n v="0.3"/>
    <n v="7.5"/>
    <n v="7.8"/>
    <n v="710"/>
    <n v="900"/>
    <n v="42"/>
    <n v="62"/>
    <n v="24"/>
    <n v="34"/>
    <n v="100000"/>
    <n v="140000"/>
    <n v="140000"/>
    <n v="210000"/>
    <m/>
    <m/>
  </r>
  <r>
    <n v="10101"/>
    <s v="RIVER HINDON AT BARNAWA D/S"/>
    <x v="4"/>
    <n v="16"/>
    <n v="21"/>
    <n v="0.3"/>
    <n v="0.3"/>
    <n v="7.4"/>
    <n v="7.7"/>
    <n v="630"/>
    <n v="820"/>
    <n v="38"/>
    <n v="56"/>
    <n v="22"/>
    <n v="30"/>
    <n v="82000"/>
    <n v="120000"/>
    <n v="120000"/>
    <n v="170000"/>
    <m/>
    <m/>
  </r>
  <r>
    <n v="1483"/>
    <s v="RIVER HINDON AFTER CONFL. WITH R. KRISHNA &amp; KALI_x000a_NEAR BINAULI TOWN, PURA MAHADEV, MEERUT, U.P."/>
    <x v="4"/>
    <n v="17"/>
    <n v="22"/>
    <n v="0.3"/>
    <n v="0.3"/>
    <n v="7.5"/>
    <n v="7.8"/>
    <n v="750"/>
    <n v="1000"/>
    <n v="44"/>
    <n v="68"/>
    <n v="30"/>
    <n v="38"/>
    <n v="100000"/>
    <n v="170000"/>
    <n v="150000"/>
    <n v="220000"/>
    <m/>
    <m/>
  </r>
  <r>
    <n v="2496"/>
    <s v="RIVER HINDON AT SARDHANA BUDHANA ROAD, VILLAGE_x000a_BAPARSI, MEERUT"/>
    <x v="4"/>
    <n v="15"/>
    <n v="22"/>
    <n v="0.3"/>
    <n v="0.3"/>
    <n v="7.6"/>
    <n v="7.8"/>
    <n v="750"/>
    <n v="990"/>
    <n v="48"/>
    <n v="68"/>
    <n v="32"/>
    <n v="40"/>
    <n v="14000"/>
    <n v="170000"/>
    <n v="17000"/>
    <n v="240000"/>
    <m/>
    <m/>
  </r>
  <r>
    <n v="1358"/>
    <s v="RIVER HINDON AT GHAZIABAD D/S KULESHRA GB_x000a_NAGAR, U.P."/>
    <x v="4"/>
    <n v="20"/>
    <n v="25"/>
    <n v="0.3"/>
    <n v="8.8000000000000007"/>
    <n v="6.4"/>
    <n v="8.4"/>
    <n v="304"/>
    <n v="1375"/>
    <n v="3.2"/>
    <n v="48"/>
    <n v="0.75"/>
    <n v="0.96"/>
    <n v="2100"/>
    <n v="340000"/>
    <n v="3800"/>
    <n v="470000"/>
    <n v="1100"/>
    <n v="1100"/>
  </r>
  <r>
    <n v="10105"/>
    <s v="RIVER HINDON AT NOIDA D/S"/>
    <x v="4"/>
    <n v="26"/>
    <n v="26"/>
    <n v="1.1000000000000001"/>
    <n v="4.8"/>
    <n v="7"/>
    <n v="7.9"/>
    <n v="450"/>
    <n v="1082"/>
    <n v="12"/>
    <n v="27"/>
    <n v="0"/>
    <n v="0.42"/>
    <n v="170000"/>
    <n v="2700000"/>
    <n v="270000"/>
    <n v="3800000"/>
    <m/>
    <m/>
  </r>
  <r>
    <n v="1477"/>
    <s v="RIVER KALINADI AT U/S OF MUZAFFAR NAGAR U.P."/>
    <x v="4"/>
    <n v="19"/>
    <n v="25.5"/>
    <n v="2.9"/>
    <n v="3.4"/>
    <n v="7.2"/>
    <n v="7.7"/>
    <n v="300"/>
    <n v="340"/>
    <n v="12"/>
    <n v="16"/>
    <n v="0"/>
    <n v="0"/>
    <m/>
    <m/>
    <m/>
    <m/>
    <m/>
    <m/>
  </r>
  <r>
    <n v="1478"/>
    <s v="RIVER KALINADI AT D/S OF MUZAFFAR NAGAR, U.P."/>
    <x v="4"/>
    <n v="19"/>
    <n v="25.8"/>
    <n v="0.3"/>
    <n v="0.3"/>
    <n v="7"/>
    <n v="7.3"/>
    <n v="480"/>
    <n v="670"/>
    <n v="32"/>
    <n v="40"/>
    <n v="0"/>
    <n v="0"/>
    <m/>
    <m/>
    <m/>
    <m/>
    <m/>
    <m/>
  </r>
  <r>
    <n v="4606"/>
    <s v="RIVER KEN NEAR ROAD BRIDGE AT PANNA"/>
    <x v="10"/>
    <n v="21"/>
    <n v="31"/>
    <n v="6.4"/>
    <n v="9.1999999999999993"/>
    <n v="7.2"/>
    <n v="8"/>
    <n v="229"/>
    <n v="354"/>
    <n v="1"/>
    <n v="2.2000000000000002"/>
    <n v="0.33"/>
    <n v="1.62"/>
    <n v="2"/>
    <n v="2"/>
    <n v="31"/>
    <n v="41"/>
    <n v="2"/>
    <n v="2"/>
  </r>
  <r>
    <n v="1356"/>
    <s v="RIVER BETWA BEFORE CONF. YAMUNA AT HAMIRPUR,_x000a_U.P."/>
    <x v="4"/>
    <n v="17"/>
    <n v="24"/>
    <n v="5.4"/>
    <n v="7.6"/>
    <n v="7.2"/>
    <n v="7.9"/>
    <n v="344"/>
    <n v="3400"/>
    <n v="2.2000000000000002"/>
    <n v="3.1"/>
    <n v="0"/>
    <n v="0"/>
    <n v="7800"/>
    <n v="9300"/>
    <n v="13000"/>
    <n v="17000"/>
    <m/>
    <m/>
  </r>
  <r>
    <n v="5538"/>
    <s v="RIVER KALIASOT DAM OUTLATE NEAR DAM_x000a_GATE,BHOPAL"/>
    <x v="10"/>
    <n v="19"/>
    <n v="27"/>
    <n v="5.8"/>
    <n v="8.5"/>
    <n v="7.4"/>
    <n v="8.6999999999999993"/>
    <n v="186"/>
    <n v="300"/>
    <n v="1"/>
    <n v="2.2000000000000002"/>
    <n v="1.49"/>
    <n v="3.5"/>
    <n v="2"/>
    <n v="22"/>
    <n v="2"/>
    <n v="540"/>
    <n v="2"/>
    <n v="2"/>
  </r>
  <r>
    <n v="5539"/>
    <s v="RIVER KHAN RAMWASA STOP DAM,UJJAIN"/>
    <x v="10"/>
    <n v="23"/>
    <n v="28"/>
    <n v="5.7"/>
    <n v="7.2"/>
    <n v="7.2"/>
    <n v="8.1999999999999993"/>
    <n v="512"/>
    <n v="1696"/>
    <n v="4.5"/>
    <n v="12"/>
    <n v="1.22"/>
    <n v="2.4900000000000002"/>
    <n v="14"/>
    <n v="1600"/>
    <n v="920"/>
    <n v="1600"/>
    <n v="11"/>
    <n v="11"/>
  </r>
  <r>
    <n v="5540"/>
    <s v="RIVER MANDAKINI , ORIGIN POINT SATI ANSUIYA_x000a_,CHITRAKOOT"/>
    <x v="10"/>
    <n v="27.4"/>
    <n v="32.5"/>
    <n v="3.4"/>
    <n v="7.4"/>
    <n v="7.1"/>
    <n v="8"/>
    <n v="354"/>
    <n v="6783"/>
    <n v="1"/>
    <n v="2.1"/>
    <n v="0"/>
    <n v="0"/>
    <n v="2"/>
    <n v="2"/>
    <n v="4"/>
    <n v="72"/>
    <n v="2"/>
    <n v="2"/>
  </r>
  <r>
    <n v="5544"/>
    <s v="RIVER CHAMBAL PALI NEAR ROAD BRIDGE ,SHEOPUR"/>
    <x v="10"/>
    <n v="18"/>
    <n v="29"/>
    <n v="7"/>
    <n v="7.9"/>
    <n v="7.1"/>
    <n v="7.7"/>
    <n v="220"/>
    <n v="690"/>
    <n v="1.2"/>
    <n v="1.8"/>
    <n v="0.52"/>
    <n v="2.42"/>
    <n v="2"/>
    <n v="3"/>
    <n v="26"/>
    <n v="42"/>
    <m/>
    <m/>
  </r>
  <r>
    <n v="2955"/>
    <s v="RIVER CHAMBAL ENTERING IN RAJASTHAN AT GANDHI_x000a_SAGAR DAM, RAWATBHATA,CHITTORGARH"/>
    <x v="11"/>
    <n v="16"/>
    <n v="30"/>
    <n v="4"/>
    <n v="6.3"/>
    <n v="6.9"/>
    <n v="7.8"/>
    <n v="443"/>
    <n v="627"/>
    <n v="2.2000000000000002"/>
    <n v="3"/>
    <n v="1.22"/>
    <n v="3.19"/>
    <n v="84"/>
    <n v="170"/>
    <n v="150"/>
    <n v="300"/>
    <n v="14"/>
    <n v="21"/>
  </r>
  <r>
    <n v="1288"/>
    <s v="RIVER CHAMBAL AT KOTA U/S (PHED INTAKE POINT._x000a_NEAR KOTA BARRAGE), RAJASTHAN"/>
    <x v="11"/>
    <n v="18"/>
    <n v="33"/>
    <n v="5.3"/>
    <n v="6.8"/>
    <n v="7.9"/>
    <n v="8.5"/>
    <n v="339"/>
    <n v="481"/>
    <n v="1"/>
    <n v="1.3"/>
    <n v="0.62"/>
    <n v="1.22"/>
    <n v="26"/>
    <n v="49"/>
    <n v="46"/>
    <n v="120"/>
    <n v="14"/>
    <n v="26"/>
  </r>
  <r>
    <n v="1289"/>
    <s v="RIVER CHAMBAL AT RANGPUR KOTA D/S (2 KM. FROM_x000a_CITY), RAJASTHAN"/>
    <x v="11"/>
    <n v="19"/>
    <n v="34"/>
    <n v="4.0999999999999996"/>
    <n v="5.9"/>
    <n v="7.9"/>
    <n v="8.9"/>
    <n v="382"/>
    <n v="900"/>
    <n v="1.3"/>
    <n v="2.8"/>
    <n v="0.82"/>
    <n v="2.72"/>
    <n v="220"/>
    <n v="350"/>
    <n v="350"/>
    <n v="540"/>
    <n v="47"/>
    <n v="130"/>
  </r>
  <r>
    <n v="10029"/>
    <s v="RIVER CHAMBAL AT KESHORAIPATAN U/S, NEAR SHRI_x000a_RAJESHWAR MAHADEV TEMPLE, BUNDI"/>
    <x v="11"/>
    <n v="15"/>
    <n v="33"/>
    <n v="4.0999999999999996"/>
    <n v="6.3"/>
    <n v="8.1999999999999993"/>
    <n v="8.6999999999999993"/>
    <n v="382"/>
    <n v="945"/>
    <n v="1.2"/>
    <n v="2.8"/>
    <n v="1.07"/>
    <n v="3.63"/>
    <n v="170"/>
    <n v="350"/>
    <n v="350"/>
    <n v="540"/>
    <n v="31"/>
    <n v="79"/>
  </r>
  <r>
    <n v="10030"/>
    <s v="RIVER CHAMBAL AT KESHORAIPATTAN D/S NEAR_x000a_AMBEDKAR NAGAR, BUNDI"/>
    <x v="11"/>
    <n v="15"/>
    <n v="34"/>
    <n v="3.3"/>
    <n v="6.1"/>
    <n v="8.1"/>
    <n v="8.9"/>
    <n v="388"/>
    <n v="1362"/>
    <n v="1.9"/>
    <n v="3.8"/>
    <n v="1.1399999999999999"/>
    <n v="4.9400000000000004"/>
    <n v="240"/>
    <n v="350"/>
    <n v="350"/>
    <n v="920"/>
    <n v="49"/>
    <n v="79"/>
  </r>
  <r>
    <n v="4769"/>
    <s v="RIVER CHAMBAL, NEAR CHAMBAL BRIDGE, DHOLPUR_x000a_TO MURENA ROAD, NH-3"/>
    <x v="11"/>
    <n v="12"/>
    <n v="31"/>
    <n v="4.7"/>
    <n v="6.3"/>
    <n v="7"/>
    <n v="8.5"/>
    <n v="370"/>
    <n v="775"/>
    <n v="1"/>
    <n v="3.1"/>
    <n v="0.64"/>
    <n v="5.63"/>
    <n v="22"/>
    <n v="140"/>
    <n v="40"/>
    <n v="280"/>
    <n v="6"/>
    <n v="28"/>
  </r>
  <r>
    <n v="30086"/>
    <s v="RIVER CHAMBAL AT GWALIOR ROAD BRIDGE, UDI,_x000a_ETAWAH DIST."/>
    <x v="4"/>
    <n v="18"/>
    <n v="31"/>
    <n v="7.4"/>
    <n v="9.3000000000000007"/>
    <n v="7.1"/>
    <n v="8"/>
    <n v="343"/>
    <n v="663"/>
    <n v="1.7"/>
    <n v="6.5"/>
    <n v="0.32"/>
    <n v="0.7"/>
    <n v="2"/>
    <n v="33000"/>
    <n v="2"/>
    <n v="49000"/>
    <n v="2"/>
    <n v="2"/>
  </r>
  <r>
    <n v="30060"/>
    <s v="RIVER CHAMBAL AT FISH FARM NEAR GANDHISAGAR_x000a_DAM (MP &amp; RJASTHAN)"/>
    <x v="10"/>
    <n v="20"/>
    <n v="33"/>
    <n v="7.4"/>
    <n v="10.7"/>
    <n v="7.7"/>
    <n v="8.1999999999999993"/>
    <n v="174"/>
    <n v="445"/>
    <n v="1.2"/>
    <n v="2.6"/>
    <n v="0.32"/>
    <n v="0.51"/>
    <n v="2"/>
    <n v="15"/>
    <n v="68"/>
    <n v="120"/>
    <n v="2"/>
    <n v="2"/>
  </r>
  <r>
    <n v="1418"/>
    <s v="RIVER CHAMBAL AT GANDHI SAGAR DAM, RAMPURA,_x000a_M.P"/>
    <x v="10"/>
    <n v="22"/>
    <n v="28"/>
    <n v="7.4"/>
    <n v="7.5"/>
    <n v="7.6"/>
    <n v="7.9"/>
    <n v="304"/>
    <n v="324"/>
    <n v="1.8"/>
    <n v="2"/>
    <n v="0.51"/>
    <n v="0.93"/>
    <n v="2"/>
    <n v="2"/>
    <n v="47"/>
    <n v="49"/>
    <n v="2"/>
    <n v="2"/>
  </r>
  <r>
    <n v="3309"/>
    <s v="RIVER CHAMBAL AT TAL VILLAGE NEAR BRIDGE, UJJAIN"/>
    <x v="10"/>
    <n v="22"/>
    <n v="28"/>
    <n v="7"/>
    <n v="7.8"/>
    <n v="7.3"/>
    <n v="8.5"/>
    <n v="277"/>
    <n v="2449"/>
    <n v="1.6"/>
    <n v="3.4"/>
    <n v="0.32"/>
    <n v="4.9800000000000004"/>
    <n v="2"/>
    <n v="25"/>
    <n v="43"/>
    <n v="1600"/>
    <n v="2"/>
    <n v="2"/>
  </r>
  <r>
    <n v="1365"/>
    <s v="RIVER CHAMBAL AT NAGDA U/S (WATER INTAKE POINT)_x000a_M.P."/>
    <x v="10"/>
    <n v="22"/>
    <n v="27"/>
    <n v="6.9"/>
    <n v="7.9"/>
    <n v="7.3"/>
    <n v="8.1"/>
    <n v="405"/>
    <n v="907"/>
    <n v="1.8"/>
    <n v="2"/>
    <n v="0.64"/>
    <n v="1.07"/>
    <n v="2"/>
    <n v="4"/>
    <n v="43"/>
    <n v="49"/>
    <n v="2"/>
    <n v="2"/>
  </r>
  <r>
    <n v="1366"/>
    <s v="RIVER CHAMBAL AT NAGDA D/S, M.P."/>
    <x v="10"/>
    <n v="22"/>
    <n v="27"/>
    <n v="0.3"/>
    <n v="7.6"/>
    <n v="3.4"/>
    <n v="8.1"/>
    <n v="653"/>
    <n v="8763"/>
    <n v="6"/>
    <n v="28"/>
    <n v="0.94"/>
    <n v="11.29"/>
    <n v="40"/>
    <n v="1600"/>
    <n v="1600"/>
    <n v="1600"/>
    <n v="14"/>
    <n v="540"/>
  </r>
  <r>
    <n v="1609"/>
    <s v="RIVER CHAMBAL AT DHOLPUR,"/>
    <x v="10"/>
    <n v="15"/>
    <n v="25"/>
    <n v="7"/>
    <n v="8.1"/>
    <n v="7.1"/>
    <n v="7.8"/>
    <n v="315"/>
    <n v="718"/>
    <n v="1"/>
    <n v="2.2999999999999998"/>
    <n v="0.3"/>
    <n v="1.85"/>
    <n v="2"/>
    <n v="6"/>
    <n v="12"/>
    <n v="28"/>
    <m/>
    <m/>
  </r>
  <r>
    <n v="3308"/>
    <s v="RIVER CHAMBAL AT JANAPAWA, FROM ORIGIN POINT,_x000a_INDORE"/>
    <x v="10"/>
    <n v="20.5"/>
    <n v="21"/>
    <n v="6.9"/>
    <n v="7.2"/>
    <n v="7.5"/>
    <n v="7.9"/>
    <n v="360"/>
    <n v="439"/>
    <n v="1"/>
    <n v="1.1000000000000001"/>
    <n v="1.54"/>
    <n v="2.0099999999999998"/>
    <n v="2"/>
    <n v="2"/>
    <n v="24"/>
    <n v="34"/>
    <m/>
    <m/>
  </r>
  <r>
    <n v="4607"/>
    <s v="RIVER CHAMBAL AT ITAWA ROAD BRIDGE BHIND"/>
    <x v="10"/>
    <n v="18"/>
    <n v="27"/>
    <n v="7"/>
    <n v="8.1999999999999993"/>
    <n v="7.2"/>
    <n v="7.8"/>
    <n v="380"/>
    <n v="600"/>
    <n v="1.4"/>
    <n v="1.9"/>
    <n v="0.3"/>
    <n v="1.4"/>
    <n v="2"/>
    <n v="6"/>
    <n v="20"/>
    <n v="26"/>
    <m/>
    <m/>
  </r>
  <r>
    <n v="4610"/>
    <s v="RIVER CHAMBAL AT 100M D/S OF GANDHI SAGAR DAM._x000a_MANDSAUR"/>
    <x v="10"/>
    <n v="22"/>
    <n v="30"/>
    <n v="7.2"/>
    <n v="7.6"/>
    <n v="7.4"/>
    <n v="7.9"/>
    <n v="298"/>
    <n v="384"/>
    <n v="1.8"/>
    <n v="2"/>
    <n v="0.55000000000000004"/>
    <n v="0.98"/>
    <n v="2"/>
    <n v="4"/>
    <n v="48"/>
    <n v="49"/>
    <n v="2"/>
    <n v="2"/>
  </r>
  <r>
    <n v="2954"/>
    <s v="RIVER PARVATI BEFORE MEETING CHAMBAL AT_x000a_KHATOLI, KOTA, RAJASTHAN"/>
    <x v="11"/>
    <n v="17"/>
    <n v="33"/>
    <n v="4.7"/>
    <n v="5.8"/>
    <n v="8.1"/>
    <n v="8.9"/>
    <n v="311"/>
    <n v="1092"/>
    <n v="1"/>
    <n v="2"/>
    <n v="1.22"/>
    <n v="2.52"/>
    <n v="70"/>
    <n v="150"/>
    <n v="140"/>
    <n v="350"/>
    <n v="21"/>
    <n v="26"/>
  </r>
  <r>
    <n v="2109"/>
    <s v="RIVER PARVATI AT NEEMKHEDI, GUNA"/>
    <x v="10"/>
    <n v="15"/>
    <n v="31"/>
    <n v="7"/>
    <n v="8.8000000000000007"/>
    <n v="7.2"/>
    <n v="7.9"/>
    <n v="290"/>
    <n v="511"/>
    <n v="1.4"/>
    <n v="2.1"/>
    <n v="0.32"/>
    <n v="1.4"/>
    <n v="2"/>
    <n v="6"/>
    <n v="24"/>
    <n v="34"/>
    <m/>
    <m/>
  </r>
  <r>
    <n v="2126"/>
    <s v="RIVER PARVATI D/S AFTER VINDHYACHAL NALLA AT_x000a_PILUKHEDI ,RAJGARH"/>
    <x v="10"/>
    <n v="15"/>
    <n v="26"/>
    <n v="5.8"/>
    <n v="11.7"/>
    <n v="7.4"/>
    <n v="8.1"/>
    <n v="371"/>
    <n v="715"/>
    <n v="1"/>
    <n v="4.5999999999999996"/>
    <n v="5.05"/>
    <n v="30.72"/>
    <n v="6"/>
    <n v="110"/>
    <n v="220"/>
    <n v="480"/>
    <n v="2"/>
    <n v="2"/>
  </r>
  <r>
    <n v="1432"/>
    <s v="RIVER PARVATI NEAR VILLAGE BATAODAPAR, M.P."/>
    <x v="10"/>
    <n v="15"/>
    <n v="32"/>
    <n v="7"/>
    <n v="8.5"/>
    <n v="7.2"/>
    <n v="7.6"/>
    <n v="270"/>
    <n v="507"/>
    <n v="1.6"/>
    <n v="1.9"/>
    <n v="0.5"/>
    <n v="1.83"/>
    <n v="2"/>
    <n v="6"/>
    <n v="2"/>
    <n v="34"/>
    <n v="2"/>
    <n v="2"/>
  </r>
  <r>
    <n v="1367"/>
    <s v="RIVER KHAN AT KABIT KHEDI (NEAR INDORE) M.P."/>
    <x v="10"/>
    <n v="20"/>
    <n v="22.5"/>
    <n v="0.3"/>
    <n v="0.3"/>
    <n v="7.2"/>
    <n v="8.1"/>
    <n v="982"/>
    <n v="1485"/>
    <n v="10"/>
    <n v="36"/>
    <n v="2.13"/>
    <n v="4.78"/>
    <n v="32"/>
    <n v="5400"/>
    <n v="920"/>
    <n v="12000"/>
    <n v="8"/>
    <n v="1800"/>
  </r>
  <r>
    <n v="2110"/>
    <s v="RIVER KHAN AT SAKKAR KHADI, INDORE"/>
    <x v="10"/>
    <n v="19"/>
    <n v="22"/>
    <n v="0.3"/>
    <n v="0.3"/>
    <n v="7.2"/>
    <n v="8.1999999999999993"/>
    <n v="973"/>
    <n v="1418"/>
    <n v="14"/>
    <n v="38"/>
    <n v="2.14"/>
    <n v="7.35"/>
    <n v="2"/>
    <n v="6300"/>
    <n v="1400"/>
    <n v="17000"/>
    <n v="5"/>
    <n v="2100"/>
  </r>
  <r>
    <n v="2111"/>
    <s v="RIVER KHAN AT SANWER"/>
    <x v="10"/>
    <n v="19.5"/>
    <n v="22.5"/>
    <n v="4"/>
    <n v="6.4"/>
    <n v="7.4"/>
    <n v="8.4"/>
    <n v="880"/>
    <n v="1330"/>
    <n v="1"/>
    <n v="8"/>
    <n v="1.24"/>
    <n v="3.17"/>
    <n v="10"/>
    <n v="700"/>
    <n v="430"/>
    <n v="1600"/>
    <n v="2"/>
    <n v="340"/>
  </r>
  <r>
    <n v="1372"/>
    <s v="RIVER MANDAKINI AT CHITRAKUT, M.P."/>
    <x v="10"/>
    <n v="22.7"/>
    <n v="33"/>
    <n v="2.8"/>
    <n v="9.1"/>
    <n v="6.8"/>
    <n v="7.9"/>
    <n v="612"/>
    <n v="5952"/>
    <n v="2"/>
    <n v="3.7"/>
    <n v="0"/>
    <n v="0"/>
    <n v="2"/>
    <n v="15"/>
    <n v="70"/>
    <n v="120"/>
    <n v="2"/>
    <n v="2"/>
  </r>
  <r>
    <n v="1369"/>
    <s v="RIVER KSHIPRA AT RAMGHAT AT UJJAIN, M.P."/>
    <x v="10"/>
    <n v="22"/>
    <n v="27"/>
    <n v="6.2"/>
    <n v="7.8"/>
    <n v="7.1"/>
    <n v="7.9"/>
    <n v="386"/>
    <n v="1064"/>
    <n v="3.4"/>
    <n v="10"/>
    <n v="0.32"/>
    <n v="2.8"/>
    <n v="350"/>
    <n v="1600"/>
    <n v="1600"/>
    <n v="1600"/>
    <n v="6"/>
    <n v="170"/>
  </r>
  <r>
    <n v="1370"/>
    <s v="RIVER KSHIPRA AT TRIVENISANGAM (1 KM. D/S OF_x000a_SANGAM), M.P."/>
    <x v="10"/>
    <n v="22"/>
    <n v="27"/>
    <n v="7"/>
    <n v="7.6"/>
    <n v="7.4"/>
    <n v="7.9"/>
    <n v="333"/>
    <n v="1039"/>
    <n v="2.4"/>
    <n v="6"/>
    <n v="0.32"/>
    <n v="1.94"/>
    <n v="2"/>
    <n v="1600"/>
    <n v="210"/>
    <n v="1600"/>
    <n v="2"/>
    <n v="6"/>
  </r>
  <r>
    <n v="1468"/>
    <s v="RIVER KSHIPRA AT SIDDHAWAT (D/S) OF UJJAIN., M.P."/>
    <x v="10"/>
    <n v="22"/>
    <n v="27"/>
    <n v="6.8"/>
    <n v="7.6"/>
    <n v="7.3"/>
    <n v="8"/>
    <n v="493"/>
    <n v="1254"/>
    <n v="8"/>
    <n v="12"/>
    <n v="0.93"/>
    <n v="3.47"/>
    <n v="920"/>
    <n v="1600"/>
    <n v="1600"/>
    <n v="1600"/>
    <n v="10"/>
    <n v="25"/>
  </r>
  <r>
    <n v="3315"/>
    <s v="RIVER KSHIPRA AT GAUGHAT, UJJAIN"/>
    <x v="10"/>
    <n v="22"/>
    <n v="26"/>
    <n v="7"/>
    <n v="7.5"/>
    <n v="7.1"/>
    <n v="7.9"/>
    <n v="370"/>
    <n v="1041"/>
    <n v="2.4"/>
    <n v="8"/>
    <n v="0.32"/>
    <n v="2.2400000000000002"/>
    <n v="2"/>
    <n v="1600"/>
    <n v="280"/>
    <n v="1600"/>
    <n v="2"/>
    <n v="6"/>
  </r>
  <r>
    <n v="3316"/>
    <s v="RIVER KSHIPRA AT U/S OF MAHIDPUR CITY, UJJAIN"/>
    <x v="10"/>
    <n v="23"/>
    <n v="29"/>
    <n v="6.8"/>
    <n v="8"/>
    <n v="7.5"/>
    <n v="8.1999999999999993"/>
    <n v="388"/>
    <n v="1068"/>
    <n v="1.4"/>
    <n v="3.6"/>
    <n v="0.32"/>
    <n v="1"/>
    <n v="2"/>
    <n v="6"/>
    <n v="46"/>
    <n v="1600"/>
    <n v="2"/>
    <n v="2"/>
  </r>
  <r>
    <n v="3317"/>
    <s v="RIVER KSHIPRA AT W/S INTAKE POINT OF DEWAS,_x000a_UJJAIN"/>
    <x v="10"/>
    <n v="22"/>
    <n v="26"/>
    <n v="7.1"/>
    <n v="7.6"/>
    <n v="7.4"/>
    <n v="8"/>
    <n v="288"/>
    <n v="585"/>
    <n v="1.8"/>
    <n v="2"/>
    <n v="0.63"/>
    <n v="0.98"/>
    <n v="2"/>
    <n v="4"/>
    <n v="47"/>
    <n v="49"/>
    <n v="2"/>
    <n v="2"/>
  </r>
  <r>
    <n v="2724"/>
    <s v="RIVER SUSWA AT MATHURAWALA, DEHRADUN"/>
    <x v="3"/>
    <n v="15"/>
    <n v="24"/>
    <n v="1.4"/>
    <n v="4"/>
    <n v="6.8"/>
    <n v="7.8"/>
    <n v="321"/>
    <n v="601"/>
    <n v="20"/>
    <n v="34"/>
    <n v="0.33"/>
    <n v="0.53"/>
    <n v="1400"/>
    <n v="28000"/>
    <n v="1600"/>
    <n v="160000"/>
    <n v="540"/>
    <n v="16000"/>
  </r>
  <r>
    <n v="2734"/>
    <s v="RIVER BHELLA U/S OF KASHIPUR,US NAGAR"/>
    <x v="3"/>
    <n v="13"/>
    <n v="30"/>
    <n v="5.6"/>
    <n v="7.7"/>
    <n v="7.2"/>
    <n v="7.8"/>
    <n v="181"/>
    <n v="316"/>
    <n v="2"/>
    <n v="3"/>
    <n v="0.35"/>
    <n v="0.83"/>
    <n v="130"/>
    <n v="540"/>
    <n v="170"/>
    <n v="920"/>
    <n v="46"/>
    <n v="210"/>
  </r>
  <r>
    <n v="2735"/>
    <s v="RIVER BHELLA D/S OF LOHIYA BRIDGE KASHIPUR,US_x000a_NAGAR"/>
    <x v="3"/>
    <n v="13"/>
    <n v="32"/>
    <n v="1.4"/>
    <n v="4.4000000000000004"/>
    <n v="6.7"/>
    <n v="7.7"/>
    <n v="216"/>
    <n v="636"/>
    <n v="12"/>
    <n v="28"/>
    <n v="0.37"/>
    <n v="1.1499999999999999"/>
    <n v="240"/>
    <n v="920"/>
    <n v="540"/>
    <n v="1600"/>
    <n v="94"/>
    <n v="350"/>
  </r>
  <r>
    <n v="2732"/>
    <s v="RIVER DHELLA U/S AT KASHIPUR MORADABAD ROAD_x000a_BRIDGE,US NAGAR"/>
    <x v="3"/>
    <n v="13"/>
    <n v="34"/>
    <n v="6"/>
    <n v="7.6"/>
    <n v="6.8"/>
    <n v="7.9"/>
    <n v="236"/>
    <n v="596"/>
    <n v="2.6"/>
    <n v="3"/>
    <n v="0.34"/>
    <n v="0.82"/>
    <n v="220"/>
    <n v="920"/>
    <n v="280"/>
    <n v="1600"/>
    <n v="47"/>
    <n v="130"/>
  </r>
  <r>
    <n v="2733"/>
    <s v="RIVER DHELLA D/S AT THAKURDWARA ALIGANJ_x000a_ROAD,US NAGAR"/>
    <x v="3"/>
    <n v="12"/>
    <n v="33"/>
    <n v="1.2"/>
    <n v="4.0999999999999996"/>
    <n v="7"/>
    <n v="7.7"/>
    <n v="298"/>
    <n v="1254"/>
    <n v="14"/>
    <n v="38"/>
    <n v="0.39"/>
    <n v="1.29"/>
    <n v="350"/>
    <n v="1600"/>
    <n v="540"/>
    <n v="1600"/>
    <n v="70"/>
    <n v="220"/>
  </r>
  <r>
    <n v="30004"/>
    <s v="RIVER DHELA AT ADAMPUR"/>
    <x v="3"/>
    <n v="20.6"/>
    <n v="32"/>
    <n v="4.5"/>
    <n v="8.3000000000000007"/>
    <n v="7.1"/>
    <n v="7.8"/>
    <n v="238"/>
    <n v="813"/>
    <n v="1"/>
    <n v="7.1"/>
    <n v="0.32"/>
    <n v="0.37"/>
    <n v="13000"/>
    <n v="130000"/>
    <n v="70000"/>
    <n v="490000"/>
    <m/>
    <m/>
  </r>
  <r>
    <n v="2731"/>
    <s v="RIVER KOSI AT KASHIPUR BAJPUR ROAD_x000a_BRIDGE,KASHIPUR,US NAGAR"/>
    <x v="3"/>
    <n v="13"/>
    <n v="31"/>
    <n v="6.8"/>
    <n v="7.8"/>
    <n v="7.4"/>
    <n v="7.9"/>
    <n v="211"/>
    <n v="628"/>
    <n v="2"/>
    <n v="3.8"/>
    <n v="0.33"/>
    <n v="0.66"/>
    <n v="120"/>
    <n v="280"/>
    <n v="170"/>
    <n v="350"/>
    <n v="17"/>
    <n v="84"/>
  </r>
  <r>
    <n v="30002"/>
    <s v="RIVER KOSI AT DADIYAL BRIDGE, UTTRAKHAND"/>
    <x v="3"/>
    <n v="21"/>
    <n v="30.2"/>
    <n v="6.2"/>
    <n v="8.8000000000000007"/>
    <n v="7.5"/>
    <n v="7.6"/>
    <n v="295"/>
    <n v="714"/>
    <n v="1"/>
    <n v="2.8"/>
    <n v="0.32"/>
    <n v="0.9"/>
    <n v="7800"/>
    <n v="330000"/>
    <n v="13000"/>
    <n v="790000"/>
    <m/>
    <m/>
  </r>
  <r>
    <n v="2728"/>
    <s v="RIVER GOLA AT HALDWANI"/>
    <x v="3"/>
    <n v="13"/>
    <n v="23"/>
    <n v="7.4"/>
    <n v="8.8000000000000007"/>
    <n v="7.3"/>
    <n v="8.1999999999999993"/>
    <n v="230"/>
    <n v="280"/>
    <n v="1.4"/>
    <n v="2.4"/>
    <n v="0.32"/>
    <n v="0.4"/>
    <n v="63"/>
    <n v="170"/>
    <n v="84"/>
    <n v="210"/>
    <n v="4"/>
    <n v="13"/>
  </r>
  <r>
    <n v="2729"/>
    <s v="RIVER KICHHA AT KICHHA U.S. NAGAR"/>
    <x v="3"/>
    <n v="12"/>
    <n v="32"/>
    <n v="5"/>
    <n v="7"/>
    <n v="7.2"/>
    <n v="7.9"/>
    <n v="265"/>
    <n v="672"/>
    <n v="3"/>
    <n v="7.8"/>
    <n v="0"/>
    <n v="0.88"/>
    <n v="170"/>
    <n v="540"/>
    <n v="280"/>
    <n v="920"/>
    <n v="48"/>
    <n v="150"/>
  </r>
  <r>
    <n v="30003"/>
    <s v="RIVER KICCHA AT PULL BHATTA"/>
    <x v="3"/>
    <n v="20.2"/>
    <n v="30.9"/>
    <n v="0.3"/>
    <n v="6.2"/>
    <n v="7.6"/>
    <n v="7.9"/>
    <n v="380"/>
    <n v="1030"/>
    <n v="7.5"/>
    <n v="13"/>
    <n v="0.32"/>
    <n v="1.74"/>
    <n v="2300"/>
    <n v="170000"/>
    <n v="7900"/>
    <n v="1300000"/>
    <m/>
    <m/>
  </r>
  <r>
    <n v="2730"/>
    <s v="RIVER PILKHAR AT BILASPUR, RAMPUR,US NAGAR"/>
    <x v="3"/>
    <n v="12"/>
    <n v="31"/>
    <n v="2.4"/>
    <n v="7.2"/>
    <n v="7.2"/>
    <n v="7.8"/>
    <n v="221"/>
    <n v="918"/>
    <n v="2"/>
    <n v="12"/>
    <n v="0.33"/>
    <n v="0.97"/>
    <n v="220"/>
    <n v="920"/>
    <n v="350"/>
    <n v="1600"/>
    <n v="79"/>
    <n v="170"/>
  </r>
  <r>
    <n v="30000"/>
    <s v="RIVER PILKHAR AT RAMPUR, BHOT(U.P)"/>
    <x v="4"/>
    <n v="21"/>
    <n v="31.6"/>
    <n v="6.5"/>
    <n v="8.3000000000000007"/>
    <n v="7.5"/>
    <n v="8"/>
    <n v="121"/>
    <n v="745"/>
    <n v="1"/>
    <n v="2.4"/>
    <n v="0.32"/>
    <n v="0.98"/>
    <n v="4500"/>
    <n v="130000"/>
    <n v="7800"/>
    <n v="490000"/>
    <m/>
    <m/>
  </r>
  <r>
    <n v="30001"/>
    <s v="RIVER BAHELA AT BADLI VILLAGE LOHIYA BRIDGE ,_x000a_TANDA (U.P.)"/>
    <x v="4"/>
    <n v="20.3"/>
    <n v="31.2"/>
    <n v="0.3"/>
    <n v="8.9"/>
    <n v="6.2"/>
    <n v="7.8"/>
    <n v="217"/>
    <n v="715"/>
    <n v="1.4"/>
    <n v="145"/>
    <n v="0.32"/>
    <n v="0.37"/>
    <n v="200"/>
    <n v="1300000"/>
    <n v="780"/>
    <n v="9200000"/>
    <m/>
    <m/>
  </r>
  <r>
    <n v="2736"/>
    <s v="RIVER NANDOUR U/S AT SITARGANJ INDUSTRIAL AREA,_x000a_US NAGAR"/>
    <x v="3"/>
    <n v="12"/>
    <n v="31"/>
    <n v="7.2"/>
    <n v="9.1999999999999993"/>
    <n v="7.5"/>
    <n v="7.9"/>
    <n v="165"/>
    <n v="220"/>
    <n v="1.6"/>
    <n v="2.2000000000000002"/>
    <n v="0.35"/>
    <n v="0.49"/>
    <n v="210"/>
    <n v="540"/>
    <n v="350"/>
    <n v="920"/>
    <n v="63"/>
    <n v="170"/>
  </r>
  <r>
    <n v="2737"/>
    <s v="RIVER NANDOUR D/S AT SITARGANJ INDUSTRIAL AREA,_x000a_US NAGAR"/>
    <x v="3"/>
    <n v="12"/>
    <n v="32"/>
    <n v="6.9"/>
    <n v="8.6"/>
    <n v="7.4"/>
    <n v="7.9"/>
    <n v="183"/>
    <n v="336"/>
    <n v="2.4"/>
    <n v="3"/>
    <n v="0.36"/>
    <n v="0.84"/>
    <n v="350"/>
    <n v="1600"/>
    <n v="920"/>
    <n v="1700"/>
    <n v="94"/>
    <n v="920"/>
  </r>
  <r>
    <n v="3438"/>
    <s v="RIVER KALYANI U/S OF PANTNAGAR INDUSRIAL AREA,_x000a_US NAGAR"/>
    <x v="3"/>
    <n v="13"/>
    <n v="30"/>
    <n v="5"/>
    <n v="7.2"/>
    <n v="7.1"/>
    <n v="7.8"/>
    <n v="322"/>
    <n v="482"/>
    <n v="2.4"/>
    <n v="3"/>
    <n v="0.34"/>
    <n v="0.55000000000000004"/>
    <n v="220"/>
    <n v="920"/>
    <n v="350"/>
    <n v="1600"/>
    <n v="79"/>
    <n v="540"/>
  </r>
  <r>
    <n v="3439"/>
    <s v="RIVER KALYANI D/S OF PANTNAGAR INDUSTRIAL AREA,_x000a_US NAGAR"/>
    <x v="3"/>
    <n v="12"/>
    <n v="33"/>
    <n v="1.6"/>
    <n v="4.4000000000000004"/>
    <n v="6.8"/>
    <n v="7.5"/>
    <n v="396"/>
    <n v="625"/>
    <n v="12"/>
    <n v="30"/>
    <n v="0.35"/>
    <n v="1.47"/>
    <n v="540"/>
    <n v="1600"/>
    <n v="920"/>
    <n v="1700"/>
    <n v="170"/>
    <n v="540"/>
  </r>
  <r>
    <n v="30077"/>
    <s v="RIVER RAMGANGA AT ROAD BRIDGE SHERKOT,_x000a_DIST.BIJNAUR (U.P.)"/>
    <x v="4"/>
    <n v="22"/>
    <n v="30.2"/>
    <n v="6.5"/>
    <n v="9.1"/>
    <n v="7.2"/>
    <n v="7.9"/>
    <n v="221"/>
    <n v="730"/>
    <n v="1"/>
    <n v="3.4"/>
    <n v="0.32"/>
    <n v="0.36"/>
    <n v="2"/>
    <n v="49000"/>
    <n v="2"/>
    <n v="330000"/>
    <n v="2"/>
    <n v="2"/>
  </r>
  <r>
    <n v="30078"/>
    <s v="RIVER RAMGANGA AT_x000a_KALAGARHBARRAGE,KALAGARH,DIST,PAUDHIGADHWAL_x000a_(U.K.)"/>
    <x v="3"/>
    <n v="21.5"/>
    <n v="28.8"/>
    <n v="7.4"/>
    <n v="9.5"/>
    <n v="7.1"/>
    <n v="7.8"/>
    <n v="176"/>
    <n v="584"/>
    <n v="1.2"/>
    <n v="9.5"/>
    <n v="0.32"/>
    <n v="10.14"/>
    <n v="2"/>
    <n v="790000"/>
    <n v="4500"/>
    <n v="3500000"/>
    <m/>
    <m/>
  </r>
  <r>
    <n v="30077"/>
    <s v="RIVER RAMGANGA AT ROAD BRIDGE SHERKOT,_x000a_DIST.BIJNAUR (U.P.)"/>
    <x v="4"/>
    <n v="22"/>
    <n v="30.2"/>
    <n v="6.5"/>
    <n v="9.1"/>
    <n v="7.2"/>
    <n v="7.9"/>
    <n v="221"/>
    <n v="730"/>
    <n v="1"/>
    <n v="3.4"/>
    <n v="0.32"/>
    <n v="0.36"/>
    <n v="2"/>
    <n v="49000"/>
    <n v="2"/>
    <n v="330000"/>
    <n v="2"/>
    <n v="2"/>
  </r>
  <r>
    <n v="1064"/>
    <s v="RIVER RAMGANGA AT KANNAUJ (BEFORE CONF.), U.P"/>
    <x v="4"/>
    <n v="14"/>
    <n v="30"/>
    <n v="5.9"/>
    <n v="11.2"/>
    <n v="8"/>
    <n v="8.5"/>
    <n v="256"/>
    <n v="589"/>
    <n v="3.8"/>
    <n v="5.6"/>
    <n v="0"/>
    <n v="0"/>
    <n v="4300"/>
    <n v="6300"/>
    <n v="7500"/>
    <n v="13000"/>
    <n v="2"/>
    <n v="2"/>
  </r>
  <r>
    <n v="1065"/>
    <s v="RIVER KALINADI NEAR GUMATIYA VILLAGE ,KANNAUJ_x000a_(BEFORE CONF.), U.P"/>
    <x v="4"/>
    <n v="14"/>
    <n v="30"/>
    <n v="5.4"/>
    <n v="8.6999999999999993"/>
    <n v="7.4"/>
    <n v="8.1999999999999993"/>
    <n v="240"/>
    <n v="496"/>
    <n v="5"/>
    <n v="6.4"/>
    <n v="0"/>
    <n v="0"/>
    <n v="4600"/>
    <n v="9800"/>
    <n v="8900"/>
    <n v="17000"/>
    <n v="2"/>
    <n v="2"/>
  </r>
  <r>
    <n v="1480"/>
    <s v="RIVER KALINADI AT U/S OF GULAOTHI TOWN IN_x000a_BULANDSAHAR, U.P."/>
    <x v="4"/>
    <n v="19"/>
    <n v="31"/>
    <n v="0.3"/>
    <n v="0.3"/>
    <n v="7.6"/>
    <n v="7.9"/>
    <n v="403"/>
    <n v="558"/>
    <n v="46"/>
    <n v="62"/>
    <n v="0"/>
    <n v="0"/>
    <n v="2200000"/>
    <n v="4100000"/>
    <n v="3200000"/>
    <n v="5800000"/>
    <m/>
    <m/>
  </r>
  <r>
    <n v="2497"/>
    <s v="RIVER KALI EAST AT KHARKHODA-PARIKSHIT GARH_x000a_ROAD, VILL. KOL, MEERUT"/>
    <x v="4"/>
    <n v="14"/>
    <n v="21"/>
    <n v="0.3"/>
    <n v="0.3"/>
    <n v="7.5"/>
    <n v="7.7"/>
    <n v="480"/>
    <n v="940"/>
    <n v="32"/>
    <n v="56"/>
    <n v="22"/>
    <n v="32"/>
    <n v="63000"/>
    <n v="130000"/>
    <n v="94000"/>
    <n v="170000"/>
    <m/>
    <m/>
  </r>
  <r>
    <n v="2482"/>
    <s v="RIVER VARUNA AT RAMESHWAR, VARANASI"/>
    <x v="4"/>
    <n v="23.5"/>
    <n v="29"/>
    <n v="7.1"/>
    <n v="8.1999999999999993"/>
    <n v="8"/>
    <n v="8.4"/>
    <n v="312"/>
    <n v="480"/>
    <n v="2.8"/>
    <n v="3.8"/>
    <n v="0.6"/>
    <n v="0.96"/>
    <n v="1100"/>
    <n v="2300"/>
    <n v="1700"/>
    <n v="3300"/>
    <n v="380"/>
    <n v="840"/>
  </r>
  <r>
    <n v="2483"/>
    <s v="RIVER VARUNA B/C WITH GANGA AT VARANASI"/>
    <x v="4"/>
    <n v="23.5"/>
    <n v="29.5"/>
    <n v="3"/>
    <n v="4.8"/>
    <n v="7.2"/>
    <n v="7.6"/>
    <n v="524"/>
    <n v="664"/>
    <n v="8.6"/>
    <n v="12.8"/>
    <n v="1.72"/>
    <n v="260"/>
    <n v="17000"/>
    <n v="22000"/>
    <n v="27000"/>
    <n v="33000"/>
    <n v="7900"/>
    <n v="17000"/>
  </r>
  <r>
    <n v="2502"/>
    <s v="SHUKRA TAL GHAT (CONFLUENCE OF BANGANGA AND_x000a_SALONI RIVER), MUZAFFARNAGAR,"/>
    <x v="4"/>
    <n v="18"/>
    <n v="26.7"/>
    <n v="5.5"/>
    <n v="7.3"/>
    <n v="7.5"/>
    <n v="7.8"/>
    <n v="140"/>
    <n v="170"/>
    <n v="1.8"/>
    <n v="2.8"/>
    <n v="0"/>
    <n v="0"/>
    <n v="700"/>
    <n v="1100"/>
    <n v="1000"/>
    <n v="1700"/>
    <m/>
    <m/>
  </r>
  <r>
    <n v="1361"/>
    <s v="RIVER SAI AT UNNAO AFTER DRAIN OUTFALL, U.P."/>
    <x v="4"/>
    <n v="18"/>
    <n v="32"/>
    <n v="3.5"/>
    <n v="8"/>
    <n v="7.7"/>
    <n v="8.1999999999999993"/>
    <n v="324"/>
    <n v="531"/>
    <n v="3"/>
    <n v="4.3"/>
    <n v="0.3"/>
    <n v="1.38"/>
    <n v="2300"/>
    <n v="4900"/>
    <n v="4700"/>
    <n v="7900"/>
    <m/>
    <m/>
  </r>
  <r>
    <n v="2484"/>
    <s v="RIVER SAI AT JALALPUR, JAUNPUR"/>
    <x v="4"/>
    <n v="24"/>
    <n v="29.5"/>
    <n v="7.3"/>
    <n v="8.6"/>
    <n v="8.1"/>
    <n v="8.4"/>
    <n v="316"/>
    <n v="446"/>
    <n v="2.4"/>
    <n v="3.4"/>
    <n v="0.55000000000000004"/>
    <n v="0.92"/>
    <n v="2100"/>
    <n v="5800"/>
    <n v="4600"/>
    <n v="8400"/>
    <n v="1300"/>
    <n v="3100"/>
  </r>
  <r>
    <n v="1072"/>
    <s v="RIVER GOMTI AT VARANASI, RAJWARI U.P"/>
    <x v="4"/>
    <n v="24"/>
    <n v="29"/>
    <n v="7.2"/>
    <n v="8.6"/>
    <n v="7.9"/>
    <n v="8.4"/>
    <n v="318"/>
    <n v="484"/>
    <n v="3"/>
    <n v="4"/>
    <n v="0.56000000000000005"/>
    <n v="1.34"/>
    <n v="3100"/>
    <n v="9300"/>
    <n v="7000"/>
    <n v="13000"/>
    <n v="2000"/>
    <n v="4600"/>
  </r>
  <r>
    <n v="1353"/>
    <s v="RIVER GOMTI AT JAUNPUR D/S, U.P."/>
    <x v="4"/>
    <n v="24"/>
    <n v="29.5"/>
    <n v="7"/>
    <n v="8"/>
    <n v="7.8"/>
    <n v="8.5"/>
    <n v="322"/>
    <n v="490"/>
    <n v="3.2"/>
    <n v="4.3"/>
    <n v="0.6"/>
    <n v="1.42"/>
    <n v="3300"/>
    <n v="14000"/>
    <n v="8400"/>
    <n v="21000"/>
    <n v="2400"/>
    <n v="8400"/>
  </r>
  <r>
    <n v="10095"/>
    <s v="RIVER GOMTI AT SULTANPUR U/S"/>
    <x v="4"/>
    <n v="23"/>
    <n v="28"/>
    <n v="5.7"/>
    <n v="7"/>
    <n v="7.9"/>
    <n v="8.1999999999999993"/>
    <n v="345"/>
    <n v="518"/>
    <n v="4"/>
    <n v="4.9000000000000004"/>
    <n v="0"/>
    <n v="0.92"/>
    <n v="2700"/>
    <n v="4900"/>
    <n v="4700"/>
    <n v="12000"/>
    <m/>
    <m/>
  </r>
  <r>
    <n v="10096"/>
    <s v="RIVER GOMTI AT SULTANPUR D/S"/>
    <x v="4"/>
    <n v="23"/>
    <n v="28"/>
    <n v="5.3"/>
    <n v="7.3"/>
    <n v="8"/>
    <n v="8.1999999999999993"/>
    <n v="341"/>
    <n v="530"/>
    <n v="4.2"/>
    <n v="5.8"/>
    <n v="0.82"/>
    <n v="0.94"/>
    <n v="2600"/>
    <n v="7000"/>
    <n v="4900"/>
    <n v="17000"/>
    <n v="2"/>
    <n v="2"/>
  </r>
  <r>
    <n v="10097"/>
    <s v="RIVER GOMTI AT JAUNPUR U/S"/>
    <x v="4"/>
    <n v="24"/>
    <n v="29.5"/>
    <n v="7.4"/>
    <n v="8.6"/>
    <n v="8"/>
    <n v="8.4"/>
    <n v="315"/>
    <n v="478"/>
    <n v="2.4"/>
    <n v="3.3"/>
    <n v="0.52"/>
    <n v="1.2"/>
    <n v="700"/>
    <n v="1700"/>
    <n v="1100"/>
    <n v="2400"/>
    <n v="430"/>
    <n v="700"/>
  </r>
  <r>
    <n v="1363"/>
    <s v="RIVER RAPTI AFTER CONFL. OF R. HONIN NR._x000a_DOMINGARH RLY BRIDGE, GORAKHPUR, U.P."/>
    <x v="4"/>
    <n v="16"/>
    <n v="24"/>
    <n v="7.8"/>
    <n v="8.4"/>
    <n v="7.9"/>
    <n v="8.1999999999999993"/>
    <n v="270"/>
    <n v="2920"/>
    <n v="2.6"/>
    <n v="8.4"/>
    <n v="0"/>
    <n v="0"/>
    <n v="8000"/>
    <n v="16000"/>
    <n v="18000"/>
    <n v="30000"/>
    <m/>
    <m/>
  </r>
  <r>
    <n v="4517"/>
    <s v="RIVER RAPTI AT RAJGHAT, GORAKHPUR"/>
    <x v="4"/>
    <n v="16"/>
    <n v="26"/>
    <n v="7.4"/>
    <n v="8"/>
    <n v="7.7"/>
    <n v="8"/>
    <n v="360"/>
    <n v="3960"/>
    <n v="4.2"/>
    <n v="7.7"/>
    <n v="0"/>
    <n v="0"/>
    <n v="12000"/>
    <n v="28000"/>
    <n v="28000"/>
    <n v="44000"/>
    <m/>
    <m/>
  </r>
  <r>
    <n v="1076"/>
    <s v="RIVER GHAGHARA NEAR CHAPRA, RIVILGANJ, MANJHI,_x000a_SARAN"/>
    <x v="5"/>
    <n v="19"/>
    <n v="33"/>
    <n v="6"/>
    <n v="9.6999999999999993"/>
    <n v="7"/>
    <n v="8.1999999999999993"/>
    <n v="159"/>
    <n v="361"/>
    <n v="1"/>
    <n v="2.9"/>
    <n v="0.12"/>
    <n v="0.3"/>
    <n v="1100"/>
    <n v="92000"/>
    <n v="2300"/>
    <n v="160000"/>
    <m/>
    <m/>
  </r>
  <r>
    <n v="1355"/>
    <s v="RIVER GHAGHARA AT TURTIPAR,DEORIA D/S, U.P."/>
    <x v="4"/>
    <n v="16"/>
    <n v="25"/>
    <n v="7.6"/>
    <n v="8.4"/>
    <n v="7.7"/>
    <n v="8"/>
    <n v="330"/>
    <n v="4120"/>
    <n v="2.6"/>
    <n v="4"/>
    <n v="0"/>
    <n v="0"/>
    <n v="10000"/>
    <n v="26000"/>
    <n v="22000"/>
    <n v="50000"/>
    <m/>
    <m/>
  </r>
  <r>
    <n v="2492"/>
    <s v="RIVER GHAGHRA AT BARHALGANJ, GORAKHPUR"/>
    <x v="4"/>
    <n v="16"/>
    <n v="24"/>
    <n v="7.8"/>
    <n v="8.3000000000000007"/>
    <n v="7.8"/>
    <n v="8.1999999999999993"/>
    <n v="370"/>
    <n v="392"/>
    <n v="3.4"/>
    <n v="4.2"/>
    <n v="0"/>
    <n v="0"/>
    <n v="8000"/>
    <n v="24000"/>
    <n v="18000"/>
    <n v="38000"/>
    <m/>
    <m/>
  </r>
  <r>
    <n v="1359"/>
    <s v="RIVER RIHAND AT RENUKUT U/S, U.P."/>
    <x v="4"/>
    <n v="22"/>
    <n v="28.5"/>
    <n v="8.5"/>
    <n v="9.8000000000000007"/>
    <n v="7.9"/>
    <n v="8.3000000000000007"/>
    <n v="232"/>
    <n v="292"/>
    <n v="1.8"/>
    <n v="2.5"/>
    <n v="0.52"/>
    <n v="0.86"/>
    <n v="210"/>
    <n v="460"/>
    <n v="460"/>
    <n v="700"/>
    <n v="170"/>
    <n v="310"/>
  </r>
  <r>
    <n v="1360"/>
    <s v="RIVER RIHAND AT RENUKUT D/S, U.P."/>
    <x v="4"/>
    <n v="22"/>
    <n v="28.5"/>
    <n v="7.8"/>
    <n v="9"/>
    <n v="7.8"/>
    <n v="8.4"/>
    <n v="248"/>
    <n v="310"/>
    <n v="2.8"/>
    <n v="3.7"/>
    <n v="0.64"/>
    <n v="1.22"/>
    <n v="1300"/>
    <n v="2700"/>
    <n v="2300"/>
    <n v="3900"/>
    <n v="580"/>
    <n v="1100"/>
  </r>
  <r>
    <n v="1143"/>
    <s v="RIVER TONS AT CHAKGHAT, M.P."/>
    <x v="10"/>
    <n v="17.3"/>
    <n v="29.8"/>
    <n v="6.7"/>
    <n v="7.8"/>
    <n v="7.6"/>
    <n v="8.1999999999999993"/>
    <n v="236"/>
    <n v="456"/>
    <n v="1.5"/>
    <n v="1.9"/>
    <n v="0.45"/>
    <n v="1.1599999999999999"/>
    <n v="2"/>
    <n v="2"/>
    <n v="46"/>
    <n v="49"/>
    <n v="2"/>
    <n v="2"/>
  </r>
  <r>
    <n v="1144"/>
    <s v="RIVER TONS AT MADHAVGARH, M.P."/>
    <x v="10"/>
    <n v="23.4"/>
    <n v="33.200000000000003"/>
    <n v="4.0999999999999996"/>
    <n v="7.5"/>
    <n v="7.5"/>
    <n v="8"/>
    <n v="461"/>
    <n v="3212"/>
    <n v="1.7"/>
    <n v="3.4"/>
    <n v="0"/>
    <n v="0"/>
    <n v="2"/>
    <n v="16"/>
    <n v="70"/>
    <n v="120"/>
    <n v="2"/>
    <n v="2"/>
  </r>
  <r>
    <n v="3328"/>
    <s v="RIVER TONS AT MADHAVGARH, NEAR PHED W/S INTAKE_x000a_POINT, SATNA"/>
    <x v="10"/>
    <n v="22.6"/>
    <n v="33.1"/>
    <n v="4.7"/>
    <n v="7.4"/>
    <n v="7.3"/>
    <n v="7.9"/>
    <n v="647"/>
    <n v="2994"/>
    <n v="1.8"/>
    <n v="2.8"/>
    <n v="0"/>
    <n v="0"/>
    <n v="2"/>
    <n v="14"/>
    <n v="44"/>
    <n v="118"/>
    <n v="2"/>
    <n v="2"/>
  </r>
  <r>
    <n v="3853"/>
    <s v="RIVER TONS AT BASAMAN MAMA TEMPLE, NEAR PURWA_x000a_FALL, TEHSIL-SEMARIYA, DIST- REWA"/>
    <x v="10"/>
    <n v="19.600000000000001"/>
    <n v="31.5"/>
    <n v="6.8"/>
    <n v="7.5"/>
    <n v="7.4"/>
    <n v="8.1999999999999993"/>
    <n v="298"/>
    <n v="414"/>
    <n v="1.4"/>
    <n v="1.8"/>
    <n v="0.43"/>
    <n v="0.97"/>
    <n v="2"/>
    <n v="2"/>
    <n v="41"/>
    <n v="49"/>
    <n v="2"/>
    <n v="2"/>
  </r>
  <r>
    <n v="4609"/>
    <s v="RIVER TONS AT M.P-U.P BOUNDARY, BEFORE MIXING_x000a_RIVER BELAN CHAKGHAT REWA"/>
    <x v="10"/>
    <n v="17.600000000000001"/>
    <n v="29.5"/>
    <n v="7.1"/>
    <n v="7.3"/>
    <n v="7.6"/>
    <n v="8.1999999999999993"/>
    <n v="267"/>
    <n v="381"/>
    <n v="1.2"/>
    <n v="1.8"/>
    <n v="0.32"/>
    <n v="1.03"/>
    <n v="2"/>
    <n v="2"/>
    <n v="43"/>
    <n v="48"/>
    <n v="2"/>
    <n v="2"/>
  </r>
  <r>
    <n v="5543"/>
    <s v="River BeeharÂ Khthuliya Intake Well Point ,Rewa"/>
    <x v="10"/>
    <n v="24"/>
    <n v="29.2"/>
    <n v="7.1"/>
    <n v="8"/>
    <n v="7.5"/>
    <n v="8.1"/>
    <n v="278"/>
    <n v="293"/>
    <n v="1.3"/>
    <n v="1.5"/>
    <n v="0.34"/>
    <n v="1"/>
    <n v="2"/>
    <n v="2"/>
    <n v="38"/>
    <n v="48"/>
    <n v="2"/>
    <n v="2"/>
  </r>
  <r>
    <n v="4611"/>
    <s v="RIVER GAMBHIR AT DAM SITE UJJAIN"/>
    <x v="10"/>
    <n v="25"/>
    <n v="29"/>
    <n v="7"/>
    <n v="7.8"/>
    <n v="7.4"/>
    <n v="7.8"/>
    <n v="290"/>
    <n v="417"/>
    <n v="1.4"/>
    <n v="2"/>
    <n v="0.32"/>
    <n v="0.88"/>
    <n v="2"/>
    <n v="2"/>
    <n v="40"/>
    <n v="49"/>
    <n v="2"/>
    <n v="2"/>
  </r>
  <r>
    <n v="1607"/>
    <s v="RIVER BASLI GOHAD DAM, GOHAD, M.P"/>
    <x v="10"/>
    <n v="19"/>
    <n v="27"/>
    <n v="7"/>
    <n v="7.8"/>
    <n v="7.1"/>
    <n v="7.7"/>
    <n v="400"/>
    <n v="752"/>
    <n v="1.4"/>
    <n v="2.1"/>
    <n v="0.47"/>
    <n v="2"/>
    <n v="4"/>
    <n v="8"/>
    <n v="22"/>
    <n v="28"/>
    <m/>
    <m/>
  </r>
  <r>
    <n v="2120"/>
    <s v="RIVER KALIASOT NEAR ROAD BRIDGE, MANDIDEEP"/>
    <x v="10"/>
    <n v="17"/>
    <n v="33"/>
    <n v="6.3"/>
    <n v="7.9"/>
    <n v="7.2"/>
    <n v="7.9"/>
    <n v="312"/>
    <n v="668"/>
    <n v="2.2000000000000002"/>
    <n v="3"/>
    <n v="3.48"/>
    <n v="6.48"/>
    <n v="11"/>
    <n v="63"/>
    <n v="120"/>
    <n v="430"/>
    <n v="2"/>
    <n v="2"/>
  </r>
  <r>
    <n v="2142"/>
    <s v="River KALISINDH NEAR ROAD BRIDGE SARANGPUR,_x000a_RAJGARH"/>
    <x v="10"/>
    <n v="16"/>
    <n v="26"/>
    <n v="3.5"/>
    <n v="11.4"/>
    <n v="7.1"/>
    <n v="8.3000000000000007"/>
    <n v="285"/>
    <n v="918"/>
    <n v="1"/>
    <n v="3"/>
    <n v="1.24"/>
    <n v="23.4"/>
    <n v="4"/>
    <n v="110"/>
    <n v="220"/>
    <n v="430"/>
    <n v="2"/>
    <n v="2"/>
  </r>
  <r>
    <n v="4621"/>
    <s v="RIVER HATHNI NANPUR FATA DAM ALIRAJPUR"/>
    <x v="10"/>
    <n v="20"/>
    <n v="22"/>
    <n v="6.9"/>
    <n v="7.7"/>
    <n v="7.7"/>
    <n v="8.1999999999999993"/>
    <n v="338"/>
    <n v="487"/>
    <n v="1"/>
    <n v="1.2"/>
    <n v="0.73"/>
    <n v="1.79"/>
    <n v="2"/>
    <n v="2"/>
    <n v="41"/>
    <n v="46"/>
    <m/>
    <m/>
  </r>
  <r>
    <n v="3125"/>
    <s v="RIVER GANDAK GOPALGANJ PIPRAKOTHI ROAD BRIDGE_x000a_(DUMARIA GHAT)"/>
    <x v="5"/>
    <n v="18"/>
    <n v="31"/>
    <n v="7.1"/>
    <n v="9.8000000000000007"/>
    <n v="7.3"/>
    <n v="8.1999999999999993"/>
    <n v="166"/>
    <n v="308"/>
    <n v="1"/>
    <n v="2.1"/>
    <n v="0.3"/>
    <n v="0.3"/>
    <n v="2200"/>
    <n v="92000"/>
    <n v="7000"/>
    <n v="160000"/>
    <m/>
    <m/>
  </r>
  <r>
    <n v="2568"/>
    <s v="RIVER GANDAK AT REWAGHAT, MUZAFFARPUR"/>
    <x v="5"/>
    <n v="18"/>
    <n v="31"/>
    <n v="6.6"/>
    <n v="9.5"/>
    <n v="7.3"/>
    <n v="8.1999999999999993"/>
    <n v="175"/>
    <n v="309"/>
    <n v="1"/>
    <n v="2.7"/>
    <n v="0.3"/>
    <n v="0.3"/>
    <n v="2300"/>
    <n v="54000"/>
    <n v="3300"/>
    <n v="92000"/>
    <m/>
    <m/>
  </r>
  <r>
    <n v="10163"/>
    <s v="RIVER GANDAK AT ROAD BRIDGE, U/S HAJIPUR,_x000a_VAISHALI (BORDER OF SARAN &amp; VAISHALI)"/>
    <x v="5"/>
    <n v="18"/>
    <n v="30"/>
    <n v="7.1"/>
    <n v="9.4"/>
    <n v="7.2"/>
    <n v="8.1999999999999993"/>
    <n v="173"/>
    <n v="272"/>
    <n v="1"/>
    <n v="2.4"/>
    <n v="0.3"/>
    <n v="0.3"/>
    <n v="1400"/>
    <n v="54000"/>
    <n v="2700"/>
    <n v="160000"/>
    <m/>
    <m/>
  </r>
  <r>
    <n v="10126"/>
    <s v="RIVER GANDAK AT KONHARA GHAT, OPPOSITE_x000a_HARIHARNATH MANDIR,SONEPUR"/>
    <x v="5"/>
    <n v="17"/>
    <n v="30"/>
    <n v="7.1"/>
    <n v="8.9"/>
    <n v="7.2"/>
    <n v="8.1999999999999993"/>
    <n v="170"/>
    <n v="268"/>
    <n v="1.1000000000000001"/>
    <n v="2.4"/>
    <n v="0.3"/>
    <n v="0.3"/>
    <n v="1300"/>
    <n v="92000"/>
    <n v="3300"/>
    <n v="160000"/>
    <m/>
    <m/>
  </r>
  <r>
    <n v="1078"/>
    <s v="RIVER GANDAK AT SONEPUR NEAR HARIHARNATH_x000a_TEMPLE"/>
    <x v="5"/>
    <n v="17"/>
    <n v="31"/>
    <n v="6.6"/>
    <n v="9.1"/>
    <n v="7.2"/>
    <n v="8.3000000000000007"/>
    <n v="167"/>
    <n v="264"/>
    <n v="1"/>
    <n v="2.6"/>
    <n v="0.3"/>
    <n v="0.3"/>
    <n v="3300"/>
    <n v="92000"/>
    <n v="4600"/>
    <n v="160000"/>
    <m/>
    <m/>
  </r>
  <r>
    <n v="1820"/>
    <s v="RIVER SIKRAHNA AT CHANPATIYA, NEAR CHANPATIYA_x000a_ROAD BRIDGE, WEST CHAMPARAN"/>
    <x v="5"/>
    <n v="17"/>
    <n v="36"/>
    <n v="2.1"/>
    <n v="9.9"/>
    <n v="7.1"/>
    <n v="7.7"/>
    <n v="190"/>
    <n v="677"/>
    <n v="1.5"/>
    <n v="4"/>
    <n v="0.3"/>
    <n v="0.3"/>
    <n v="1300"/>
    <n v="54000"/>
    <n v="1700"/>
    <n v="92000"/>
    <m/>
    <m/>
  </r>
  <r>
    <n v="2575"/>
    <s v="RIVER SIKRAHNA AT LAL PARSA, BETIAH, EAST_x000a_CHAMPARAN"/>
    <x v="5"/>
    <n v="20"/>
    <n v="31"/>
    <n v="4.4000000000000004"/>
    <n v="9.6"/>
    <n v="7.1"/>
    <n v="7.8"/>
    <n v="177"/>
    <n v="392"/>
    <n v="1.4"/>
    <n v="3"/>
    <n v="0.3"/>
    <n v="0.3"/>
    <n v="1700"/>
    <n v="92000"/>
    <n v="2100"/>
    <n v="160000"/>
    <m/>
    <m/>
  </r>
  <r>
    <n v="3134"/>
    <s v="RIVER SIKRAHNA AT LAURIA, HARINAGAR ROAD BRIDGE"/>
    <x v="5"/>
    <n v="18"/>
    <n v="29"/>
    <n v="5.2"/>
    <n v="9.1999999999999993"/>
    <n v="7.2"/>
    <n v="8"/>
    <n v="220"/>
    <n v="329"/>
    <n v="1"/>
    <n v="2.6"/>
    <n v="0.3"/>
    <n v="0.3"/>
    <n v="4900"/>
    <n v="24000"/>
    <n v="7900"/>
    <n v="35000"/>
    <m/>
    <m/>
  </r>
  <r>
    <n v="4291"/>
    <s v="RIVER SIKRAHNA LAURIA-NARKATIAGANJ ROAD_x000a_BRIDGE, WEST CHAMPARAN"/>
    <x v="5"/>
    <n v="19"/>
    <n v="36"/>
    <n v="1.7"/>
    <n v="12.3"/>
    <n v="7.3"/>
    <n v="8"/>
    <n v="207"/>
    <n v="436"/>
    <n v="1.6"/>
    <n v="7"/>
    <n v="0.3"/>
    <n v="0.3"/>
    <n v="1700"/>
    <n v="92000"/>
    <n v="2700"/>
    <n v="160000"/>
    <m/>
    <m/>
  </r>
  <r>
    <n v="2562"/>
    <s v="RIVER BURHI GANDAK AT AKHARAGHAT,_x000a_MUZAFFARPUR"/>
    <x v="5"/>
    <n v="18"/>
    <n v="32"/>
    <n v="6.5"/>
    <n v="9.1999999999999993"/>
    <n v="7.3"/>
    <n v="8.1"/>
    <n v="201"/>
    <n v="456"/>
    <n v="1"/>
    <n v="2.6"/>
    <n v="0.3"/>
    <n v="0.33"/>
    <n v="2300"/>
    <n v="92000"/>
    <n v="3300"/>
    <n v="160000"/>
    <m/>
    <m/>
  </r>
  <r>
    <n v="2570"/>
    <s v="RIVER BURHI GANDAK NEAR MAGARDAHI GHAT AT_x000a_SAMASTIPUR ROAD BRIDGE, SAMASTIPUR"/>
    <x v="5"/>
    <n v="22"/>
    <n v="38"/>
    <n v="6.5"/>
    <n v="9.8000000000000007"/>
    <n v="7.2"/>
    <n v="8.5"/>
    <n v="219"/>
    <n v="402"/>
    <n v="1"/>
    <n v="2.6"/>
    <n v="0.3"/>
    <n v="0.3"/>
    <n v="3300"/>
    <n v="92000"/>
    <n v="4900"/>
    <n v="160000"/>
    <m/>
    <m/>
  </r>
  <r>
    <n v="3124"/>
    <s v="RIVER BURHI GANDAK U/S ROAD BRIDGE NH NEAR_x000a_ZERO MILE MUZAFFARPUR"/>
    <x v="5"/>
    <n v="18"/>
    <n v="33"/>
    <n v="6.8"/>
    <n v="9.1"/>
    <n v="7.2"/>
    <n v="8"/>
    <n v="198"/>
    <n v="447"/>
    <n v="1"/>
    <n v="2.8"/>
    <n v="0.3"/>
    <n v="0.3"/>
    <n v="1300"/>
    <n v="92000"/>
    <n v="2300"/>
    <n v="160000"/>
    <m/>
    <m/>
  </r>
  <r>
    <n v="4295"/>
    <s v="RIVER BURHI GANDAK AT KHAGARIA ROAD BRIDGE_x000a_BEFORE CONFLUENCE WITH GANGA , KHAGARIA"/>
    <x v="5"/>
    <n v="14"/>
    <n v="30"/>
    <n v="6.8"/>
    <n v="8.9"/>
    <n v="7.3"/>
    <n v="8.3000000000000007"/>
    <n v="202"/>
    <n v="521"/>
    <n v="1"/>
    <n v="2.6"/>
    <n v="0.3"/>
    <n v="0.3"/>
    <n v="4900"/>
    <n v="92000"/>
    <n v="7900"/>
    <n v="160000"/>
    <m/>
    <m/>
  </r>
  <r>
    <n v="4300"/>
    <s v="RIVER BURHI GANDAK AT LAL BAGLA GHAT, MOTIHARI_x000a_DHAKA ROAD, EAST CHAMPARAN"/>
    <x v="5"/>
    <n v="20"/>
    <n v="31"/>
    <n v="6.2"/>
    <n v="8.9"/>
    <n v="7.3"/>
    <n v="8"/>
    <n v="218"/>
    <n v="398"/>
    <n v="1"/>
    <n v="3"/>
    <n v="0.3"/>
    <n v="0.3"/>
    <n v="2300"/>
    <n v="35000"/>
    <n v="4600"/>
    <n v="92000"/>
    <m/>
    <m/>
  </r>
  <r>
    <n v="4403"/>
    <s v="RIVER BURHI GANDAK AT BARACHAKIA, EAST_x000a_CHAMPARAN"/>
    <x v="5"/>
    <n v="20"/>
    <n v="30"/>
    <n v="7"/>
    <n v="9.1999999999999993"/>
    <n v="7.5"/>
    <n v="8.1"/>
    <n v="180"/>
    <n v="415"/>
    <n v="1"/>
    <n v="2.5"/>
    <n v="0.3"/>
    <n v="0.32"/>
    <n v="2300"/>
    <n v="22000"/>
    <n v="3300"/>
    <n v="28000"/>
    <m/>
    <m/>
  </r>
  <r>
    <n v="1822"/>
    <s v="RIVER SIRSIYA AT RAXAUL,BIRGANJ CHECK POST ROAD_x000a_BRIDGE EAST CHAMPARAN"/>
    <x v="5"/>
    <n v="14"/>
    <n v="30"/>
    <n v="0.3"/>
    <n v="3.9"/>
    <n v="7.2"/>
    <n v="7.8"/>
    <n v="249"/>
    <n v="980"/>
    <n v="3.2"/>
    <n v="9"/>
    <n v="0.3"/>
    <n v="0.3"/>
    <n v="13000"/>
    <n v="240000"/>
    <n v="22000"/>
    <n v="540000"/>
    <m/>
    <m/>
  </r>
  <r>
    <n v="3136"/>
    <s v="RIVER SIRSIYA D/S RAXAUL (KOERIA TOLA), EAST_x000a_CHAMPARAN"/>
    <x v="5"/>
    <n v="17"/>
    <n v="30"/>
    <n v="0.3"/>
    <n v="3.7"/>
    <n v="7.2"/>
    <n v="7.8"/>
    <n v="256"/>
    <n v="987"/>
    <n v="3"/>
    <n v="8"/>
    <n v="0.3"/>
    <n v="0.3"/>
    <n v="7900"/>
    <n v="350000"/>
    <n v="17000"/>
    <n v="540000"/>
    <m/>
    <m/>
  </r>
  <r>
    <n v="2558"/>
    <s v="RIVER HARBORA D/S AT NARKATIAGANJ, WEST_x000a_CHAMPARAN"/>
    <x v="5"/>
    <n v="16"/>
    <n v="35"/>
    <n v="0.4"/>
    <n v="10.6"/>
    <n v="7.2"/>
    <n v="7.9"/>
    <n v="264"/>
    <n v="579"/>
    <n v="1"/>
    <n v="14"/>
    <n v="0.3"/>
    <n v="0.3"/>
    <n v="1700"/>
    <n v="92000"/>
    <n v="4900"/>
    <n v="160000"/>
    <m/>
    <m/>
  </r>
  <r>
    <n v="3126"/>
    <s v="RIVER HARBORA,U/S AT NARKATIAGANJ, WEST_x000a_CHAMPARAN"/>
    <x v="5"/>
    <n v="16"/>
    <n v="35"/>
    <n v="5.6"/>
    <n v="11.2"/>
    <n v="7.4"/>
    <n v="7.9"/>
    <n v="268"/>
    <n v="450"/>
    <n v="1"/>
    <n v="3"/>
    <n v="0.12"/>
    <n v="0.3"/>
    <n v="1300"/>
    <n v="35000"/>
    <n v="4900"/>
    <n v="92000"/>
    <m/>
    <m/>
  </r>
  <r>
    <n v="2566"/>
    <s v="RIVER KOSHI AT MADHEPURA"/>
    <x v="5"/>
    <n v="15"/>
    <n v="37"/>
    <n v="7.2"/>
    <n v="9"/>
    <n v="7.3"/>
    <n v="8.3000000000000007"/>
    <n v="147"/>
    <n v="296"/>
    <n v="1"/>
    <n v="2.5"/>
    <n v="0.3"/>
    <n v="0.3"/>
    <n v="680"/>
    <n v="92000"/>
    <n v="1400"/>
    <n v="160000"/>
    <m/>
    <m/>
  </r>
  <r>
    <n v="3137"/>
    <s v="RIVER KOSHI AT BEERPUR, SUPAUL"/>
    <x v="5"/>
    <n v="16"/>
    <n v="32"/>
    <n v="7.2"/>
    <n v="8.8000000000000007"/>
    <n v="7.5"/>
    <n v="8.1"/>
    <n v="193"/>
    <n v="368"/>
    <n v="1"/>
    <n v="2.5"/>
    <n v="0.3"/>
    <n v="0.3"/>
    <n v="130"/>
    <n v="54000"/>
    <n v="230"/>
    <n v="160000"/>
    <m/>
    <m/>
  </r>
  <r>
    <n v="2565"/>
    <s v="RIVER KOSHI AT KURSHELA AT KATIHAR"/>
    <x v="5"/>
    <n v="16"/>
    <n v="29"/>
    <n v="7"/>
    <n v="9.3000000000000007"/>
    <n v="7"/>
    <n v="8.4"/>
    <n v="137"/>
    <n v="236"/>
    <n v="1"/>
    <n v="2.5"/>
    <n v="0.3"/>
    <n v="0.3"/>
    <n v="1700"/>
    <n v="92000"/>
    <n v="2200"/>
    <n v="160000"/>
    <m/>
    <m/>
  </r>
  <r>
    <n v="1821"/>
    <s v="RIVER DAHA U/S RAJENDRA ROAD BRIDGE AT SIWAN"/>
    <x v="5"/>
    <n v="17"/>
    <n v="32"/>
    <n v="1.7"/>
    <n v="6.9"/>
    <n v="7.3"/>
    <n v="7.9"/>
    <n v="230"/>
    <n v="589"/>
    <n v="2.1"/>
    <n v="3.8"/>
    <n v="0.11"/>
    <n v="0.3"/>
    <n v="3300"/>
    <n v="92000"/>
    <n v="4900"/>
    <n v="160000"/>
    <m/>
    <m/>
  </r>
  <r>
    <n v="2560"/>
    <s v="RIVER DAHA D/S AT SASAMUSA, GOPALGANJ"/>
    <x v="5"/>
    <n v="18"/>
    <n v="30"/>
    <n v="6.5"/>
    <n v="8.6"/>
    <n v="7.1"/>
    <n v="8.1999999999999993"/>
    <n v="262"/>
    <n v="406"/>
    <n v="1"/>
    <n v="2.4"/>
    <n v="0.3"/>
    <n v="0.3"/>
    <n v="4900"/>
    <n v="54000"/>
    <n v="11000"/>
    <n v="92000"/>
    <m/>
    <m/>
  </r>
  <r>
    <n v="2561"/>
    <s v="RIVER DAHA AT ITWA BRIDGE, GOPALGANJ"/>
    <x v="5"/>
    <n v="18"/>
    <n v="32"/>
    <n v="4.8"/>
    <n v="8.1999999999999993"/>
    <n v="7.2"/>
    <n v="8.1999999999999993"/>
    <n v="198"/>
    <n v="511"/>
    <n v="1.2"/>
    <n v="2.8"/>
    <n v="0.3"/>
    <n v="0.3"/>
    <n v="1300"/>
    <n v="92000"/>
    <n v="2300"/>
    <n v="160000"/>
    <m/>
    <m/>
  </r>
  <r>
    <n v="3129"/>
    <s v="RIVER DAHA AT MEERGANJ NEAR BADARJHIMMI BAZAR,_x000a_GOPALGANJ"/>
    <x v="5"/>
    <n v="17"/>
    <n v="32"/>
    <n v="5.6"/>
    <n v="7.9"/>
    <n v="7.3"/>
    <n v="8.1"/>
    <n v="193"/>
    <n v="499"/>
    <n v="1.8"/>
    <n v="2.9"/>
    <n v="0.3"/>
    <n v="0.3"/>
    <n v="1300"/>
    <n v="35000"/>
    <n v="2300"/>
    <n v="54000"/>
    <m/>
    <m/>
  </r>
  <r>
    <n v="4292"/>
    <s v="RIVER DAHA U/S SASAMUSA, GOPALGANJ"/>
    <x v="5"/>
    <n v="18"/>
    <n v="31"/>
    <n v="6.2"/>
    <n v="8.9"/>
    <n v="7.3"/>
    <n v="8.1"/>
    <n v="227"/>
    <n v="435"/>
    <n v="1"/>
    <n v="2.9"/>
    <n v="0.3"/>
    <n v="0.3"/>
    <n v="1300"/>
    <n v="54000"/>
    <n v="2300"/>
    <n v="92000"/>
    <m/>
    <m/>
  </r>
  <r>
    <n v="4397"/>
    <s v="RIVER DAHA D/S AT RENUA, SIWAN"/>
    <x v="5"/>
    <n v="16"/>
    <n v="32"/>
    <n v="1"/>
    <n v="6.7"/>
    <n v="7.1"/>
    <n v="7.9"/>
    <n v="205"/>
    <n v="648"/>
    <n v="2.1"/>
    <n v="4.2"/>
    <n v="0.3"/>
    <n v="0.3"/>
    <n v="13000"/>
    <n v="92000"/>
    <n v="22000"/>
    <n v="160000"/>
    <m/>
    <m/>
  </r>
  <r>
    <n v="1823"/>
    <s v="RIVER DHOS AT SAHARGHAT, MADHUBANI"/>
    <x v="5"/>
    <n v="21"/>
    <n v="30"/>
    <n v="3.5"/>
    <n v="8.5"/>
    <n v="7.1"/>
    <n v="8.3000000000000007"/>
    <n v="224"/>
    <n v="332"/>
    <n v="1.3"/>
    <n v="3"/>
    <n v="0.3"/>
    <n v="0.9"/>
    <n v="7900"/>
    <n v="92000"/>
    <n v="11000"/>
    <n v="160000"/>
    <m/>
    <m/>
  </r>
  <r>
    <n v="4405"/>
    <s v="RIVER DHOS AT MADHWAPUR, MADHUBANI"/>
    <x v="5"/>
    <n v="21"/>
    <n v="30"/>
    <n v="3"/>
    <n v="8.3000000000000007"/>
    <n v="7.2"/>
    <n v="8.3000000000000007"/>
    <n v="165"/>
    <n v="350"/>
    <n v="1.3"/>
    <n v="4"/>
    <n v="0.3"/>
    <n v="0.3"/>
    <n v="3300"/>
    <n v="92000"/>
    <n v="4900"/>
    <n v="160000"/>
    <m/>
    <m/>
  </r>
  <r>
    <n v="2559"/>
    <s v="RIVER RAMREKHA AT HARINAGAR, WEST CHAMPARAN"/>
    <x v="5"/>
    <n v="15"/>
    <n v="30"/>
    <n v="0.3"/>
    <n v="6.3"/>
    <n v="6.7"/>
    <n v="7.8"/>
    <n v="283"/>
    <n v="735"/>
    <n v="2.5"/>
    <n v="8"/>
    <n v="0.3"/>
    <n v="0.3"/>
    <n v="2300"/>
    <n v="92000"/>
    <n v="3300"/>
    <n v="160000"/>
    <m/>
    <m/>
  </r>
  <r>
    <n v="3130"/>
    <s v="RIVER RAMREKHA AT U/S HARINAGAR, WEST_x000a_CHAMPARAN"/>
    <x v="5"/>
    <n v="14"/>
    <n v="29"/>
    <n v="0.3"/>
    <n v="6.5"/>
    <n v="7.1"/>
    <n v="7.8"/>
    <n v="263"/>
    <n v="359"/>
    <n v="2.1"/>
    <n v="8"/>
    <n v="0.3"/>
    <n v="0.3"/>
    <n v="7000"/>
    <n v="92000"/>
    <n v="14000"/>
    <n v="160000"/>
    <m/>
    <m/>
  </r>
  <r>
    <n v="3132"/>
    <s v="RIVER BAGMATI AT MUZAFFARPUR- SITAMARHI ROAD_x000a_BRIDGE, SITAMARHI"/>
    <x v="5"/>
    <n v="19"/>
    <n v="30"/>
    <n v="7.1"/>
    <n v="9.8000000000000007"/>
    <n v="7.3"/>
    <n v="8.1999999999999993"/>
    <n v="236"/>
    <n v="359"/>
    <n v="1"/>
    <n v="2.2000000000000002"/>
    <n v="0.3"/>
    <n v="0.3"/>
    <n v="170"/>
    <n v="54000"/>
    <n v="790"/>
    <n v="92000"/>
    <m/>
    <m/>
  </r>
  <r>
    <n v="3135"/>
    <s v="RIVER BAGMATI AT DARBHANGA, SAMASTIPUR ROAD_x000a_BRIDGE, DARBHANGA"/>
    <x v="5"/>
    <n v="21"/>
    <n v="30"/>
    <n v="5.9"/>
    <n v="9.5"/>
    <n v="7.5"/>
    <n v="8.4"/>
    <n v="168"/>
    <n v="372"/>
    <n v="1"/>
    <n v="2.9"/>
    <n v="0.3"/>
    <n v="0.3"/>
    <n v="1300"/>
    <n v="35000"/>
    <n v="2400"/>
    <n v="92000"/>
    <m/>
    <m/>
  </r>
  <r>
    <n v="2563"/>
    <s v="RIVER MANUSMAR AT RIGA, UPHRAULIA, SITAMARHI"/>
    <x v="5"/>
    <n v="20"/>
    <n v="31"/>
    <n v="6.4"/>
    <n v="9.8000000000000007"/>
    <n v="7.3"/>
    <n v="8.4"/>
    <n v="230"/>
    <n v="515"/>
    <n v="1"/>
    <n v="2.7"/>
    <n v="0.3"/>
    <n v="0.3"/>
    <n v="2300"/>
    <n v="24000"/>
    <n v="3300"/>
    <n v="54000"/>
    <m/>
    <m/>
  </r>
  <r>
    <n v="3131"/>
    <s v="RIVER MANUSMAR U/S (RIGA), SITAMARHI"/>
    <x v="5"/>
    <n v="19"/>
    <n v="31"/>
    <n v="6.9"/>
    <n v="9.6"/>
    <n v="7.2"/>
    <n v="8.3000000000000007"/>
    <n v="226"/>
    <n v="456"/>
    <n v="1"/>
    <n v="2.5"/>
    <n v="0.3"/>
    <n v="0.3"/>
    <n v="1700"/>
    <n v="24000"/>
    <n v="3300"/>
    <n v="35000"/>
    <m/>
    <m/>
  </r>
  <r>
    <n v="4402"/>
    <s v="RIVER MANUSMAR AT PARSHURAMPUR, RIGA -BELSAND ROAD, SITAMARHI"/>
    <x v="5"/>
    <n v="19"/>
    <n v="31"/>
    <n v="7.5"/>
    <n v="8.9"/>
    <n v="7.4"/>
    <n v="8.1999999999999993"/>
    <n v="336"/>
    <n v="369"/>
    <n v="1"/>
    <n v="1.9"/>
    <n v="0.3"/>
    <n v="0.3"/>
    <n v="1300"/>
    <n v="35000"/>
    <n v="3300"/>
    <n v="92000"/>
    <m/>
    <m/>
  </r>
  <r>
    <n v="2555"/>
    <s v="RIVER PUNPUN NEAR PATNA FATUHA ROAD BRIDGE,_x000a_FATUHA"/>
    <x v="5"/>
    <n v="14"/>
    <n v="33"/>
    <n v="0.3"/>
    <n v="6.7"/>
    <n v="7"/>
    <n v="8"/>
    <n v="280"/>
    <n v="925"/>
    <n v="1.8"/>
    <n v="5"/>
    <n v="0.3"/>
    <n v="0.3"/>
    <n v="22000"/>
    <n v="92000"/>
    <n v="28000"/>
    <n v="160000"/>
    <m/>
    <m/>
  </r>
  <r>
    <n v="3119"/>
    <s v="RIVER UNPUN NEAR PUNPUN ROAD BRIDGE, PUNPUN"/>
    <x v="5"/>
    <n v="13"/>
    <n v="29"/>
    <n v="7.5"/>
    <n v="8.6"/>
    <n v="7.5"/>
    <n v="8"/>
    <n v="230"/>
    <n v="462"/>
    <n v="1.1000000000000001"/>
    <n v="2.2000000000000002"/>
    <n v="0.3"/>
    <n v="0.3"/>
    <n v="7000"/>
    <n v="35000"/>
    <n v="11000"/>
    <n v="54000"/>
    <m/>
    <m/>
  </r>
  <r>
    <n v="3120"/>
    <s v="RIVER PUNPUN AT KINJAR ROAD BRIDGE, JEHANABAD-ARWAL BORDER , JEHANABAD"/>
    <x v="5"/>
    <n v="10"/>
    <n v="31"/>
    <n v="7.3"/>
    <n v="9.5"/>
    <n v="7.5"/>
    <n v="8.4"/>
    <n v="222"/>
    <n v="365"/>
    <n v="1"/>
    <n v="2.6"/>
    <n v="0.3"/>
    <n v="0.3"/>
    <n v="450"/>
    <n v="28000"/>
    <n v="3300"/>
    <n v="92000"/>
    <m/>
    <m/>
  </r>
  <r>
    <n v="4406"/>
    <s v="RIVER PUNPUN AT OBRA, AURANGABAD"/>
    <x v="5"/>
    <n v="13"/>
    <n v="29"/>
    <n v="7.2"/>
    <n v="8.6"/>
    <n v="7.5"/>
    <n v="8.1999999999999993"/>
    <n v="198"/>
    <n v="430"/>
    <n v="1"/>
    <n v="2.1"/>
    <n v="0.3"/>
    <n v="0.3"/>
    <n v="7900"/>
    <n v="92000"/>
    <n v="11000"/>
    <n v="160000"/>
    <m/>
    <m/>
  </r>
  <r>
    <n v="4293"/>
    <s v="RIVER KOHRA U/S RAJ GHAT, MAJHAULIA, WEST_x000a_CHAMPARAN"/>
    <x v="5"/>
    <n v="20"/>
    <n v="32"/>
    <n v="3.6"/>
    <n v="11.4"/>
    <n v="7.2"/>
    <n v="7.8"/>
    <n v="246"/>
    <n v="580"/>
    <n v="1.5"/>
    <n v="3.1"/>
    <n v="0.3"/>
    <n v="0.3"/>
    <n v="1300"/>
    <n v="92000"/>
    <n v="2200"/>
    <n v="160000"/>
    <m/>
    <m/>
  </r>
  <r>
    <n v="4294"/>
    <s v="RIVER KOHRA D/S NEAR RAILWAY BRIDGE, MAJHAULIA,_x000a_WEST CHAMPARAN"/>
    <x v="5"/>
    <n v="20"/>
    <n v="32"/>
    <n v="0.3"/>
    <n v="9.6999999999999993"/>
    <n v="7.3"/>
    <n v="8.3000000000000007"/>
    <n v="252"/>
    <n v="897"/>
    <n v="1.6"/>
    <n v="20"/>
    <n v="0.3"/>
    <n v="0.3"/>
    <n v="1300"/>
    <n v="92000"/>
    <n v="3300"/>
    <n v="160000"/>
    <m/>
    <m/>
  </r>
  <r>
    <n v="4399"/>
    <s v="RIVER HARHA AT BAGHA, LAURIYA ROAD BRIDGE"/>
    <x v="5"/>
    <n v="18"/>
    <n v="33"/>
    <n v="5.0999999999999996"/>
    <n v="9.8000000000000007"/>
    <n v="7.5"/>
    <n v="8.1"/>
    <n v="204"/>
    <n v="392"/>
    <n v="1"/>
    <n v="2.6"/>
    <n v="0.3"/>
    <n v="0.3"/>
    <n v="1100"/>
    <n v="54000"/>
    <n v="2100"/>
    <n v="92000"/>
    <m/>
    <m/>
  </r>
  <r>
    <n v="4400"/>
    <s v="RIVER LAKHANDEI U/S SITAMARHI AT MEHANDI NAGAR"/>
    <x v="5"/>
    <n v="19"/>
    <n v="30"/>
    <n v="5.2"/>
    <n v="9.4"/>
    <n v="7.5"/>
    <n v="8.1999999999999993"/>
    <n v="240"/>
    <n v="396"/>
    <n v="1"/>
    <n v="2.2000000000000002"/>
    <n v="0.3"/>
    <n v="0.3"/>
    <n v="1300"/>
    <n v="54000"/>
    <n v="2600"/>
    <n v="160000"/>
    <m/>
    <m/>
  </r>
  <r>
    <n v="4401"/>
    <s v="RIVER LAKHANDEI D/S SITAMARHI AT PARORI ROAD_x000a_BRIDGE"/>
    <x v="5"/>
    <n v="19"/>
    <n v="30"/>
    <n v="4.0999999999999996"/>
    <n v="7.1"/>
    <n v="7.5"/>
    <n v="8.1"/>
    <n v="264"/>
    <n v="461"/>
    <n v="1.5"/>
    <n v="3.5"/>
    <n v="0.3"/>
    <n v="0.3"/>
    <n v="2100"/>
    <n v="92000"/>
    <n v="7000"/>
    <n v="160000"/>
    <m/>
    <m/>
  </r>
  <r>
    <n v="4404"/>
    <s v="RIVER GANGI AT ARA, D/S"/>
    <x v="5"/>
    <n v="18"/>
    <n v="29"/>
    <n v="1.5"/>
    <n v="6.2"/>
    <n v="7.5"/>
    <n v="8.1999999999999993"/>
    <n v="169"/>
    <n v="663"/>
    <n v="2.4"/>
    <n v="8"/>
    <n v="0.3"/>
    <n v="0.3"/>
    <n v="11000"/>
    <n v="92000"/>
    <n v="14000"/>
    <n v="160000"/>
    <m/>
    <m/>
  </r>
  <r>
    <n v="1824"/>
    <s v="RIVER PARMAR AT JOGBANI, ARARIA"/>
    <x v="5"/>
    <n v="16"/>
    <n v="34"/>
    <n v="6.4"/>
    <n v="8.5"/>
    <n v="7.3"/>
    <n v="8"/>
    <n v="210"/>
    <n v="341"/>
    <n v="1"/>
    <n v="2.6"/>
    <n v="0.3"/>
    <n v="0.3"/>
    <n v="4900"/>
    <n v="92000"/>
    <n v="7900"/>
    <n v="160000"/>
    <m/>
    <m/>
  </r>
  <r>
    <n v="2117"/>
    <s v="RIVER BICHIA,GOVINDGARH ROAD BRIDGE ,NEAR_x000a_INTAKE POINT,REWA"/>
    <x v="10"/>
    <n v="21.2"/>
    <n v="29.5"/>
    <n v="6.4"/>
    <n v="7.2"/>
    <n v="7.1"/>
    <n v="8.5"/>
    <n v="258"/>
    <n v="571"/>
    <n v="1.8"/>
    <n v="2.8"/>
    <n v="0.71"/>
    <n v="1.06"/>
    <n v="2"/>
    <n v="8"/>
    <n v="63"/>
    <n v="94"/>
    <n v="2"/>
    <n v="2"/>
  </r>
  <r>
    <n v="1433"/>
    <s v="RIVER SANKH AT TIGRA RESERVOIR, M.P."/>
    <x v="10"/>
    <n v="15"/>
    <n v="31.1"/>
    <n v="1.6"/>
    <n v="8.6999999999999993"/>
    <n v="7.2"/>
    <n v="7.7"/>
    <n v="128"/>
    <n v="620"/>
    <n v="1.1000000000000001"/>
    <n v="1.8"/>
    <n v="0.4"/>
    <n v="1.2"/>
    <n v="2"/>
    <n v="6"/>
    <n v="10"/>
    <n v="24"/>
    <m/>
    <m/>
  </r>
  <r>
    <n v="1075"/>
    <s v="RIVER SONE AT KOILWAR, NEAR MANDIR, BHOJPUR"/>
    <x v="5"/>
    <n v="15"/>
    <n v="29"/>
    <n v="7.9"/>
    <n v="8.9"/>
    <n v="7"/>
    <n v="8.1"/>
    <n v="133"/>
    <n v="254"/>
    <n v="1"/>
    <n v="2"/>
    <n v="0.3"/>
    <n v="0.3"/>
    <n v="490"/>
    <n v="7900"/>
    <n v="790"/>
    <n v="17000"/>
    <m/>
    <m/>
  </r>
  <r>
    <n v="3127"/>
    <s v="RIVER SONE AT BAHIYARA, BHOJPUR"/>
    <x v="5"/>
    <n v="16"/>
    <n v="28"/>
    <n v="7.6"/>
    <n v="8.8000000000000007"/>
    <n v="7.2"/>
    <n v="8.1999999999999993"/>
    <n v="137"/>
    <n v="268"/>
    <n v="1"/>
    <n v="2"/>
    <n v="0.3"/>
    <n v="0.3"/>
    <n v="330"/>
    <n v="17000"/>
    <n v="490"/>
    <n v="28000"/>
    <m/>
    <m/>
  </r>
  <r>
    <n v="4913"/>
    <s v="RIVER SONE AT ARWAL NEAR BALUGHAT (SAHAR)"/>
    <x v="5"/>
    <n v="10"/>
    <n v="32"/>
    <n v="7.5"/>
    <n v="8.9"/>
    <n v="7.3"/>
    <n v="8.1999999999999993"/>
    <n v="166"/>
    <n v="394"/>
    <n v="1"/>
    <n v="2.8"/>
    <n v="0.3"/>
    <n v="0.3"/>
    <n v="130"/>
    <n v="35000"/>
    <n v="230"/>
    <n v="54000"/>
    <m/>
    <m/>
  </r>
  <r>
    <n v="3128"/>
    <s v="RIVER SONE AT NASIRIGANJ DAM, ROHTAS"/>
    <x v="5"/>
    <n v="15"/>
    <n v="33"/>
    <n v="7.5"/>
    <n v="9.1999999999999993"/>
    <n v="7.4"/>
    <n v="8.1999999999999993"/>
    <n v="143"/>
    <n v="359"/>
    <n v="1"/>
    <n v="3"/>
    <n v="0.3"/>
    <n v="0.3"/>
    <n v="1300"/>
    <n v="92000"/>
    <n v="2300"/>
    <n v="160000"/>
    <m/>
    <m/>
  </r>
  <r>
    <n v="4298"/>
    <s v="RIVER SONE AT ROAD BRIDGE-DEHRI-ON-SONE,_x000a_ROHTAS"/>
    <x v="5"/>
    <n v="10"/>
    <n v="30"/>
    <n v="7.5"/>
    <n v="8.9"/>
    <n v="7.4"/>
    <n v="8.1"/>
    <n v="137"/>
    <n v="341"/>
    <n v="1"/>
    <n v="2.1"/>
    <n v="0.3"/>
    <n v="0.3"/>
    <n v="1100"/>
    <n v="28000"/>
    <n v="1700"/>
    <n v="35000"/>
    <m/>
    <m/>
  </r>
  <r>
    <n v="2556"/>
    <s v="RIVER SONE AT INDRAPURI DAM, DEHRI ON SONE,_x000a_ROHTAS"/>
    <x v="5"/>
    <n v="14"/>
    <n v="31"/>
    <n v="7.6"/>
    <n v="9.5"/>
    <n v="7.5"/>
    <n v="8.1"/>
    <n v="126"/>
    <n v="302"/>
    <n v="1"/>
    <n v="2.5"/>
    <n v="0.3"/>
    <n v="0.3"/>
    <n v="1300"/>
    <n v="17000"/>
    <n v="2300"/>
    <n v="28000"/>
    <m/>
    <m/>
  </r>
  <r>
    <n v="4407"/>
    <s v="RIVER SONE AT WATER INTAKE POINT BHARTIYA RAIL_x000a_BIJALI CO. LTD (BRBCL) NAVINAGAR, AURANGABAD"/>
    <x v="5"/>
    <n v="13"/>
    <n v="33"/>
    <n v="7.5"/>
    <n v="8.5"/>
    <n v="7.3"/>
    <n v="8.1"/>
    <n v="144"/>
    <n v="225"/>
    <n v="1"/>
    <n v="2.6"/>
    <n v="0.3"/>
    <n v="0.3"/>
    <n v="780"/>
    <n v="35000"/>
    <n v="2300"/>
    <n v="92000"/>
    <m/>
    <m/>
  </r>
  <r>
    <n v="3121"/>
    <s v="RIVER SONE AT BANJARI NEAR BANJARI NEAR SUN_x000a_TEMPLE KALYANPUR, ROHTAS"/>
    <x v="5"/>
    <n v="15"/>
    <n v="30"/>
    <n v="7"/>
    <n v="9.1999999999999993"/>
    <n v="7.4"/>
    <n v="8.1"/>
    <n v="127"/>
    <n v="318"/>
    <n v="1"/>
    <n v="2.1"/>
    <n v="0.3"/>
    <n v="0.3"/>
    <n v="790"/>
    <n v="35000"/>
    <n v="1300"/>
    <n v="92000"/>
    <m/>
    <m/>
  </r>
  <r>
    <n v="30081"/>
    <s v="RIVER SONE AT ROAD BRIDGE CHOPAN,DIST-SONEBHADRA (U.P.)"/>
    <x v="4"/>
    <n v="21"/>
    <n v="27.2"/>
    <n v="7"/>
    <n v="10.7"/>
    <n v="7.3"/>
    <n v="8.3000000000000007"/>
    <n v="200"/>
    <n v="358"/>
    <n v="1"/>
    <n v="1"/>
    <n v="0.32"/>
    <n v="0.32"/>
    <n v="2"/>
    <n v="17000"/>
    <n v="2"/>
    <n v="33000"/>
    <n v="2"/>
    <n v="2"/>
  </r>
  <r>
    <n v="30082"/>
    <s v="RIVER SONE UPSTREAM TOWARDS DEORA, DIST-SINGRAULI (M. P.)"/>
    <x v="10"/>
    <n v="21.5"/>
    <n v="27.3"/>
    <n v="7.4"/>
    <n v="10.9"/>
    <n v="7.3"/>
    <n v="8"/>
    <n v="254"/>
    <n v="324"/>
    <n v="1"/>
    <n v="2.2999999999999998"/>
    <n v="0.32"/>
    <n v="0.32"/>
    <n v="2"/>
    <n v="4500"/>
    <n v="2"/>
    <n v="7800"/>
    <n v="2"/>
    <n v="2"/>
  </r>
  <r>
    <n v="4604"/>
    <s v="RIVER RIVER SONE AT VILLAGE- KHAIRPUR,(KUDHERI)_x000a_M.P- U.P.BOUNDARY, DISTT SIDHI"/>
    <x v="10"/>
    <n v="19.600000000000001"/>
    <n v="29.1"/>
    <n v="7"/>
    <n v="7.5"/>
    <n v="7.7"/>
    <n v="7.9"/>
    <n v="290"/>
    <n v="372"/>
    <n v="1.3"/>
    <n v="1.5"/>
    <n v="0.5"/>
    <n v="0.95"/>
    <n v="2"/>
    <n v="2"/>
    <n v="41"/>
    <n v="46"/>
    <n v="2"/>
    <n v="2"/>
  </r>
  <r>
    <n v="3834"/>
    <s v="RIVER SONE AT CHITAWAL NEAR ROAD BRIDGE_x000a_CHITRANGI, DIST_x000a_SINGROULI"/>
    <x v="10"/>
    <n v="24"/>
    <n v="27.3"/>
    <n v="5.8"/>
    <n v="8.9"/>
    <n v="7.5"/>
    <n v="8.4"/>
    <n v="265"/>
    <n v="680"/>
    <n v="1.6"/>
    <n v="7"/>
    <n v="0"/>
    <n v="3.99"/>
    <n v="2"/>
    <n v="2"/>
    <n v="50"/>
    <n v="78"/>
    <m/>
    <m/>
  </r>
  <r>
    <n v="3836"/>
    <s v="RIVER SONE ON KACHAN DAM NEAR IMILYA NORTH_x000a_COAL MINES VILL MAJHOULI, DIST SINGROULI"/>
    <x v="10"/>
    <n v="25"/>
    <n v="28.2"/>
    <n v="5.5"/>
    <n v="7.1"/>
    <n v="7.5"/>
    <n v="7.5"/>
    <n v="255"/>
    <n v="306"/>
    <n v="1.1000000000000001"/>
    <n v="1.9"/>
    <n v="0"/>
    <n v="0"/>
    <m/>
    <m/>
    <m/>
    <m/>
    <m/>
    <m/>
  </r>
  <r>
    <n v="3851"/>
    <s v="RIVER SONE NEAR BHANVARSEN ROAD BRIDGE AFTER_x000a_CONFLUENCE OF BANAS RIVER, DIST SIDHI"/>
    <x v="10"/>
    <n v="18.5"/>
    <n v="29.5"/>
    <n v="7.3"/>
    <n v="7.9"/>
    <n v="7.7"/>
    <n v="7.9"/>
    <n v="302"/>
    <n v="332"/>
    <n v="1.2"/>
    <n v="1.6"/>
    <n v="0.44"/>
    <n v="0.64"/>
    <n v="2"/>
    <n v="2"/>
    <n v="46"/>
    <n v="70"/>
    <n v="2"/>
    <n v="2"/>
  </r>
  <r>
    <n v="3329"/>
    <s v="RIVER SONE AT CHURHAT,DISTT.SIDHI"/>
    <x v="10"/>
    <n v="18.600000000000001"/>
    <n v="31.1"/>
    <n v="7"/>
    <n v="7.6"/>
    <n v="7.8"/>
    <n v="8"/>
    <n v="208"/>
    <n v="326"/>
    <n v="1"/>
    <n v="1.8"/>
    <n v="0.45"/>
    <n v="0.83"/>
    <n v="2"/>
    <n v="18"/>
    <n v="43"/>
    <n v="49"/>
    <n v="2"/>
    <n v="2"/>
  </r>
  <r>
    <n v="3852"/>
    <s v="BANSAGAR CANAL AT SON RIVER, WATER SAMPLE AT_x000a_BAGHWAR VILLAGE, NEAR TOL PLAZA, DIST SIDHI"/>
    <x v="10"/>
    <n v="20"/>
    <n v="29.3"/>
    <n v="7.1"/>
    <n v="7.8"/>
    <n v="7.6"/>
    <n v="8"/>
    <n v="226"/>
    <n v="388"/>
    <n v="1.1000000000000001"/>
    <n v="1.6"/>
    <n v="0.37"/>
    <n v="0.95"/>
    <n v="2"/>
    <n v="2"/>
    <n v="34"/>
    <n v="58"/>
    <n v="2"/>
    <n v="2"/>
  </r>
  <r>
    <n v="1612"/>
    <s v="RIVER SONE AT DEVLOAD OUT LET OF BANSAGAR DAM,_x000a_M.P"/>
    <x v="10"/>
    <n v="23.4"/>
    <n v="30.5"/>
    <n v="6.7"/>
    <n v="8.1"/>
    <n v="7.2"/>
    <n v="7.9"/>
    <n v="189"/>
    <n v="378"/>
    <n v="1"/>
    <n v="1.5"/>
    <n v="0.32"/>
    <n v="1.1200000000000001"/>
    <n v="2"/>
    <n v="2"/>
    <n v="3"/>
    <n v="50"/>
    <n v="2"/>
    <n v="2"/>
  </r>
  <r>
    <n v="1371"/>
    <s v="RIVER SONE AT AMLAI, M.P."/>
    <x v="10"/>
    <n v="23.5"/>
    <n v="30.4"/>
    <n v="6.6"/>
    <n v="8.1"/>
    <n v="7"/>
    <n v="8.4"/>
    <n v="205"/>
    <n v="413"/>
    <n v="1"/>
    <n v="1.8"/>
    <n v="0.32"/>
    <n v="1.3"/>
    <n v="2"/>
    <n v="2"/>
    <n v="27"/>
    <n v="73"/>
    <n v="2"/>
    <n v="2"/>
  </r>
  <r>
    <n v="3846"/>
    <s v="RIVER SONE AT JARWAHI NEAR ROAD BRIDGE,_x000a_SHAHDOL"/>
    <x v="10"/>
    <n v="23.4"/>
    <n v="30.5"/>
    <n v="6.7"/>
    <n v="9.1999999999999993"/>
    <n v="7.2"/>
    <n v="8.1999999999999993"/>
    <n v="206"/>
    <n v="2164"/>
    <n v="1"/>
    <n v="1.8"/>
    <n v="0.32"/>
    <n v="0.44"/>
    <n v="2"/>
    <n v="2"/>
    <n v="31"/>
    <n v="70"/>
    <n v="2"/>
    <n v="2"/>
  </r>
  <r>
    <n v="3327"/>
    <s v="RIVER SONE AT BHATURAGHAT NEAR ROAD BRIDGE,_x000a_AMLAI"/>
    <x v="10"/>
    <n v="23.4"/>
    <n v="30.4"/>
    <n v="6.6"/>
    <n v="7.6"/>
    <n v="6.9"/>
    <n v="8.3000000000000007"/>
    <n v="204"/>
    <n v="515"/>
    <n v="1.2"/>
    <n v="1.6"/>
    <n v="0.38"/>
    <n v="1.05"/>
    <n v="2"/>
    <n v="2"/>
    <n v="41"/>
    <n v="73"/>
    <n v="2"/>
    <n v="2"/>
  </r>
  <r>
    <n v="1142"/>
    <s v="RIVER SONE AT CHACHAI, M.P."/>
    <x v="10"/>
    <n v="23.4"/>
    <n v="30.4"/>
    <n v="6.7"/>
    <n v="8.1999999999999993"/>
    <n v="7.3"/>
    <n v="8.1999999999999993"/>
    <n v="203"/>
    <n v="426"/>
    <n v="1"/>
    <n v="1.7"/>
    <n v="0.32"/>
    <n v="14.82"/>
    <n v="2"/>
    <n v="2"/>
    <n v="27"/>
    <n v="84"/>
    <n v="2"/>
    <n v="2"/>
  </r>
  <r>
    <n v="1610"/>
    <s v="RIVER SONE AT ORIGIN AMARKANTAK, M.P"/>
    <x v="10"/>
    <n v="23.4"/>
    <n v="29.5"/>
    <n v="6.6"/>
    <n v="7.8"/>
    <n v="6.5"/>
    <n v="8"/>
    <n v="136"/>
    <n v="197"/>
    <n v="1"/>
    <n v="1.2"/>
    <n v="0.32"/>
    <n v="0.32"/>
    <n v="2"/>
    <n v="2"/>
    <n v="2"/>
    <n v="6"/>
    <n v="2"/>
    <n v="2"/>
  </r>
  <r>
    <n v="3835"/>
    <s v="GOPAD AT NIGARI, SARAI DIST, SINGROULI"/>
    <x v="10"/>
    <n v="25"/>
    <n v="26"/>
    <n v="7"/>
    <n v="7.1"/>
    <n v="7.5"/>
    <n v="7.6"/>
    <n v="240"/>
    <n v="250"/>
    <n v="1.8"/>
    <n v="1.9"/>
    <n v="0"/>
    <n v="0"/>
    <m/>
    <m/>
    <m/>
    <m/>
    <m/>
    <m/>
  </r>
  <r>
    <n v="1611"/>
    <s v="RIVER JOHILA NEAR NAROJABAD NEAR UMARIA ROAD_x000a_BRIDGE, M.P"/>
    <x v="10"/>
    <n v="23.5"/>
    <n v="30.5"/>
    <n v="6.7"/>
    <n v="8.1"/>
    <n v="7.2"/>
    <n v="8.1"/>
    <n v="189"/>
    <n v="447"/>
    <n v="1"/>
    <n v="1.6"/>
    <n v="0.32"/>
    <n v="0.5"/>
    <n v="2"/>
    <n v="2"/>
    <n v="27"/>
    <n v="73"/>
    <n v="2"/>
    <n v="2"/>
  </r>
  <r>
    <n v="2116"/>
    <s v="RIVER BEEHAR D/S NEAR FOREST OFFICE"/>
    <x v="10"/>
    <n v="21.6"/>
    <n v="30.9"/>
    <n v="6.5"/>
    <n v="7.6"/>
    <n v="7.5"/>
    <n v="8.3000000000000007"/>
    <n v="269"/>
    <n v="388"/>
    <n v="1.4"/>
    <n v="2"/>
    <n v="0.53"/>
    <n v="1.1499999999999999"/>
    <n v="2"/>
    <n v="2"/>
    <n v="43"/>
    <n v="49"/>
    <n v="2"/>
    <n v="2"/>
  </r>
  <r>
    <n v="1608"/>
    <s v="RIVER SINDH AT DABRA, M.P"/>
    <x v="10"/>
    <n v="18"/>
    <n v="24"/>
    <n v="7"/>
    <n v="8"/>
    <n v="7.1"/>
    <n v="7.7"/>
    <n v="300"/>
    <n v="540"/>
    <n v="1.4"/>
    <n v="1.8"/>
    <n v="0.3"/>
    <n v="1.3"/>
    <n v="2"/>
    <n v="6"/>
    <n v="14"/>
    <n v="36"/>
    <m/>
    <m/>
  </r>
  <r>
    <n v="3306"/>
    <s v="RIVER CHOUPAN U/S AT_x000a_VIJAYPUR , GUNA"/>
    <x v="10"/>
    <n v="18"/>
    <n v="32"/>
    <n v="7"/>
    <n v="8"/>
    <n v="7.2"/>
    <n v="7.8"/>
    <n v="290"/>
    <n v="564"/>
    <n v="1.4"/>
    <n v="2.5"/>
    <n v="0.3"/>
    <n v="2.5099999999999998"/>
    <n v="2"/>
    <n v="5"/>
    <n v="22"/>
    <n v="28"/>
    <m/>
    <m/>
  </r>
  <r>
    <n v="3307"/>
    <s v="RIVER CHOUPAN D/S AFTER NFL NALLA, AT VIJAYPUR_x000a_,GUNA"/>
    <x v="10"/>
    <n v="18"/>
    <n v="32"/>
    <n v="6.9"/>
    <n v="7.9"/>
    <n v="7"/>
    <n v="8"/>
    <n v="290"/>
    <n v="640"/>
    <n v="1.6"/>
    <n v="2.7"/>
    <n v="0.3"/>
    <n v="2.5"/>
    <n v="2"/>
    <n v="7"/>
    <n v="18"/>
    <n v="28"/>
    <m/>
    <m/>
  </r>
  <r>
    <n v="3311"/>
    <s v="RIVER JAMUNI AT BARIYAGHAT U/S NEAR INTAKE_x000a_POINT, TIKAMGARH"/>
    <x v="10"/>
    <n v="23"/>
    <n v="32"/>
    <n v="7.2"/>
    <n v="9"/>
    <n v="7.6"/>
    <n v="8.1"/>
    <n v="360"/>
    <n v="415"/>
    <n v="1"/>
    <n v="2.1"/>
    <n v="0.34"/>
    <n v="1.18"/>
    <n v="2"/>
    <n v="2"/>
    <n v="21"/>
    <n v="48"/>
    <n v="2"/>
    <n v="2"/>
  </r>
  <r>
    <n v="2401"/>
    <s v="RIVER AJAY AT MASANJORE DAM"/>
    <x v="6"/>
    <n v="15"/>
    <n v="37"/>
    <n v="5.7"/>
    <n v="7.2"/>
    <n v="7.4"/>
    <n v="7.7"/>
    <n v="102"/>
    <n v="134"/>
    <n v="1.1000000000000001"/>
    <n v="1.4"/>
    <n v="0"/>
    <n v="0"/>
    <m/>
    <m/>
    <m/>
    <m/>
    <m/>
    <m/>
  </r>
  <r>
    <n v="4490"/>
    <s v="RIVER KURWA DUMKA WATER INTAKE POINT"/>
    <x v="6"/>
    <n v="15"/>
    <n v="36"/>
    <n v="7.1"/>
    <n v="8.6999999999999993"/>
    <n v="7.4"/>
    <n v="7.6"/>
    <n v="88"/>
    <n v="220"/>
    <n v="1"/>
    <n v="1.3"/>
    <n v="0"/>
    <n v="0"/>
    <m/>
    <m/>
    <m/>
    <m/>
    <m/>
    <m/>
  </r>
  <r>
    <n v="4745"/>
    <s v="RIVER KHARKHAI BEFORE MEETING SWARNREKHA_x000a_RIVER"/>
    <x v="6"/>
    <n v="15.4"/>
    <n v="36"/>
    <n v="6.2"/>
    <n v="8.1999999999999993"/>
    <n v="6.3"/>
    <n v="8.4"/>
    <n v="216"/>
    <n v="369"/>
    <n v="1.8"/>
    <n v="4.8"/>
    <n v="0"/>
    <n v="0"/>
    <m/>
    <m/>
    <m/>
    <m/>
    <m/>
    <m/>
  </r>
  <r>
    <n v="4747"/>
    <s v="RIVER KOINA RIVER, MANOHARPUR, W.S"/>
    <x v="6"/>
    <n v="19.2"/>
    <n v="37"/>
    <n v="6.9"/>
    <n v="8.1"/>
    <n v="7.2"/>
    <n v="8.3000000000000007"/>
    <n v="234"/>
    <n v="481"/>
    <n v="1.2"/>
    <n v="3.1"/>
    <n v="0"/>
    <n v="0"/>
    <m/>
    <m/>
    <m/>
    <m/>
    <m/>
    <m/>
  </r>
  <r>
    <n v="2567"/>
    <s v="RIVER KAMALA AT BENIPATTI (MADHUBANI)"/>
    <x v="5"/>
    <n v="21"/>
    <n v="30"/>
    <n v="6.2"/>
    <n v="9.8000000000000007"/>
    <n v="7.1"/>
    <n v="8.4"/>
    <n v="160"/>
    <n v="365"/>
    <n v="1"/>
    <n v="3"/>
    <n v="0.3"/>
    <n v="0.3"/>
    <n v="7000"/>
    <n v="54000"/>
    <n v="11000"/>
    <n v="92000"/>
    <m/>
    <m/>
  </r>
  <r>
    <n v="2569"/>
    <s v="RIVER KAMALA AT GAUSAGHAT, DARBHANGA"/>
    <x v="5"/>
    <n v="14"/>
    <n v="29"/>
    <n v="2.2000000000000002"/>
    <n v="7.2"/>
    <n v="7.4"/>
    <n v="7.9"/>
    <n v="131"/>
    <n v="864"/>
    <n v="1.4"/>
    <n v="4"/>
    <n v="0.3"/>
    <n v="0.3"/>
    <n v="4900"/>
    <n v="92000"/>
    <n v="17000"/>
    <n v="160000"/>
    <m/>
    <m/>
  </r>
  <r>
    <n v="3133"/>
    <s v="RIVER KAMALA AT KAMALA GHAT NEAR BARRAGE_x000a_ATJAYNAGAR , MADHUBANI"/>
    <x v="5"/>
    <n v="20"/>
    <n v="30"/>
    <n v="6.8"/>
    <n v="9.1"/>
    <n v="7.3"/>
    <n v="8.3000000000000007"/>
    <n v="222"/>
    <n v="335"/>
    <n v="1"/>
    <n v="2.2000000000000002"/>
    <n v="0.3"/>
    <n v="0.3"/>
    <n v="3300"/>
    <n v="92000"/>
    <n v="7900"/>
    <n v="160000"/>
    <m/>
    <m/>
  </r>
  <r>
    <n v="4299"/>
    <s v="RIVER KAMALA (BIHAR) AT JEEWACH GHAT,_x000a_DARBHANGA"/>
    <x v="5"/>
    <n v="18"/>
    <n v="27"/>
    <n v="6.1"/>
    <n v="9.1999999999999993"/>
    <n v="7.1"/>
    <n v="8.3000000000000007"/>
    <n v="176"/>
    <n v="511"/>
    <n v="1"/>
    <n v="2.6"/>
    <n v="0.3"/>
    <n v="0.3"/>
    <n v="4900"/>
    <n v="92000"/>
    <n v="7900"/>
    <n v="160000"/>
    <m/>
    <m/>
  </r>
  <r>
    <n v="2572"/>
    <s v="RIVER MAHANANDA AT THAKURGANJ, KISHANGANJ_x000a_ROAD BRIDGE, KISHANGANJ"/>
    <x v="5"/>
    <n v="16"/>
    <n v="34"/>
    <n v="6.9"/>
    <n v="8.4"/>
    <n v="7.4"/>
    <n v="8"/>
    <n v="105"/>
    <n v="232"/>
    <n v="1.3"/>
    <n v="2.5"/>
    <n v="0.3"/>
    <n v="0.3"/>
    <n v="130"/>
    <n v="17000"/>
    <n v="220"/>
    <n v="54000"/>
    <m/>
    <m/>
  </r>
  <r>
    <n v="1336"/>
    <s v="RIVER BARAKAR AT ASANSOL (WATER INTAKE POINT),_x000a_BURDWAN,WEST BENGAL"/>
    <x v="7"/>
    <n v="22"/>
    <n v="34"/>
    <n v="7.6"/>
    <n v="8.9"/>
    <n v="7.4"/>
    <n v="8.1999999999999993"/>
    <n v="135"/>
    <n v="416"/>
    <n v="2"/>
    <n v="2.9"/>
    <n v="0.3"/>
    <n v="1.91"/>
    <n v="1700"/>
    <n v="3200"/>
    <n v="2100"/>
    <n v="4000"/>
    <n v="17"/>
    <n v="27"/>
  </r>
  <r>
    <n v="1331"/>
    <s v="RIVER DAMODAR AT DISHERGARH VILL.(NR.BIHAR-WEST BENGAL BORDER) , BURDWAN,WEST BENGAL"/>
    <x v="7"/>
    <n v="21"/>
    <n v="33"/>
    <n v="7.6"/>
    <n v="9"/>
    <n v="6.7"/>
    <n v="8.1"/>
    <n v="167"/>
    <n v="370"/>
    <n v="1.9"/>
    <n v="2.8"/>
    <n v="0.3"/>
    <n v="1.73"/>
    <n v="1400"/>
    <n v="3200"/>
    <n v="2400"/>
    <n v="4900"/>
    <n v="14"/>
    <n v="3300"/>
  </r>
  <r>
    <n v="1332"/>
    <s v="RIVER DAMODAR AT D/S OF IISCO AFTER 3RD OUTFALL_x000a_AT DHENNA VILLAGE, BURDWAN,WEST BENGAL"/>
    <x v="7"/>
    <n v="21"/>
    <n v="33"/>
    <n v="7.6"/>
    <n v="8.8000000000000007"/>
    <n v="7.1"/>
    <n v="8.1999999999999993"/>
    <n v="193"/>
    <n v="407"/>
    <n v="2"/>
    <n v="2.7"/>
    <n v="0.3"/>
    <n v="1.42"/>
    <n v="1700"/>
    <n v="2700"/>
    <n v="2600"/>
    <n v="4700"/>
    <n v="17"/>
    <n v="26"/>
  </r>
  <r>
    <n v="1333"/>
    <s v="RIVER DAMODAR AT NARAINPUR AFTER CONFL. OF_x000a_NUNIA NALLAH, BURDWAN,WEST BENGAL"/>
    <x v="7"/>
    <n v="21"/>
    <n v="34"/>
    <n v="7.6"/>
    <n v="8.6999999999999993"/>
    <n v="6.8"/>
    <n v="7.9"/>
    <n v="172"/>
    <n v="625"/>
    <n v="2.1"/>
    <n v="2.9"/>
    <n v="0.3"/>
    <n v="2.91"/>
    <n v="1700"/>
    <n v="3200"/>
    <n v="2100"/>
    <n v="4000"/>
    <n v="17"/>
    <n v="32"/>
  </r>
  <r>
    <n v="1334"/>
    <s v="RIVER DAMODAR NEAR MUJHER MANA VILLAGE AFTER_x000a_CONF. OF TAMLA NALLAH, BURDWAN,WEST BENGAL"/>
    <x v="7"/>
    <n v="19"/>
    <n v="34"/>
    <n v="6.7"/>
    <n v="8.5"/>
    <n v="6.9"/>
    <n v="8.1999999999999993"/>
    <n v="218"/>
    <n v="481"/>
    <n v="2.2000000000000002"/>
    <n v="3.8"/>
    <n v="0.3"/>
    <n v="2.48"/>
    <n v="1400"/>
    <n v="3300"/>
    <n v="1700"/>
    <n v="4000"/>
    <n v="17"/>
    <n v="26"/>
  </r>
  <r>
    <n v="2527"/>
    <s v="RIVER WATER INTAKE POINT FOR BURDWAN TOWN,_x000a_BURDWAN"/>
    <x v="7"/>
    <n v="19"/>
    <n v="33"/>
    <n v="7.5"/>
    <n v="8.9"/>
    <n v="6.2"/>
    <n v="8.3000000000000007"/>
    <n v="213"/>
    <n v="477"/>
    <n v="2"/>
    <n v="2.7"/>
    <n v="0.3"/>
    <n v="1.8"/>
    <n v="1100"/>
    <n v="2600"/>
    <n v="1700"/>
    <n v="3900"/>
    <n v="14"/>
    <n v="26"/>
  </r>
  <r>
    <n v="30066"/>
    <s v="RIVER DAMODAR AT SINDRI"/>
    <x v="6"/>
    <n v="20"/>
    <n v="35"/>
    <n v="5.2"/>
    <n v="10.8"/>
    <n v="7.3"/>
    <n v="8.5"/>
    <n v="304"/>
    <n v="513"/>
    <n v="1"/>
    <n v="4"/>
    <n v="0.32"/>
    <n v="0.99"/>
    <n v="2200"/>
    <n v="7900"/>
    <n v="17000"/>
    <n v="170000"/>
    <n v="45"/>
    <n v="130"/>
  </r>
  <r>
    <n v="30065"/>
    <s v="RIVER DAMODAR AT DISHERGARH (WEST BENGAL)"/>
    <x v="7"/>
    <n v="18"/>
    <n v="34"/>
    <n v="6.3"/>
    <n v="8.4"/>
    <n v="7"/>
    <n v="8"/>
    <n v="185"/>
    <n v="313"/>
    <n v="1"/>
    <n v="1"/>
    <n v="0.32"/>
    <n v="0.43"/>
    <n v="490"/>
    <n v="35000"/>
    <n v="1300"/>
    <n v="540000"/>
    <n v="2"/>
    <n v="2400"/>
  </r>
  <r>
    <n v="10107"/>
    <s v="RIVER DAMODAR AT ANDAL U/S, BURDWAN"/>
    <x v="7"/>
    <n v="21"/>
    <n v="34"/>
    <n v="7.5"/>
    <n v="9"/>
    <n v="7.2"/>
    <n v="8.1999999999999993"/>
    <n v="195"/>
    <n v="739"/>
    <n v="2.1"/>
    <n v="2.8"/>
    <n v="0.3"/>
    <n v="1.2"/>
    <n v="1400"/>
    <n v="2600"/>
    <n v="2600"/>
    <n v="4000"/>
    <n v="17"/>
    <n v="32"/>
  </r>
  <r>
    <n v="10108"/>
    <s v="RIVER DAMODAR AT ANDAL D/S, BURDWAN"/>
    <x v="7"/>
    <n v="20"/>
    <n v="35"/>
    <n v="7.6"/>
    <n v="8.9"/>
    <n v="7.4"/>
    <n v="8.1999999999999993"/>
    <n v="195"/>
    <n v="471"/>
    <n v="2.2999999999999998"/>
    <n v="2.8"/>
    <n v="0.3"/>
    <n v="1.3"/>
    <n v="1700"/>
    <n v="3300"/>
    <n v="2200"/>
    <n v="4000"/>
    <n v="17"/>
    <n v="26"/>
  </r>
  <r>
    <n v="10109"/>
    <s v="RIVER DAMODAR AT ASANSOL U/S, BURDWAN"/>
    <x v="7"/>
    <n v="23"/>
    <n v="33"/>
    <n v="7.6"/>
    <n v="9"/>
    <n v="7.1"/>
    <n v="8.1999999999999993"/>
    <n v="159"/>
    <n v="432"/>
    <n v="1.7"/>
    <n v="2.1"/>
    <n v="0.3"/>
    <n v="1.52"/>
    <n v="1700"/>
    <n v="3200"/>
    <n v="2100"/>
    <n v="4600"/>
    <n v="14"/>
    <n v="36"/>
  </r>
  <r>
    <n v="10110"/>
    <s v="RIVER DAMODAR AT DURGAPUR U/S, BURDWAN"/>
    <x v="7"/>
    <n v="21"/>
    <n v="35"/>
    <n v="7.6"/>
    <n v="8.9"/>
    <n v="7.5"/>
    <n v="8.4"/>
    <n v="194"/>
    <n v="475"/>
    <n v="2.2999999999999998"/>
    <n v="2.9"/>
    <n v="0.3"/>
    <n v="1.04"/>
    <n v="1400"/>
    <n v="3400"/>
    <n v="2100"/>
    <n v="4700"/>
    <n v="17"/>
    <n v="26"/>
  </r>
  <r>
    <n v="10111"/>
    <s v="RIVER DAMODAR AT RANIGANJ D/S, BURDWAN"/>
    <x v="7"/>
    <n v="18"/>
    <n v="33"/>
    <n v="7.5"/>
    <n v="9"/>
    <n v="7.4"/>
    <n v="8"/>
    <n v="227"/>
    <n v="714"/>
    <n v="2.1"/>
    <n v="2.8"/>
    <n v="0.3"/>
    <n v="2.95"/>
    <n v="1400"/>
    <n v="3300"/>
    <n v="2600"/>
    <n v="4600"/>
    <n v="14"/>
    <n v="33"/>
  </r>
  <r>
    <n v="4742"/>
    <s v="RIVER GALUDIH BARRAGE, GALUDIH, E.S"/>
    <x v="6"/>
    <n v="16"/>
    <n v="35"/>
    <n v="6.9"/>
    <n v="8.1999999999999993"/>
    <n v="7.1"/>
    <n v="7.9"/>
    <n v="224"/>
    <n v="312"/>
    <n v="1.1000000000000001"/>
    <n v="5"/>
    <n v="0"/>
    <n v="0"/>
    <m/>
    <m/>
    <m/>
    <m/>
    <m/>
    <m/>
  </r>
  <r>
    <n v="2517"/>
    <s v="RIVER MATHABHANGA, GOBINDAPUR, NADIA"/>
    <x v="7"/>
    <n v="19"/>
    <n v="39"/>
    <n v="1"/>
    <n v="5.6"/>
    <n v="7"/>
    <n v="8.4"/>
    <n v="339"/>
    <n v="715"/>
    <n v="1.7"/>
    <n v="12.8"/>
    <n v="0.3"/>
    <n v="0.83"/>
    <n v="5400"/>
    <n v="79000"/>
    <n v="24000"/>
    <n v="130000"/>
    <n v="790"/>
    <n v="2400"/>
  </r>
  <r>
    <n v="30064"/>
    <s v="RIVER MATHABHANGA AT GOVINDPUR (WEST BENGAL)"/>
    <x v="7"/>
    <n v="25"/>
    <n v="33"/>
    <n v="0.3"/>
    <n v="1.5"/>
    <n v="7"/>
    <n v="7.7"/>
    <n v="255"/>
    <n v="696"/>
    <n v="4"/>
    <n v="6"/>
    <n v="0.32"/>
    <n v="0.34"/>
    <n v="5400"/>
    <n v="1100000"/>
    <n v="17000"/>
    <n v="4900000"/>
    <n v="45"/>
    <n v="1400"/>
  </r>
  <r>
    <n v="1764"/>
    <s v="RIVER CHURNI D/S OF RANAGHAT TOWN, WEST_x000a_BENGAL"/>
    <x v="7"/>
    <n v="18"/>
    <n v="36"/>
    <n v="1"/>
    <n v="3.6"/>
    <n v="6.8"/>
    <n v="8.3000000000000007"/>
    <n v="385"/>
    <n v="748"/>
    <n v="1.7"/>
    <n v="4.8"/>
    <n v="0.3"/>
    <n v="0.94"/>
    <n v="13000"/>
    <n v="130000"/>
    <n v="33000"/>
    <n v="170000"/>
    <n v="1100"/>
    <n v="2400"/>
  </r>
  <r>
    <n v="2518"/>
    <s v="RIVER CHURNI, MAJHADIA, NADIA"/>
    <x v="7"/>
    <n v="20"/>
    <n v="38"/>
    <n v="1"/>
    <n v="3.5"/>
    <n v="6.8"/>
    <n v="8.3000000000000007"/>
    <n v="328"/>
    <n v="769"/>
    <n v="1.7"/>
    <n v="10.5"/>
    <n v="0.3"/>
    <n v="0.49"/>
    <n v="3500"/>
    <n v="35000"/>
    <n v="7900"/>
    <n v="79000"/>
    <n v="240"/>
    <n v="1300"/>
  </r>
  <r>
    <n v="2541"/>
    <s v="RIVER DWARAKESHWAR WATER INTAKE POINT FOR_x000a_BANKURA TOWN ON DWARAKESHWAR, BANKURA"/>
    <x v="7"/>
    <n v="18"/>
    <n v="33"/>
    <n v="7.6"/>
    <n v="9.1"/>
    <n v="7.5"/>
    <n v="8.1999999999999993"/>
    <n v="209"/>
    <n v="445"/>
    <n v="2.2000000000000002"/>
    <n v="3.5"/>
    <n v="0.3"/>
    <n v="3.17"/>
    <n v="1700"/>
    <n v="3200"/>
    <n v="2100"/>
    <n v="3900"/>
    <n v="17"/>
    <n v="32"/>
  </r>
  <r>
    <n v="2514"/>
    <s v="RIVER JALANGI, D/S OF KRISHNA NAGAR, NADIA"/>
    <x v="7"/>
    <n v="18"/>
    <n v="37"/>
    <n v="1.1000000000000001"/>
    <n v="8.9"/>
    <n v="7"/>
    <n v="8.8000000000000007"/>
    <n v="263"/>
    <n v="624"/>
    <n v="1.7"/>
    <n v="4.0999999999999996"/>
    <n v="0.3"/>
    <n v="0.49"/>
    <n v="700"/>
    <n v="24000"/>
    <n v="1700"/>
    <n v="35000"/>
    <n v="49"/>
    <n v="1100"/>
  </r>
  <r>
    <n v="1337"/>
    <s v="RIVER RUPNARAYAN BEFORE CONFL. TO GANGA NEAR_x000a_GEONKHALI,MEDINIPOREÂ€, WEST BENGAL"/>
    <x v="7"/>
    <n v="22"/>
    <n v="34"/>
    <n v="5.0999999999999996"/>
    <n v="7"/>
    <n v="7.5"/>
    <n v="8.9"/>
    <n v="416"/>
    <n v="3945"/>
    <n v="1"/>
    <n v="2.9"/>
    <n v="0.3"/>
    <n v="0.97"/>
    <n v="3200"/>
    <n v="4900"/>
    <n v="6300"/>
    <n v="9400"/>
    <n v="92"/>
    <n v="210"/>
  </r>
  <r>
    <n v="2509"/>
    <s v="RIVER D/S OF RUPNARAYAN AT KOLAGHAT, NEAR_x000a_KOLAGHAT RAIL BRIDGE NO.3,MEDINIPOREÂ€"/>
    <x v="7"/>
    <n v="21"/>
    <n v="35"/>
    <n v="5"/>
    <n v="9.6999999999999993"/>
    <n v="7.9"/>
    <n v="8.6999999999999993"/>
    <n v="232"/>
    <n v="1884"/>
    <n v="1"/>
    <n v="2.9"/>
    <n v="0.3"/>
    <n v="0.98"/>
    <n v="3300"/>
    <n v="4900"/>
    <n v="7000"/>
    <n v="11000"/>
    <n v="93"/>
    <n v="200"/>
  </r>
  <r>
    <n v="2531"/>
    <s v="RIVER U/S OF TARAPITH ON DWARKA AT SADHAK_x000a_BAMDEB GHAT, BIRBHUM"/>
    <x v="7"/>
    <n v="21"/>
    <n v="32"/>
    <n v="7.2"/>
    <n v="10.4"/>
    <n v="6.7"/>
    <n v="8.5"/>
    <n v="124"/>
    <n v="736"/>
    <n v="2.1"/>
    <n v="8.9"/>
    <n v="0.3"/>
    <n v="1.89"/>
    <n v="1700"/>
    <n v="3400"/>
    <n v="3200"/>
    <n v="4900"/>
    <n v="17"/>
    <n v="33"/>
  </r>
  <r>
    <n v="2532"/>
    <s v="RIVER D/S OF TARAPITH ON DWARKA, SATIGHAT"/>
    <x v="7"/>
    <n v="21"/>
    <n v="32"/>
    <n v="6.9"/>
    <n v="10.6"/>
    <n v="6.9"/>
    <n v="8.1999999999999993"/>
    <n v="128"/>
    <n v="972"/>
    <n v="2.6"/>
    <n v="9.8000000000000007"/>
    <n v="0.3"/>
    <n v="3.5"/>
    <n v="1700"/>
    <n v="3900"/>
    <n v="2600"/>
    <n v="9400"/>
    <n v="17"/>
    <n v="27"/>
  </r>
  <r>
    <n v="2549"/>
    <s v="RIVER U/S OF BINDYADHARI AT HAROA BRIDGE, 24_x000a_PARGANAS(N)"/>
    <x v="7"/>
    <n v="19"/>
    <n v="35"/>
    <n v="0.3"/>
    <n v="1.5"/>
    <n v="7.1"/>
    <n v="7.7"/>
    <n v="601"/>
    <n v="2379"/>
    <n v="8.5"/>
    <n v="13"/>
    <n v="0.73"/>
    <n v="3.97"/>
    <n v="32000"/>
    <n v="79000"/>
    <n v="70000"/>
    <n v="140000"/>
    <n v="240"/>
    <n v="460"/>
  </r>
  <r>
    <n v="2550"/>
    <s v="RIVER D/S OF BIDYADHARI AT MALANCHA BURNING_x000a_GHAT"/>
    <x v="7"/>
    <n v="21"/>
    <n v="36"/>
    <n v="0.6"/>
    <n v="2.1"/>
    <n v="7.1"/>
    <n v="7.5"/>
    <n v="1293"/>
    <n v="20380"/>
    <n v="6"/>
    <n v="10.4"/>
    <n v="0.62"/>
    <n v="4.09"/>
    <n v="23000"/>
    <n v="49000"/>
    <n v="63000"/>
    <n v="79000"/>
    <n v="170"/>
    <n v="460"/>
  </r>
  <r>
    <n v="2507"/>
    <s v="RIVER D/S OF KANSI AT MIDNAPORE, NEAR NEW_x000a_HANUMAN MANDIR, GANDHIGHAT, MEDINIPORE(W)"/>
    <x v="7"/>
    <n v="20"/>
    <n v="36"/>
    <n v="5.0999999999999996"/>
    <n v="8.4"/>
    <n v="7.2"/>
    <n v="8.8000000000000007"/>
    <n v="193"/>
    <n v="636"/>
    <n v="1.2"/>
    <n v="2.9"/>
    <n v="0.3"/>
    <n v="0.54"/>
    <n v="2200"/>
    <n v="4600"/>
    <n v="4600"/>
    <n v="7900"/>
    <n v="68"/>
    <n v="170"/>
  </r>
  <r>
    <n v="2525"/>
    <s v="RIVER MAHANANDA D/S, RAMGHAT, DARJEELING"/>
    <x v="7"/>
    <n v="18"/>
    <n v="30"/>
    <n v="2.2000000000000002"/>
    <n v="5.7"/>
    <n v="6.1"/>
    <n v="7.6"/>
    <n v="117"/>
    <n v="240"/>
    <n v="7"/>
    <n v="23.5"/>
    <n v="0.3"/>
    <n v="1.54"/>
    <n v="110000"/>
    <n v="1400000"/>
    <n v="220000"/>
    <n v="5000000"/>
    <n v="1100"/>
    <n v="35000"/>
  </r>
  <r>
    <n v="1946"/>
    <s v="RIVER MAHANANDA AT SILIGURI, DARJEELING"/>
    <x v="7"/>
    <n v="17"/>
    <n v="29"/>
    <n v="5.9"/>
    <n v="7.9"/>
    <n v="6.7"/>
    <n v="7.6"/>
    <n v="65"/>
    <n v="202"/>
    <n v="1.6"/>
    <n v="3.2"/>
    <n v="0.3"/>
    <n v="0.68"/>
    <n v="14000"/>
    <n v="300000"/>
    <n v="90000"/>
    <n v="900000"/>
    <n v="14"/>
    <n v="930"/>
  </r>
  <r>
    <n v="4727"/>
    <s v="RIVER MECHI AT NEHALJOTE"/>
    <x v="7"/>
    <n v="20"/>
    <n v="30"/>
    <n v="5.3"/>
    <n v="8"/>
    <n v="6.8"/>
    <n v="7.9"/>
    <n v="55"/>
    <n v="115"/>
    <n v="1"/>
    <n v="2.2000000000000002"/>
    <n v="0.3"/>
    <n v="0.54"/>
    <n v="1300"/>
    <n v="7000"/>
    <n v="2100"/>
    <n v="28000"/>
    <n v="17"/>
    <n v="350"/>
  </r>
  <r>
    <n v="4722"/>
    <s v="RIVER BALASON AT KHAPRAIL MORE"/>
    <x v="7"/>
    <n v="12"/>
    <n v="30"/>
    <n v="5.3"/>
    <n v="8.6"/>
    <n v="6.1"/>
    <n v="7.9"/>
    <n v="42"/>
    <n v="103"/>
    <n v="1"/>
    <n v="2.5"/>
    <n v="0.3"/>
    <n v="0.63"/>
    <n v="2200"/>
    <n v="50000"/>
    <n v="11000"/>
    <n v="160000"/>
    <n v="14"/>
    <n v="110"/>
  </r>
  <r>
    <n v="2508"/>
    <s v="RIVER D/S OF SILABATI AT GHATAL, MEDINIPORE(W)"/>
    <x v="7"/>
    <n v="20"/>
    <n v="35"/>
    <n v="5.0999999999999996"/>
    <n v="8"/>
    <n v="7.5"/>
    <n v="8.6999999999999993"/>
    <n v="194"/>
    <n v="424"/>
    <n v="1.3"/>
    <n v="2.8"/>
    <n v="0.3"/>
    <n v="1.6"/>
    <n v="3200"/>
    <n v="4900"/>
    <n v="6300"/>
    <n v="9400"/>
    <n v="92"/>
    <n v="200"/>
  </r>
  <r>
    <n v="2534"/>
    <s v="RIVER WATER INTAKE POINT FOR SURI TOWN ON_x000a_MAYURAKSHI, BIRBHUM"/>
    <x v="7"/>
    <n v="20"/>
    <n v="35"/>
    <n v="7.5"/>
    <n v="9.1"/>
    <n v="7"/>
    <n v="8.1999999999999993"/>
    <n v="97"/>
    <n v="251"/>
    <n v="1.5"/>
    <n v="2"/>
    <n v="0.3"/>
    <n v="2.2999999999999998"/>
    <n v="1400"/>
    <n v="2200"/>
    <n v="2100"/>
    <n v="3300"/>
    <n v="14"/>
    <n v="26"/>
  </r>
  <r>
    <n v="4710"/>
    <s v="RIVER HALDI AT NORGHAT"/>
    <x v="7"/>
    <n v="20"/>
    <n v="34"/>
    <n v="5"/>
    <n v="7"/>
    <n v="8"/>
    <n v="8.6"/>
    <n v="504"/>
    <n v="16200"/>
    <n v="1.1000000000000001"/>
    <n v="2.8"/>
    <n v="0.3"/>
    <n v="0.63"/>
    <n v="4000"/>
    <n v="4900"/>
    <n v="7000"/>
    <n v="11000"/>
    <n v="92"/>
    <n v="240"/>
  </r>
  <r>
    <n v="4711"/>
    <s v="RIVER RASULPUR AT RASULPUR GHAT"/>
    <x v="7"/>
    <n v="21"/>
    <n v="35"/>
    <n v="5.4"/>
    <n v="6.6"/>
    <n v="7.7"/>
    <n v="8.6"/>
    <n v="6245"/>
    <n v="27870"/>
    <n v="1"/>
    <n v="2.9"/>
    <n v="0.3"/>
    <n v="1.02"/>
    <n v="2100"/>
    <n v="4900"/>
    <n v="4900"/>
    <n v="8400"/>
    <n v="92"/>
    <n v="170"/>
  </r>
  <r>
    <n v="4717"/>
    <s v="RIVER JALDHAKA AT DHUPGURI"/>
    <x v="7"/>
    <n v="13"/>
    <n v="28"/>
    <n v="5.8"/>
    <n v="8.5"/>
    <n v="7"/>
    <n v="7.9"/>
    <n v="90"/>
    <n v="170"/>
    <n v="1"/>
    <n v="3.1"/>
    <n v="0.3"/>
    <n v="0.56000000000000005"/>
    <n v="2200"/>
    <n v="28000"/>
    <n v="8000"/>
    <n v="35000"/>
    <n v="13"/>
    <n v="240"/>
  </r>
  <r>
    <n v="4718"/>
    <s v="RIVER SILTORSA AT HASIMARA"/>
    <x v="7"/>
    <n v="15"/>
    <n v="27"/>
    <n v="6.3"/>
    <n v="8.9"/>
    <n v="7.1"/>
    <n v="7.8"/>
    <n v="74"/>
    <n v="190"/>
    <n v="1"/>
    <n v="2.1"/>
    <n v="0.3"/>
    <n v="0.59"/>
    <n v="2200"/>
    <n v="22000"/>
    <n v="5000"/>
    <n v="90000"/>
    <n v="17"/>
    <n v="170"/>
  </r>
  <r>
    <n v="1422"/>
    <s v="RIVER BURHIDIHING AT MARGHERITA, ASSAM"/>
    <x v="12"/>
    <n v="22"/>
    <n v="23"/>
    <n v="5.2"/>
    <n v="8.1999999999999993"/>
    <n v="7"/>
    <n v="7.9"/>
    <n v="106"/>
    <n v="148"/>
    <n v="2"/>
    <n v="2.5"/>
    <n v="0.6"/>
    <n v="1.4"/>
    <n v="360"/>
    <n v="730"/>
    <n v="910"/>
    <n v="1500"/>
    <n v="120"/>
    <n v="240"/>
  </r>
  <r>
    <n v="2062"/>
    <s v="RIVER BURHIDIHING NEAR DULIAJAN AT D/S, TINSUKIA,_x000a_ASSAM"/>
    <x v="12"/>
    <n v="23"/>
    <n v="24"/>
    <n v="5.0999999999999996"/>
    <n v="9"/>
    <n v="6.7"/>
    <n v="7.7"/>
    <n v="128"/>
    <n v="188"/>
    <n v="2.1"/>
    <n v="2.7"/>
    <n v="0.6"/>
    <n v="1.9"/>
    <n v="720"/>
    <n v="1100"/>
    <n v="1500"/>
    <n v="2100"/>
    <n v="210"/>
    <n v="490"/>
  </r>
  <r>
    <n v="2230"/>
    <s v="RIVER BURHIDIHING AT DULIAJAN (INTAKE POINT OF OIL_x000a_INDIA LTD.), ASSAM"/>
    <x v="12"/>
    <n v="22"/>
    <n v="27"/>
    <n v="5"/>
    <n v="8"/>
    <n v="6.9"/>
    <n v="7.7"/>
    <n v="126"/>
    <n v="178"/>
    <n v="2"/>
    <n v="2.6"/>
    <n v="0.7"/>
    <n v="1.4"/>
    <n v="610"/>
    <n v="1100"/>
    <n v="1600"/>
    <n v="2800"/>
    <n v="210"/>
    <n v="290"/>
  </r>
  <r>
    <n v="1796"/>
    <s v="RIVER DHANSIRI AT FULL NAGARJAN BRIDGE"/>
    <x v="13"/>
    <n v="20.8"/>
    <n v="33.4"/>
    <n v="6.1"/>
    <n v="7.6"/>
    <n v="6.6"/>
    <n v="8.1"/>
    <n v="66"/>
    <n v="699"/>
    <n v="1.6"/>
    <n v="2.2999999999999998"/>
    <n v="0.3"/>
    <n v="1.7"/>
    <m/>
    <m/>
    <m/>
    <m/>
    <m/>
    <m/>
  </r>
  <r>
    <n v="1797"/>
    <s v="RIVER DHANSIRI AT BRIDGE NEAR PURANA BAZAAR"/>
    <x v="13"/>
    <n v="20.3"/>
    <n v="33.299999999999997"/>
    <n v="5.8"/>
    <n v="7.5"/>
    <n v="6.7"/>
    <n v="8.1"/>
    <n v="74"/>
    <n v="305"/>
    <n v="1.4"/>
    <n v="2.5"/>
    <n v="0.4"/>
    <n v="2"/>
    <m/>
    <m/>
    <m/>
    <m/>
    <m/>
    <m/>
  </r>
  <r>
    <n v="1800"/>
    <s v="RIVER DHANSIRI AT NOTUN BOSTI NEAR NAGA_x000a_CEMETERY (OLD)"/>
    <x v="13"/>
    <n v="17.8"/>
    <n v="30.7"/>
    <n v="2.8"/>
    <n v="5.6"/>
    <n v="7"/>
    <n v="8"/>
    <n v="154"/>
    <n v="502"/>
    <n v="2.5"/>
    <n v="4.8"/>
    <n v="0.3"/>
    <n v="4.5"/>
    <m/>
    <m/>
    <m/>
    <m/>
    <m/>
    <m/>
  </r>
  <r>
    <n v="1798"/>
    <s v="RIVER DHANSIRI AT KUSHIABILL , NEAR KACHARI LOCAL_x000a_GROUND"/>
    <x v="13"/>
    <n v="21.4"/>
    <n v="34.299999999999997"/>
    <n v="5.6"/>
    <n v="8.5"/>
    <n v="6.8"/>
    <n v="8.1"/>
    <n v="85"/>
    <n v="279"/>
    <n v="1.5"/>
    <n v="2.4"/>
    <n v="0.4"/>
    <n v="1.4"/>
    <m/>
    <m/>
    <m/>
    <m/>
    <m/>
    <m/>
  </r>
  <r>
    <n v="1799"/>
    <s v="RIVER DHANSIRI AT TOWN BOUNDARY BRIDGE (DIPHU_x000a_ROAD)"/>
    <x v="13"/>
    <n v="16"/>
    <n v="31.9"/>
    <n v="5.0999999999999996"/>
    <n v="6.3"/>
    <n v="6.7"/>
    <n v="8.1999999999999993"/>
    <n v="76"/>
    <n v="260"/>
    <n v="1.7"/>
    <n v="2.8"/>
    <n v="0.5"/>
    <n v="2.5"/>
    <m/>
    <m/>
    <m/>
    <m/>
    <m/>
    <m/>
  </r>
  <r>
    <n v="1928"/>
    <s v="RIVER DHANSIRI NEAR NAGALAND- ASSAM BORDER"/>
    <x v="13"/>
    <n v="18.600000000000001"/>
    <n v="33.299999999999997"/>
    <n v="5.9"/>
    <n v="6.8"/>
    <n v="7.2"/>
    <n v="7.7"/>
    <n v="76"/>
    <n v="900"/>
    <n v="1.2"/>
    <n v="2.4"/>
    <n v="0.3"/>
    <n v="2.4"/>
    <m/>
    <m/>
    <m/>
    <m/>
    <m/>
    <m/>
  </r>
  <r>
    <n v="1259"/>
    <s v="RIVER DHANSIRI AT GOLAGHAT, ASSAM"/>
    <x v="12"/>
    <n v="21"/>
    <n v="32"/>
    <n v="5"/>
    <n v="10.5"/>
    <n v="7"/>
    <n v="7.9"/>
    <n v="136"/>
    <n v="172"/>
    <n v="2"/>
    <n v="2.6"/>
    <n v="0.7"/>
    <n v="2"/>
    <n v="300"/>
    <n v="940"/>
    <n v="720"/>
    <n v="2000"/>
    <n v="95"/>
    <n v="290"/>
  </r>
  <r>
    <n v="3764"/>
    <s v="RIVER DHANSIRI NEAR BRIDGE AT NH-15, DHANSIRI_x000a_BHALUKMARI JUNGLE, UDALGURI"/>
    <x v="12"/>
    <n v="18"/>
    <n v="30"/>
    <n v="5.6"/>
    <n v="6.4"/>
    <n v="6.9"/>
    <n v="7.6"/>
    <n v="112"/>
    <n v="136"/>
    <n v="1.9"/>
    <n v="2.4"/>
    <n v="0.7"/>
    <n v="1.8"/>
    <n v="300"/>
    <n v="730"/>
    <n v="730"/>
    <n v="1500"/>
    <n v="95"/>
    <n v="240"/>
  </r>
  <r>
    <n v="3792"/>
    <s v="RIVER DHANSIRI AT JAHAIGHAT"/>
    <x v="12"/>
    <n v="21"/>
    <n v="32"/>
    <n v="5.6"/>
    <n v="9.5"/>
    <n v="6.8"/>
    <n v="7.4"/>
    <n v="122"/>
    <n v="154"/>
    <n v="2"/>
    <n v="2.5"/>
    <n v="0.6"/>
    <n v="1.7"/>
    <n v="360"/>
    <n v="1400"/>
    <n v="910"/>
    <n v="2100"/>
    <n v="150"/>
    <n v="490"/>
  </r>
  <r>
    <n v="30070"/>
    <s v="RIVER DHANSIRI AT GANESH NAGAR"/>
    <x v="13"/>
    <n v="20.100000000000001"/>
    <n v="31.7"/>
    <n v="7"/>
    <n v="9.6"/>
    <n v="7.7"/>
    <n v="7.9"/>
    <n v="119"/>
    <n v="236"/>
    <n v="1"/>
    <n v="9"/>
    <n v="0.32"/>
    <n v="0.33"/>
    <n v="2"/>
    <n v="2"/>
    <n v="2"/>
    <n v="20"/>
    <n v="2"/>
    <n v="2"/>
  </r>
  <r>
    <n v="30071"/>
    <s v="RIVER DHANSIRI AT NAGARJAN BRIDGE"/>
    <x v="13"/>
    <n v="19.100000000000001"/>
    <n v="32"/>
    <n v="6.3"/>
    <n v="11.1"/>
    <n v="7.5"/>
    <n v="8"/>
    <n v="123"/>
    <n v="195"/>
    <n v="1.1000000000000001"/>
    <n v="2.9"/>
    <n v="0.32"/>
    <n v="0.34"/>
    <n v="2"/>
    <n v="4000"/>
    <n v="2"/>
    <n v="56000"/>
    <n v="2"/>
    <n v="2"/>
  </r>
  <r>
    <n v="30072"/>
    <s v="RIVER DHANSIRI AT KHATKATI GATE"/>
    <x v="13"/>
    <n v="18"/>
    <n v="32.700000000000003"/>
    <n v="5.4"/>
    <n v="7.9"/>
    <n v="7.2"/>
    <n v="7.6"/>
    <n v="128"/>
    <n v="250"/>
    <n v="1.5"/>
    <n v="3.4"/>
    <n v="0.32"/>
    <n v="1"/>
    <n v="2"/>
    <n v="7500"/>
    <n v="2"/>
    <n v="312000"/>
    <n v="2"/>
    <n v="2"/>
  </r>
  <r>
    <n v="30073"/>
    <s v="RIVER DHANSIRI AT BOKAJAN"/>
    <x v="12"/>
    <n v="18.5"/>
    <n v="33.6"/>
    <n v="5.9"/>
    <n v="9.4"/>
    <n v="7.3"/>
    <n v="7.6"/>
    <n v="130"/>
    <n v="239"/>
    <n v="1.6"/>
    <n v="4.3"/>
    <n v="0.32"/>
    <n v="1.08"/>
    <n v="2"/>
    <n v="8000"/>
    <n v="2"/>
    <n v="92000"/>
    <n v="2"/>
    <n v="2"/>
  </r>
  <r>
    <n v="30074"/>
    <s v="RIVER DHANSIRI AT NUMALIGARH"/>
    <x v="12"/>
    <n v="19.100000000000001"/>
    <n v="32.200000000000003"/>
    <n v="6.6"/>
    <n v="9.6"/>
    <n v="7.4"/>
    <n v="7.6"/>
    <n v="124"/>
    <n v="1021"/>
    <n v="1.1000000000000001"/>
    <n v="2.1"/>
    <n v="0.32"/>
    <n v="1.1000000000000001"/>
    <n v="2"/>
    <n v="19000"/>
    <n v="2"/>
    <n v="396000"/>
    <n v="2"/>
    <n v="2"/>
  </r>
  <r>
    <n v="1528"/>
    <s v="RIVER BHARALU AT GUWAHATI, ASSAM"/>
    <x v="12"/>
    <n v="21"/>
    <n v="36"/>
    <n v="0.3"/>
    <n v="1"/>
    <n v="6.9"/>
    <n v="7.6"/>
    <n v="520"/>
    <n v="610"/>
    <n v="30.8"/>
    <n v="37.9"/>
    <n v="2"/>
    <n v="3.8"/>
    <n v="2300"/>
    <n v="2900"/>
    <n v="4200"/>
    <n v="5300"/>
    <n v="460"/>
    <n v="490"/>
  </r>
  <r>
    <n v="3759"/>
    <s v="RIVER DIKRONG NEAR BRIDGE AT NH-52, BANDARDEWA"/>
    <x v="12"/>
    <n v="20"/>
    <n v="28"/>
    <n v="5.5"/>
    <n v="6.3"/>
    <n v="7"/>
    <n v="7.9"/>
    <n v="120"/>
    <n v="166"/>
    <n v="1.8"/>
    <n v="2.6"/>
    <n v="0.5"/>
    <n v="2.1"/>
    <n v="300"/>
    <n v="730"/>
    <n v="910"/>
    <n v="1600"/>
    <n v="96"/>
    <n v="240"/>
  </r>
  <r>
    <n v="3786"/>
    <s v="RIVER GAI NADI AT SOMARAJAN, DHEMAJI"/>
    <x v="12"/>
    <n v="22"/>
    <n v="24"/>
    <n v="5.2"/>
    <n v="7.8"/>
    <n v="6.9"/>
    <n v="7.8"/>
    <n v="140"/>
    <n v="174"/>
    <n v="2"/>
    <n v="2.6"/>
    <n v="0.6"/>
    <n v="1"/>
    <n v="360"/>
    <n v="720"/>
    <n v="910"/>
    <n v="1400"/>
    <n v="120"/>
    <n v="240"/>
  </r>
  <r>
    <n v="3807"/>
    <s v="RIVER DIGARU AT NH CROSSING"/>
    <x v="12"/>
    <n v="19"/>
    <n v="28"/>
    <n v="4.2"/>
    <n v="9.8000000000000007"/>
    <n v="7"/>
    <n v="7.6"/>
    <n v="101"/>
    <n v="136"/>
    <n v="2"/>
    <n v="2.5"/>
    <n v="0.6"/>
    <n v="1.3"/>
    <n v="620"/>
    <n v="1100"/>
    <n v="1200"/>
    <n v="2000"/>
    <n v="210"/>
    <n v="290"/>
  </r>
  <r>
    <n v="1530"/>
    <s v="RIVER DIGBOI AT LAKHIPATHE, RESERVE FOREST,_x000a_DIGBOI, ASSAM"/>
    <x v="12"/>
    <n v="22"/>
    <n v="24"/>
    <n v="2.2999999999999998"/>
    <n v="5.5"/>
    <n v="6.8"/>
    <n v="7.8"/>
    <n v="152"/>
    <n v="276"/>
    <n v="3"/>
    <n v="3.4"/>
    <n v="0.7"/>
    <n v="2"/>
    <n v="300"/>
    <n v="940"/>
    <n v="720"/>
    <n v="2000"/>
    <n v="95"/>
    <n v="290"/>
  </r>
  <r>
    <n v="2231"/>
    <s v="RIVER DIKHOW AT DIKHOW BRIDGE SIVASAGAR, ASSAM"/>
    <x v="12"/>
    <n v="20"/>
    <n v="31"/>
    <n v="6"/>
    <n v="8"/>
    <n v="6.8"/>
    <n v="7.5"/>
    <n v="122"/>
    <n v="172"/>
    <n v="1.8"/>
    <n v="2.5"/>
    <n v="0.8"/>
    <n v="1.6"/>
    <n v="360"/>
    <n v="910"/>
    <n v="720"/>
    <n v="2100"/>
    <n v="120"/>
    <n v="340"/>
  </r>
  <r>
    <n v="3776"/>
    <s v="RIVER DIKHOW AT NAGINI MORA (INTER-STATE_x000a_BOUNDARIES, ASSAM-NAGALAND)"/>
    <x v="12"/>
    <n v="18"/>
    <n v="30"/>
    <n v="5.7"/>
    <n v="8"/>
    <n v="6.7"/>
    <n v="7.5"/>
    <n v="126"/>
    <n v="166"/>
    <n v="1.7"/>
    <n v="2.6"/>
    <n v="0.6"/>
    <n v="1"/>
    <n v="360"/>
    <n v="910"/>
    <n v="1100"/>
    <n v="2100"/>
    <n v="110"/>
    <n v="340"/>
  </r>
  <r>
    <n v="3778"/>
    <s v="RIVER DIKHOW AT DIKHOWMUKH CONFLUENCE WITH_x000a_BRAHAMPUTRA"/>
    <x v="12"/>
    <n v="20"/>
    <n v="32"/>
    <n v="5.8"/>
    <n v="7.9"/>
    <n v="6.7"/>
    <n v="7.6"/>
    <n v="138"/>
    <n v="209"/>
    <n v="1.8"/>
    <n v="2.5"/>
    <n v="0.8"/>
    <n v="1.1000000000000001"/>
    <n v="300"/>
    <n v="730"/>
    <n v="730"/>
    <n v="2800"/>
    <n v="110"/>
    <n v="280"/>
  </r>
  <r>
    <n v="2524"/>
    <s v="RIVER KALJANI D/S OF ALIPURDWAR, MUNICIPALITY_x000a_DISCHARGE POINT, COOCHBEHAR"/>
    <x v="7"/>
    <n v="20"/>
    <n v="31"/>
    <n v="6.1"/>
    <n v="8.1"/>
    <n v="7.2"/>
    <n v="7.9"/>
    <n v="62"/>
    <n v="134"/>
    <n v="1"/>
    <n v="2.8"/>
    <n v="0.3"/>
    <n v="0.38"/>
    <n v="2200"/>
    <n v="17000"/>
    <n v="11000"/>
    <n v="50000"/>
    <n v="13"/>
    <n v="350"/>
  </r>
  <r>
    <n v="1298"/>
    <s v="RIVER DISANG AT GUDAMGHAT, ASSAM"/>
    <x v="12"/>
    <n v="18"/>
    <n v="29"/>
    <n v="5.7"/>
    <n v="6.9"/>
    <n v="6.9"/>
    <n v="7.9"/>
    <n v="98"/>
    <n v="126"/>
    <n v="1.8"/>
    <n v="2.2999999999999998"/>
    <n v="0.6"/>
    <n v="1.2"/>
    <n v="360"/>
    <n v="910"/>
    <n v="730"/>
    <n v="2300"/>
    <n v="130"/>
    <n v="340"/>
  </r>
  <r>
    <n v="2058"/>
    <s v="RIVER DISANG AT DILLIGHAT, DIBRUGARH DIST.,_x000a_ASSAM"/>
    <x v="12"/>
    <n v="23"/>
    <n v="23"/>
    <n v="5.3"/>
    <n v="10.5"/>
    <n v="7"/>
    <n v="7.5"/>
    <n v="120"/>
    <n v="188"/>
    <n v="1.8"/>
    <n v="2.4"/>
    <n v="0.4"/>
    <n v="1.6"/>
    <n v="360"/>
    <n v="1100"/>
    <n v="910"/>
    <n v="2100"/>
    <n v="120"/>
    <n v="290"/>
  </r>
  <r>
    <n v="4005"/>
    <s v="RIVER DISANG AT NH CROSSING"/>
    <x v="12"/>
    <n v="20"/>
    <n v="31"/>
    <n v="5.5"/>
    <n v="7.3"/>
    <n v="7"/>
    <n v="7.7"/>
    <n v="110"/>
    <n v="138"/>
    <n v="1.6"/>
    <n v="2.6"/>
    <n v="0.7"/>
    <n v="1.1000000000000001"/>
    <n v="360"/>
    <n v="720"/>
    <n v="730"/>
    <n v="1500"/>
    <n v="110"/>
    <n v="260"/>
  </r>
  <r>
    <n v="3763"/>
    <s v="RIVER GABHARU NEAR BRIDGE AT NH-52, NEAR_x000a_TUMIUKI, SONITPUR"/>
    <x v="12"/>
    <n v="16"/>
    <n v="28"/>
    <n v="5"/>
    <n v="6.3"/>
    <n v="6.8"/>
    <n v="7.8"/>
    <n v="106"/>
    <n v="132"/>
    <n v="2.1"/>
    <n v="2.5"/>
    <n v="0.7"/>
    <n v="1.3"/>
    <n v="360"/>
    <n v="730"/>
    <n v="1100"/>
    <n v="1500"/>
    <n v="120"/>
    <n v="240"/>
  </r>
  <r>
    <n v="4011"/>
    <s v="RIVER TOCKLAI NEAR BRIDGE AT JORHAT"/>
    <x v="12"/>
    <n v="21"/>
    <n v="34"/>
    <n v="5"/>
    <n v="6.8"/>
    <n v="6.6"/>
    <n v="7.8"/>
    <n v="188"/>
    <n v="272"/>
    <n v="2"/>
    <n v="2.8"/>
    <n v="0.8"/>
    <n v="1.3"/>
    <n v="720"/>
    <n v="1100"/>
    <n v="1400"/>
    <n v="2800"/>
    <n v="260"/>
    <n v="420"/>
  </r>
  <r>
    <n v="4012"/>
    <s v="RIVER TUNIA AT D/S BRPL"/>
    <x v="12"/>
    <n v="21"/>
    <n v="35"/>
    <n v="5.0999999999999996"/>
    <n v="5.4"/>
    <n v="6.8"/>
    <n v="7.7"/>
    <n v="138"/>
    <n v="164"/>
    <n v="1.9"/>
    <n v="2.6"/>
    <n v="0.7"/>
    <n v="2"/>
    <n v="620"/>
    <n v="940"/>
    <n v="1200"/>
    <n v="1900"/>
    <n v="210"/>
    <n v="290"/>
  </r>
  <r>
    <n v="4329"/>
    <s v="RIVER LARSING NEAR LOCL DEPO AT MOINARBOND"/>
    <x v="12"/>
    <n v="20"/>
    <n v="23"/>
    <n v="5"/>
    <n v="5.4"/>
    <n v="7"/>
    <n v="7.3"/>
    <n v="92"/>
    <n v="133"/>
    <n v="2"/>
    <n v="2.2999999999999998"/>
    <n v="0.7"/>
    <n v="1"/>
    <n v="360"/>
    <n v="730"/>
    <n v="910"/>
    <n v="1500"/>
    <n v="120"/>
    <n v="240"/>
  </r>
  <r>
    <n v="4331"/>
    <s v="RIVER DHATESHWARI D/S OF HAILAKANDI"/>
    <x v="12"/>
    <n v="21"/>
    <n v="24"/>
    <n v="4.2"/>
    <n v="5.7"/>
    <n v="6.6"/>
    <n v="7.2"/>
    <n v="128"/>
    <n v="162"/>
    <n v="2"/>
    <n v="2.8"/>
    <n v="0.9"/>
    <n v="1.3"/>
    <n v="620"/>
    <n v="910"/>
    <n v="1300"/>
    <n v="2000"/>
    <n v="210"/>
    <n v="290"/>
  </r>
  <r>
    <n v="4332"/>
    <s v="RIVER DEMOW AT DEMOW TOWN"/>
    <x v="12"/>
    <n v="21"/>
    <n v="33"/>
    <n v="5.5"/>
    <n v="7.8"/>
    <n v="6.8"/>
    <n v="7.5"/>
    <n v="108"/>
    <n v="132"/>
    <n v="1.9"/>
    <n v="2.6"/>
    <n v="0.8"/>
    <n v="1.2"/>
    <n v="360"/>
    <n v="910"/>
    <n v="1100"/>
    <n v="2300"/>
    <n v="140"/>
    <n v="350"/>
  </r>
  <r>
    <n v="4336"/>
    <s v="RIVER BORSILA AT BORSILA, DEOPANI, NAMTI"/>
    <x v="12"/>
    <n v="18"/>
    <n v="31"/>
    <n v="5"/>
    <n v="7.9"/>
    <n v="6.6"/>
    <n v="7.4"/>
    <n v="83"/>
    <n v="102"/>
    <n v="1.8"/>
    <n v="2.4"/>
    <n v="0.6"/>
    <n v="1.2"/>
    <n v="360"/>
    <n v="730"/>
    <n v="720"/>
    <n v="2100"/>
    <n v="110"/>
    <n v="280"/>
  </r>
  <r>
    <n v="4341"/>
    <s v="RIVER BARNADI NEAR BRIDGE, NH-52, DUMUNICHOWKI_x000a_KAMRUP"/>
    <x v="12"/>
    <n v="19"/>
    <n v="37"/>
    <n v="5.5"/>
    <n v="9.3000000000000007"/>
    <n v="7"/>
    <n v="7.8"/>
    <n v="120"/>
    <n v="148"/>
    <n v="2"/>
    <n v="2.4"/>
    <n v="0.5"/>
    <n v="1.3"/>
    <n v="360"/>
    <n v="910"/>
    <n v="910"/>
    <n v="2000"/>
    <n v="150"/>
    <n v="240"/>
  </r>
  <r>
    <n v="2838"/>
    <s v="RIVER NONEY/IJEI AT NONEY BRIDGE, NONEY"/>
    <x v="14"/>
    <n v="20"/>
    <n v="24"/>
    <n v="7.1"/>
    <n v="7.4"/>
    <n v="7.2"/>
    <n v="7.3"/>
    <n v="160"/>
    <n v="190"/>
    <n v="3.2"/>
    <n v="3.3"/>
    <n v="0"/>
    <n v="0"/>
    <n v="40"/>
    <n v="75"/>
    <n v="85"/>
    <n v="165"/>
    <m/>
    <m/>
  </r>
  <r>
    <n v="2240"/>
    <s v="RIVER BARAK AT D/S OF SILCHAR, ASSAM"/>
    <x v="12"/>
    <n v="22"/>
    <n v="24"/>
    <n v="5"/>
    <n v="5.6"/>
    <n v="7"/>
    <n v="7.3"/>
    <n v="90"/>
    <n v="116"/>
    <n v="2"/>
    <n v="2.8"/>
    <n v="0.6"/>
    <n v="1.2"/>
    <n v="300"/>
    <n v="1100"/>
    <n v="730"/>
    <n v="2800"/>
    <n v="95"/>
    <n v="490"/>
  </r>
  <r>
    <n v="1262"/>
    <s v="RIVER BRAHMAPUTRA AT NIMATIGHAT, ASSAM"/>
    <x v="12"/>
    <n v="18"/>
    <n v="30"/>
    <n v="6.3"/>
    <n v="8.4"/>
    <n v="7"/>
    <n v="7.6"/>
    <n v="124"/>
    <n v="186"/>
    <n v="2"/>
    <n v="2.5"/>
    <n v="0.6"/>
    <n v="1.4"/>
    <n v="300"/>
    <n v="730"/>
    <n v="600"/>
    <n v="2000"/>
    <n v="110"/>
    <n v="280"/>
  </r>
  <r>
    <n v="1526"/>
    <s v="RIVER BRAHMPUTRA RIVER AT DHENUKHAPAHAR,_x000a_ASSAM"/>
    <x v="12"/>
    <n v="18"/>
    <n v="26"/>
    <n v="7"/>
    <n v="7.7"/>
    <n v="6.8"/>
    <n v="7.6"/>
    <n v="120"/>
    <n v="146"/>
    <n v="2"/>
    <n v="2.5"/>
    <n v="0.7"/>
    <n v="1.7"/>
    <n v="360"/>
    <n v="1100"/>
    <n v="910"/>
    <n v="2000"/>
    <n v="120"/>
    <n v="290"/>
  </r>
  <r>
    <n v="1030"/>
    <s v="RIVER BRAHMAPUTRA AT DIBRUGARH, ASSAM"/>
    <x v="12"/>
    <n v="21"/>
    <n v="25"/>
    <n v="5"/>
    <n v="7.5"/>
    <n v="6.8"/>
    <n v="7.5"/>
    <n v="102"/>
    <n v="152"/>
    <n v="2"/>
    <n v="2.7"/>
    <n v="0.7"/>
    <n v="1.6"/>
    <n v="360"/>
    <n v="1100"/>
    <n v="730"/>
    <n v="2100"/>
    <n v="120"/>
    <n v="290"/>
  </r>
  <r>
    <n v="1031"/>
    <s v="RIVER BRAHMAPUTRA AT PANDU, ASSAM"/>
    <x v="12"/>
    <n v="19"/>
    <n v="30"/>
    <n v="6.1"/>
    <n v="8.6999999999999993"/>
    <n v="6.7"/>
    <n v="7.8"/>
    <n v="126"/>
    <n v="166"/>
    <n v="2"/>
    <n v="2.7"/>
    <n v="0.6"/>
    <n v="1.5"/>
    <n v="730"/>
    <n v="1100"/>
    <n v="1500"/>
    <n v="2100"/>
    <n v="150"/>
    <n v="290"/>
  </r>
  <r>
    <n v="1299"/>
    <s v="RIVER BRAHMAPUTRA AT JOGIGHOPA NEAR BRIDGE,_x000a_ASSAM"/>
    <x v="12"/>
    <n v="22"/>
    <n v="36"/>
    <n v="5.4"/>
    <n v="6.5"/>
    <n v="7"/>
    <n v="7.8"/>
    <n v="146"/>
    <n v="170"/>
    <n v="2"/>
    <n v="2.6"/>
    <n v="0.7"/>
    <n v="2.2999999999999998"/>
    <n v="360"/>
    <n v="1100"/>
    <n v="1100"/>
    <n v="2100"/>
    <n v="120"/>
    <n v="290"/>
  </r>
  <r>
    <n v="2069"/>
    <s v="RIVER BRAHMPUTRA NEAR WATER INTAKE POINT AT_x000a_KACHARIGHAT, PANBAZAR, GUWAHATI, ASSAM"/>
    <x v="12"/>
    <n v="19"/>
    <n v="32"/>
    <n v="5.4"/>
    <n v="8.9"/>
    <n v="7.2"/>
    <n v="7.9"/>
    <n v="132"/>
    <n v="214"/>
    <n v="2.1"/>
    <n v="2.6"/>
    <n v="0.6"/>
    <n v="1.8"/>
    <n v="360"/>
    <n v="1100"/>
    <n v="910"/>
    <n v="2700"/>
    <n v="120"/>
    <n v="490"/>
  </r>
  <r>
    <n v="2064"/>
    <s v="RIVER BRAHMAPUTRA AT CHANDRAPUR, GUWAHATI,_x000a_ASSAM"/>
    <x v="12"/>
    <n v="18"/>
    <n v="29"/>
    <n v="6.9"/>
    <n v="9.6999999999999993"/>
    <n v="6.8"/>
    <n v="8"/>
    <n v="128"/>
    <n v="178"/>
    <n v="2"/>
    <n v="2.6"/>
    <n v="0.6"/>
    <n v="1.7"/>
    <n v="610"/>
    <n v="2800"/>
    <n v="1500"/>
    <n v="3600"/>
    <n v="210"/>
    <n v="490"/>
  </r>
  <r>
    <n v="2067"/>
    <s v="RIVER BRAHMPUTRA AT SUALKUCHI, DIST. KAMRUP,_x000a_ASSAM"/>
    <x v="12"/>
    <n v="22"/>
    <n v="30"/>
    <n v="5"/>
    <n v="8.1999999999999993"/>
    <n v="7.1"/>
    <n v="7.9"/>
    <n v="115"/>
    <n v="130"/>
    <n v="2.1"/>
    <n v="2.8"/>
    <n v="0.6"/>
    <n v="1.7"/>
    <n v="360"/>
    <n v="1500"/>
    <n v="1100"/>
    <n v="2100"/>
    <n v="95"/>
    <n v="490"/>
  </r>
  <r>
    <n v="2066"/>
    <s v="RIVER BRAHMAPUTRA AT DHUBRI, ASSAM"/>
    <x v="12"/>
    <n v="20"/>
    <n v="34"/>
    <n v="5.2"/>
    <n v="5.7"/>
    <n v="6.9"/>
    <n v="7.6"/>
    <n v="130"/>
    <n v="168"/>
    <n v="2"/>
    <n v="2.5"/>
    <n v="0.7"/>
    <n v="1.7"/>
    <n v="360"/>
    <n v="1100"/>
    <n v="910"/>
    <n v="2100"/>
    <n v="120"/>
    <n v="290"/>
  </r>
  <r>
    <n v="3781"/>
    <s v="RIVER BRAHAMPUTRA AT BOGIBEEL BRIDGE,_x000a_BOGIBEEL, DIBRUGARH"/>
    <x v="12"/>
    <n v="22"/>
    <n v="28"/>
    <n v="5"/>
    <n v="7.3"/>
    <n v="7"/>
    <n v="7.4"/>
    <n v="120"/>
    <n v="146"/>
    <n v="2"/>
    <n v="2.5"/>
    <n v="0.6"/>
    <n v="1.4"/>
    <n v="300"/>
    <n v="910"/>
    <n v="730"/>
    <n v="2000"/>
    <n v="95"/>
    <n v="290"/>
  </r>
  <r>
    <n v="4004"/>
    <s v="RIVER BRAHMAPUTRA AT BISWANATH GHAT"/>
    <x v="12"/>
    <n v="18"/>
    <n v="24"/>
    <n v="7"/>
    <n v="7.3"/>
    <n v="6.8"/>
    <n v="7.8"/>
    <n v="108"/>
    <n v="176"/>
    <n v="2"/>
    <n v="2.7"/>
    <n v="0.7"/>
    <n v="1.5"/>
    <n v="610"/>
    <n v="1100"/>
    <n v="1400"/>
    <n v="2100"/>
    <n v="210"/>
    <n v="490"/>
  </r>
  <r>
    <n v="5610"/>
    <s v="RIVER BRAHMAPUTRA AT MATIA (BAHATI GHAT)"/>
    <x v="12"/>
    <n v="21"/>
    <n v="36"/>
    <n v="5.4"/>
    <n v="5.6"/>
    <n v="7"/>
    <n v="7.3"/>
    <n v="120"/>
    <n v="130"/>
    <n v="2"/>
    <n v="2.2999999999999998"/>
    <n v="0.7"/>
    <n v="0.9"/>
    <n v="360"/>
    <n v="1100"/>
    <n v="910"/>
    <n v="2700"/>
    <n v="120"/>
    <n v="290"/>
  </r>
  <r>
    <n v="5612"/>
    <s v="RIVER BRAHMAPUTRA NEWR DHOLA SADIA BRIDGE"/>
    <x v="12"/>
    <n v="22"/>
    <n v="26"/>
    <n v="5.5"/>
    <n v="8.1999999999999993"/>
    <n v="6.9"/>
    <n v="7.8"/>
    <n v="98"/>
    <n v="130"/>
    <n v="2"/>
    <n v="2.2999999999999998"/>
    <n v="0.6"/>
    <n v="0.8"/>
    <n v="730"/>
    <n v="1500"/>
    <n v="1500"/>
    <n v="2800"/>
    <n v="240"/>
    <n v="490"/>
  </r>
  <r>
    <n v="2950"/>
    <s v="RIVER BANAS AT DHANARI DAM, NEAR SWAROOPGANJ,_x000a_SIROHI, RAJASTHAN"/>
    <x v="11"/>
    <n v="21.5"/>
    <n v="32.299999999999997"/>
    <n v="4.5999999999999996"/>
    <n v="6.4"/>
    <n v="7.1"/>
    <n v="8.3000000000000007"/>
    <n v="358"/>
    <n v="611"/>
    <n v="1"/>
    <n v="4"/>
    <n v="1.94"/>
    <n v="3.49"/>
    <n v="2"/>
    <n v="5"/>
    <n v="2"/>
    <n v="16"/>
    <n v="2"/>
    <n v="2"/>
  </r>
  <r>
    <n v="2951"/>
    <s v="RIVER BANAS BISULPUR DAM, TONK, RAJASTHAN"/>
    <x v="11"/>
    <n v="18"/>
    <n v="32"/>
    <n v="5.2"/>
    <n v="6.6"/>
    <n v="7.9"/>
    <n v="8.5"/>
    <n v="386"/>
    <n v="607"/>
    <n v="1"/>
    <n v="2.2999999999999998"/>
    <n v="0.5"/>
    <n v="1.82"/>
    <n v="58"/>
    <n v="170"/>
    <n v="170"/>
    <n v="280"/>
    <n v="25"/>
    <n v="39"/>
  </r>
  <r>
    <n v="4167"/>
    <s v="RIVER BANAS AT TRIVENI SANGAM, BHILWARA"/>
    <x v="11"/>
    <n v="19"/>
    <n v="23"/>
    <n v="4.7"/>
    <n v="5.9"/>
    <n v="7.8"/>
    <n v="8.6999999999999993"/>
    <n v="499"/>
    <n v="876"/>
    <n v="1.3"/>
    <n v="2.2999999999999998"/>
    <n v="1.1200000000000001"/>
    <n v="3.52"/>
    <n v="130"/>
    <n v="350"/>
    <n v="220"/>
    <n v="540"/>
    <n v="31"/>
    <n v="49"/>
  </r>
  <r>
    <n v="2952"/>
    <s v="RIVER NEAR NEWTA DAM,JAIPUR,RAJSTHAN"/>
    <x v="11"/>
    <n v="19"/>
    <n v="29"/>
    <n v="0.6"/>
    <n v="5.2"/>
    <n v="7.8"/>
    <n v="9.4"/>
    <n v="1434"/>
    <n v="2440"/>
    <n v="3.6"/>
    <n v="16"/>
    <n v="1.1200000000000001"/>
    <n v="5.13"/>
    <n v="70"/>
    <n v="350"/>
    <n v="430"/>
    <n v="1600"/>
    <n v="7"/>
    <n v="63"/>
  </r>
  <r>
    <n v="4790"/>
    <s v="RIVER PIPLADAT PIPLAD DAM, BHAWANI MANDI"/>
    <x v="11"/>
    <n v="20"/>
    <n v="31"/>
    <n v="4.2"/>
    <n v="5.8"/>
    <n v="8"/>
    <n v="9.4"/>
    <n v="490"/>
    <n v="754"/>
    <n v="1.9"/>
    <n v="4.0999999999999996"/>
    <n v="1.1200000000000001"/>
    <n v="2.42"/>
    <n v="130"/>
    <n v="240"/>
    <n v="240"/>
    <n v="430"/>
    <n v="26"/>
    <n v="47"/>
  </r>
  <r>
    <n v="4770"/>
    <s v="RIVER KOTHARI AT MEJA DAM BHILWARA (UPSTREAM_x000a_OF KOTHARI RIVER)"/>
    <x v="11"/>
    <n v="18.5"/>
    <n v="22"/>
    <n v="4.5999999999999996"/>
    <n v="6.5"/>
    <n v="7.5"/>
    <n v="9.9"/>
    <n v="237"/>
    <n v="623"/>
    <n v="1.4"/>
    <n v="2.5"/>
    <n v="0.52"/>
    <n v="1.94"/>
    <n v="110"/>
    <n v="280"/>
    <n v="280"/>
    <n v="540"/>
    <n v="33"/>
    <n v="120"/>
  </r>
  <r>
    <n v="5468"/>
    <s v="RIVER KOTHARI AT KOTHARI DAM, BHILWARA"/>
    <x v="11"/>
    <n v="20.5"/>
    <n v="23.5"/>
    <n v="4.2"/>
    <n v="5.9"/>
    <n v="8"/>
    <n v="9.4"/>
    <n v="761"/>
    <n v="988"/>
    <n v="1.8"/>
    <n v="3.6"/>
    <n v="0.62"/>
    <n v="2.12"/>
    <n v="210"/>
    <n v="350"/>
    <n v="350"/>
    <n v="540"/>
    <n v="31"/>
    <n v="84"/>
  </r>
  <r>
    <n v="4172"/>
    <s v="RIVER BERACH AT GHOSUNDA DAM, CHITTORGARH"/>
    <x v="11"/>
    <n v="17"/>
    <n v="30"/>
    <n v="4.2"/>
    <n v="6.5"/>
    <n v="7.1"/>
    <n v="7.7"/>
    <n v="720"/>
    <n v="1023"/>
    <n v="2"/>
    <n v="2.9"/>
    <n v="1.82"/>
    <n v="2.95"/>
    <n v="110"/>
    <n v="170"/>
    <n v="170"/>
    <n v="280"/>
    <n v="21"/>
    <n v="58"/>
  </r>
  <r>
    <n v="4175"/>
    <s v="RIVER BERACH, NEAR HOTEL PADMINI, CHITTORGARH"/>
    <x v="11"/>
    <n v="17"/>
    <n v="30"/>
    <n v="3.2"/>
    <n v="6.2"/>
    <n v="7.1"/>
    <n v="7.9"/>
    <n v="720"/>
    <n v="1448"/>
    <n v="2"/>
    <n v="3.6"/>
    <n v="1.82"/>
    <n v="4.62"/>
    <n v="110"/>
    <n v="170"/>
    <n v="170"/>
    <n v="280"/>
    <n v="21"/>
    <n v="34"/>
  </r>
  <r>
    <n v="4804"/>
    <s v="RIVER BERACH NEAR VILLAGE-NAGARI, CHITTORGARH"/>
    <x v="11"/>
    <n v="16"/>
    <n v="30"/>
    <n v="4.2"/>
    <n v="6.6"/>
    <n v="7.3"/>
    <n v="8.1"/>
    <n v="672"/>
    <n v="902"/>
    <n v="1"/>
    <n v="3"/>
    <n v="2.2200000000000002"/>
    <n v="5.12"/>
    <n v="84"/>
    <n v="220"/>
    <n v="94"/>
    <n v="500"/>
    <n v="14"/>
    <n v="140"/>
  </r>
  <r>
    <n v="4173"/>
    <s v="RIVER GAMBHIRI AT GAMBHIRI DAM, NIMBAHERA-TEHSIL, CHITTORGARH"/>
    <x v="11"/>
    <n v="16"/>
    <n v="30"/>
    <n v="4.0999999999999996"/>
    <n v="6.9"/>
    <n v="7.1"/>
    <n v="7.9"/>
    <n v="372"/>
    <n v="682"/>
    <n v="1"/>
    <n v="2.2000000000000002"/>
    <n v="1.82"/>
    <n v="3.69"/>
    <n v="90"/>
    <n v="170"/>
    <n v="170"/>
    <n v="300"/>
    <n v="24"/>
    <n v="70"/>
  </r>
  <r>
    <n v="4174"/>
    <s v="RIVER GAMBHIRI NEAR BUS STAND (OLD CITY BRIDGE),_x000a_CHITTORGARH,RAJASTHAN"/>
    <x v="11"/>
    <n v="18"/>
    <n v="30"/>
    <n v="4"/>
    <n v="6.6"/>
    <n v="7.1"/>
    <n v="7.9"/>
    <n v="605"/>
    <n v="945"/>
    <n v="1.9"/>
    <n v="3.5"/>
    <n v="3.19"/>
    <n v="7.01"/>
    <n v="110"/>
    <n v="220"/>
    <n v="150"/>
    <n v="350"/>
    <n v="24"/>
    <n v="79"/>
  </r>
  <r>
    <n v="2945"/>
    <s v="RIVER CHHAPI AT CHHAPI DAM UPSTREAM , JHALAWAR,_x000a_RAJASTHAN"/>
    <x v="11"/>
    <n v="20"/>
    <n v="32"/>
    <n v="5.0999999999999996"/>
    <n v="6.2"/>
    <n v="7.8"/>
    <n v="8.5"/>
    <n v="229"/>
    <n v="439"/>
    <n v="1"/>
    <n v="2.2000000000000002"/>
    <n v="0.82"/>
    <n v="2.64"/>
    <n v="110"/>
    <n v="170"/>
    <n v="210"/>
    <n v="350"/>
    <n v="22"/>
    <n v="34"/>
  </r>
  <r>
    <n v="2946"/>
    <s v="RIVER UJAD AT BHIM SAGAR DAM UPSTREAM ,_x000a_JHALAWAR, RAJASTHAN"/>
    <x v="11"/>
    <n v="20"/>
    <n v="32"/>
    <n v="4.0999999999999996"/>
    <n v="5.9"/>
    <n v="7.6"/>
    <n v="8.5"/>
    <n v="247"/>
    <n v="448"/>
    <n v="1"/>
    <n v="2"/>
    <n v="0.82"/>
    <n v="3.93"/>
    <n v="79"/>
    <n v="170"/>
    <n v="150"/>
    <n v="280"/>
    <n v="21"/>
    <n v="31"/>
  </r>
  <r>
    <n v="2869"/>
    <s v="RIVER BARAK AT SENAPATI"/>
    <x v="14"/>
    <n v="19"/>
    <n v="22"/>
    <n v="7.2"/>
    <n v="7.5"/>
    <n v="7.3"/>
    <n v="7.3"/>
    <n v="210"/>
    <n v="262"/>
    <n v="3"/>
    <n v="3.3"/>
    <n v="0"/>
    <n v="0"/>
    <n v="10"/>
    <n v="30"/>
    <n v="45"/>
    <n v="80"/>
    <m/>
    <m/>
  </r>
  <r>
    <n v="2875"/>
    <s v="RIVER BARAK AT N.H. 53, TAMENGLONG"/>
    <x v="14"/>
    <n v="18"/>
    <n v="23"/>
    <n v="7"/>
    <n v="7.4"/>
    <n v="7.1"/>
    <n v="7.3"/>
    <n v="140"/>
    <n v="184"/>
    <n v="3.1"/>
    <n v="3.3"/>
    <n v="0"/>
    <n v="0"/>
    <n v="15"/>
    <n v="25"/>
    <n v="40"/>
    <n v="45"/>
    <m/>
    <m/>
  </r>
  <r>
    <n v="1423"/>
    <s v="RIVER BARAK RIVER AT PANCHAGRAM , ASSAM"/>
    <x v="12"/>
    <n v="20"/>
    <n v="23"/>
    <n v="6"/>
    <n v="6.3"/>
    <n v="6.8"/>
    <n v="7.4"/>
    <n v="102"/>
    <n v="134"/>
    <n v="2.1"/>
    <n v="2.7"/>
    <n v="0.6"/>
    <n v="1.2"/>
    <n v="620"/>
    <n v="940"/>
    <n v="1400"/>
    <n v="2000"/>
    <n v="210"/>
    <n v="290"/>
  </r>
  <r>
    <n v="4649"/>
    <s v="RIVER MANU AT MANUBAZAR"/>
    <x v="15"/>
    <n v="21"/>
    <n v="31"/>
    <n v="5.2"/>
    <n v="6.4"/>
    <n v="6.9"/>
    <n v="7.6"/>
    <n v="134"/>
    <n v="191"/>
    <n v="1.2"/>
    <n v="2.1"/>
    <n v="0.9"/>
    <n v="2.7"/>
    <n v="33"/>
    <n v="63"/>
    <n v="110"/>
    <n v="280"/>
    <m/>
    <m/>
  </r>
  <r>
    <n v="4650"/>
    <s v="RIVER MANU AT CHAILENGTA"/>
    <x v="15"/>
    <n v="21"/>
    <n v="30.5"/>
    <n v="5.2"/>
    <n v="6.2"/>
    <n v="6.6"/>
    <n v="7.2"/>
    <n v="142"/>
    <n v="189"/>
    <n v="1.1000000000000001"/>
    <n v="1.9"/>
    <n v="0.9"/>
    <n v="2.4"/>
    <n v="27"/>
    <n v="58"/>
    <n v="94"/>
    <n v="240"/>
    <m/>
    <m/>
  </r>
  <r>
    <n v="2877"/>
    <s v="RIVER KHUGA (TUITHA) DAM ON KHUGA RIVER"/>
    <x v="14"/>
    <n v="19"/>
    <n v="22"/>
    <n v="7.2"/>
    <n v="7.4"/>
    <n v="7.1"/>
    <n v="7.3"/>
    <n v="170"/>
    <n v="190"/>
    <n v="3"/>
    <n v="3.3"/>
    <n v="0"/>
    <n v="0"/>
    <n v="20"/>
    <n v="25"/>
    <n v="55"/>
    <n v="65"/>
    <m/>
    <m/>
  </r>
  <r>
    <n v="2878"/>
    <s v="RIVER THONGJAOROK AT THONGJAOROK BRIDGE"/>
    <x v="14"/>
    <n v="19"/>
    <n v="28"/>
    <n v="7.1"/>
    <n v="7.5"/>
    <n v="7"/>
    <n v="7.4"/>
    <n v="150"/>
    <n v="190"/>
    <n v="3.2"/>
    <n v="3.5"/>
    <n v="0"/>
    <n v="140"/>
    <n v="40"/>
    <n v="65"/>
    <n v="45"/>
    <n v="155"/>
    <m/>
    <m/>
  </r>
  <r>
    <n v="2242"/>
    <s v="RIVER KUSHIARA AT KARIMGANJ, ASSAM"/>
    <x v="12"/>
    <n v="20"/>
    <n v="24"/>
    <n v="5.2"/>
    <n v="6.8"/>
    <n v="7"/>
    <n v="7.3"/>
    <n v="84"/>
    <n v="108"/>
    <n v="2"/>
    <n v="2.5"/>
    <n v="0.6"/>
    <n v="1.3"/>
    <n v="360"/>
    <n v="730"/>
    <n v="910"/>
    <n v="1600"/>
    <n v="120"/>
    <n v="290"/>
  </r>
  <r>
    <n v="1925"/>
    <s v="RIVER KHUGA (TUITHA) AT RENGKAI,_x000a_CHURACHANDPUR"/>
    <x v="14"/>
    <n v="19"/>
    <n v="24"/>
    <n v="5.4"/>
    <n v="7.3"/>
    <n v="7.1"/>
    <n v="7.2"/>
    <n v="140"/>
    <n v="574"/>
    <n v="3.2"/>
    <n v="4.5999999999999996"/>
    <n v="0"/>
    <n v="0"/>
    <n v="60"/>
    <n v="230"/>
    <n v="195"/>
    <n v="780"/>
    <m/>
    <m/>
  </r>
  <r>
    <n v="2880"/>
    <s v="RIVER NAMBUL AT BISHNUPUR"/>
    <x v="14"/>
    <n v="18"/>
    <n v="29"/>
    <n v="7.1"/>
    <n v="7.4"/>
    <n v="7"/>
    <n v="7.4"/>
    <n v="162"/>
    <n v="215"/>
    <n v="3.3"/>
    <n v="3.4"/>
    <n v="0"/>
    <n v="0"/>
    <n v="70"/>
    <n v="105"/>
    <n v="165"/>
    <n v="230"/>
    <m/>
    <m/>
  </r>
  <r>
    <n v="3107"/>
    <s v="RIVER DIHING AT MIAO (U/S OF NOA DIHING)"/>
    <x v="16"/>
    <n v="19.399999999999999"/>
    <n v="27.6"/>
    <n v="6.9"/>
    <n v="9.8000000000000007"/>
    <n v="7.4"/>
    <n v="8.1"/>
    <n v="79"/>
    <n v="428"/>
    <n v="1"/>
    <n v="2"/>
    <n v="0"/>
    <n v="0"/>
    <m/>
    <m/>
    <m/>
    <m/>
    <m/>
    <m/>
  </r>
  <r>
    <n v="3095"/>
    <s v="RIVER SENKI AT CHANDRANAGAR, ITANAGAR, (U/S OF_x000a_PACHIN RIVER)"/>
    <x v="16"/>
    <n v="20.3"/>
    <n v="29.4"/>
    <n v="6.2"/>
    <n v="8.9"/>
    <n v="7"/>
    <n v="8.8000000000000007"/>
    <n v="57"/>
    <n v="296"/>
    <n v="1"/>
    <n v="2.6"/>
    <n v="0"/>
    <n v="0"/>
    <m/>
    <m/>
    <m/>
    <m/>
    <m/>
    <m/>
  </r>
  <r>
    <n v="3096"/>
    <s v="RIVER DIKRONG AT NIRJULI (U/S)"/>
    <x v="16"/>
    <n v="21.4"/>
    <n v="32.799999999999997"/>
    <n v="6"/>
    <n v="9.1999999999999993"/>
    <n v="6.7"/>
    <n v="8.6999999999999993"/>
    <n v="65"/>
    <n v="219"/>
    <n v="1"/>
    <n v="2.6"/>
    <n v="0"/>
    <n v="0"/>
    <m/>
    <m/>
    <m/>
    <m/>
    <m/>
    <m/>
  </r>
  <r>
    <n v="3777"/>
    <s v="RIVER DORIKA NEAR MSW DUMPING SITE, SIVASAGAR"/>
    <x v="12"/>
    <n v="20"/>
    <n v="33"/>
    <n v="4.2"/>
    <n v="5.8"/>
    <n v="6.6"/>
    <n v="7.6"/>
    <n v="108"/>
    <n v="208"/>
    <n v="1.9"/>
    <n v="2.8"/>
    <n v="0.6"/>
    <n v="1.3"/>
    <n v="720"/>
    <n v="1100"/>
    <n v="1500"/>
    <n v="2800"/>
    <n v="270"/>
    <n v="390"/>
  </r>
  <r>
    <n v="3105"/>
    <s v="RIVER GAI NADI, NEAR HSS LIKABALI (D/S)"/>
    <x v="16"/>
    <n v="22"/>
    <n v="27.9"/>
    <n v="6.4"/>
    <n v="9.4"/>
    <n v="7.1"/>
    <n v="8.6"/>
    <n v="85"/>
    <n v="470"/>
    <n v="1"/>
    <n v="1"/>
    <n v="0"/>
    <n v="0"/>
    <m/>
    <m/>
    <m/>
    <m/>
    <m/>
    <m/>
  </r>
  <r>
    <n v="1261"/>
    <s v="RIVER SUBANSIRI AT GERUKAMUKH (BEFORE_x000a_CONFLUENCE WITH RIVER BRAHMAPUTRA)"/>
    <x v="12"/>
    <n v="22"/>
    <n v="23"/>
    <n v="6.2"/>
    <n v="8.3000000000000007"/>
    <n v="7"/>
    <n v="7.6"/>
    <n v="108"/>
    <n v="138"/>
    <n v="2"/>
    <n v="2.4"/>
    <n v="0.4"/>
    <n v="1.6"/>
    <n v="360"/>
    <n v="940"/>
    <n v="910"/>
    <n v="2100"/>
    <n v="120"/>
    <n v="290"/>
  </r>
  <r>
    <n v="3097"/>
    <s v="RIVER SUBANSIRI AT GERUKAMUKH"/>
    <x v="16"/>
    <n v="19"/>
    <n v="27.5"/>
    <n v="6.2"/>
    <n v="9.6"/>
    <n v="7"/>
    <n v="7.9"/>
    <n v="56"/>
    <n v="1012"/>
    <n v="1"/>
    <n v="1"/>
    <n v="0"/>
    <n v="0"/>
    <m/>
    <m/>
    <m/>
    <m/>
    <m/>
    <m/>
  </r>
  <r>
    <n v="3098"/>
    <s v="RIVER SIANG AT RANAGHAT, NEAR RCC BRIDGE,_x000a_PASIGHAT(U/S)"/>
    <x v="16"/>
    <n v="20"/>
    <n v="28.1"/>
    <n v="7.6"/>
    <n v="9.8000000000000007"/>
    <n v="7.4"/>
    <n v="9.3000000000000007"/>
    <n v="98"/>
    <n v="1579"/>
    <n v="1"/>
    <n v="1"/>
    <n v="0"/>
    <n v="0"/>
    <m/>
    <m/>
    <m/>
    <m/>
    <m/>
    <m/>
  </r>
  <r>
    <n v="4342"/>
    <s v="RIVER BARALIA (NEAR CHATPUJA GHAT) RANGIA,_x000a_KAMRUP"/>
    <x v="12"/>
    <n v="19"/>
    <n v="36"/>
    <n v="5.9"/>
    <n v="8.5"/>
    <n v="7.2"/>
    <n v="7.9"/>
    <n v="136"/>
    <n v="176"/>
    <n v="2.2000000000000002"/>
    <n v="2.7"/>
    <n v="0.6"/>
    <n v="1.4"/>
    <n v="620"/>
    <n v="1100"/>
    <n v="1100"/>
    <n v="2100"/>
    <n v="210"/>
    <n v="290"/>
  </r>
  <r>
    <n v="4343"/>
    <s v="RIVER BURALIA (NEAR BRIDGE ALONG NH-31) NALBARI"/>
    <x v="12"/>
    <n v="20"/>
    <n v="31"/>
    <n v="5.0999999999999996"/>
    <n v="9.5"/>
    <n v="7"/>
    <n v="8"/>
    <n v="116"/>
    <n v="140"/>
    <n v="2.1"/>
    <n v="2.6"/>
    <n v="0.5"/>
    <n v="1.8"/>
    <n v="600"/>
    <n v="910"/>
    <n v="1200"/>
    <n v="2000"/>
    <n v="160"/>
    <n v="290"/>
  </r>
  <r>
    <n v="2888"/>
    <s v="RIVER CHATHE AT BRIDGE NEAR CIHSR"/>
    <x v="13"/>
    <n v="21.3"/>
    <n v="36.799999999999997"/>
    <n v="6.3"/>
    <n v="8.8000000000000007"/>
    <n v="6.9"/>
    <n v="8.5"/>
    <n v="80"/>
    <n v="737"/>
    <n v="1.4"/>
    <n v="1.7"/>
    <n v="0.4"/>
    <n v="6.8"/>
    <m/>
    <m/>
    <m/>
    <m/>
    <m/>
    <m/>
  </r>
  <r>
    <n v="2891"/>
    <s v="DZUCHA RU"/>
    <x v="13"/>
    <n v="17.600000000000001"/>
    <n v="28"/>
    <n v="6.3"/>
    <n v="7.4"/>
    <n v="6.7"/>
    <n v="8.5"/>
    <n v="142"/>
    <n v="315"/>
    <n v="1.4"/>
    <n v="1.8"/>
    <n v="0.5"/>
    <n v="10.6"/>
    <m/>
    <m/>
    <m/>
    <m/>
    <m/>
    <m/>
  </r>
  <r>
    <n v="2889"/>
    <s v="DZUDZA RU BELOW HYDRO PROJECT STATION"/>
    <x v="13"/>
    <n v="15.6"/>
    <n v="29.2"/>
    <n v="6.8"/>
    <n v="7.5"/>
    <n v="6.5"/>
    <n v="8.6999999999999993"/>
    <n v="66"/>
    <n v="263"/>
    <n v="1.2"/>
    <n v="1.9"/>
    <n v="0.3"/>
    <n v="9.4"/>
    <m/>
    <m/>
    <m/>
    <m/>
    <m/>
    <m/>
  </r>
  <r>
    <n v="2892"/>
    <s v="KHA RU ADJOINING MUNICIPAL COUNCIL SWM SITE"/>
    <x v="13"/>
    <n v="17.5"/>
    <n v="28.9"/>
    <n v="6.2"/>
    <n v="7.4"/>
    <n v="6.5"/>
    <n v="8.3000000000000007"/>
    <n v="88"/>
    <n v="1343"/>
    <n v="1.4"/>
    <n v="1.9"/>
    <n v="0.3"/>
    <n v="3.3"/>
    <m/>
    <m/>
    <m/>
    <m/>
    <m/>
    <m/>
  </r>
  <r>
    <n v="2893"/>
    <s v="RIVER DZUCHA CONFLUENCE OF DZUCHA AND KHA RU"/>
    <x v="13"/>
    <n v="17.899999999999999"/>
    <n v="27.7"/>
    <n v="6.1"/>
    <n v="7.6"/>
    <n v="6.9"/>
    <n v="8.5"/>
    <n v="85"/>
    <n v="866"/>
    <n v="1.4"/>
    <n v="2.1"/>
    <n v="0.5"/>
    <n v="4.7"/>
    <m/>
    <m/>
    <m/>
    <m/>
    <m/>
    <m/>
  </r>
  <r>
    <n v="2228"/>
    <s v="GELA BEEL AT DERGAON, ASSAM"/>
    <x v="12"/>
    <n v="20"/>
    <n v="30"/>
    <n v="5"/>
    <n v="9.6"/>
    <n v="6.8"/>
    <n v="7.5"/>
    <n v="122"/>
    <n v="150"/>
    <n v="2"/>
    <n v="2.7"/>
    <n v="0.6"/>
    <n v="1.5"/>
    <n v="300"/>
    <n v="730"/>
    <n v="910"/>
    <n v="1500"/>
    <n v="120"/>
    <n v="240"/>
  </r>
  <r>
    <n v="4719"/>
    <s v="RIVER TORSA D/S OF GHUGHUMARI"/>
    <x v="7"/>
    <n v="15"/>
    <n v="28"/>
    <n v="6.3"/>
    <n v="8.9"/>
    <n v="7"/>
    <n v="7.9"/>
    <n v="83"/>
    <n v="155"/>
    <n v="1"/>
    <n v="2.8"/>
    <n v="0.3"/>
    <n v="0.66"/>
    <n v="1300"/>
    <n v="30000"/>
    <n v="3000"/>
    <n v="160000"/>
    <n v="14"/>
    <n v="140"/>
  </r>
  <r>
    <n v="4724"/>
    <s v="RIVER TORSA AT HASIMARA"/>
    <x v="7"/>
    <n v="18"/>
    <n v="27"/>
    <n v="7.3"/>
    <n v="8.9"/>
    <n v="7.2"/>
    <n v="7.8"/>
    <n v="60"/>
    <n v="131"/>
    <n v="1"/>
    <n v="2.7"/>
    <n v="0.3"/>
    <n v="0.49"/>
    <n v="2300"/>
    <n v="5000"/>
    <n v="7000"/>
    <n v="30000"/>
    <n v="12"/>
    <n v="1600"/>
  </r>
  <r>
    <n v="2238"/>
    <s v="RIVER BEKI AT NH-37 CROSSING AT BARPETA ROAD,_x000a_ASSAM"/>
    <x v="12"/>
    <n v="16"/>
    <n v="30"/>
    <n v="5.3"/>
    <n v="5.6"/>
    <n v="6.8"/>
    <n v="7.6"/>
    <n v="138"/>
    <n v="168"/>
    <n v="2"/>
    <n v="2.7"/>
    <n v="0.7"/>
    <n v="2.1"/>
    <n v="360"/>
    <n v="730"/>
    <n v="1100"/>
    <n v="1500"/>
    <n v="120"/>
    <n v="240"/>
  </r>
  <r>
    <n v="3108"/>
    <s v="RIVER BERENG AT CHOWKHAM"/>
    <x v="16"/>
    <n v="15.3"/>
    <n v="27.6"/>
    <n v="0.4"/>
    <n v="8.9"/>
    <n v="7.4"/>
    <n v="8.8000000000000007"/>
    <n v="105"/>
    <n v="204"/>
    <n v="1"/>
    <n v="1"/>
    <n v="0"/>
    <n v="0"/>
    <m/>
    <m/>
    <m/>
    <m/>
    <m/>
    <m/>
  </r>
  <r>
    <n v="1527"/>
    <s v="RIVER BHOGDOI AT JORHAT , ASSAM"/>
    <x v="12"/>
    <n v="21"/>
    <n v="33"/>
    <n v="5.2"/>
    <n v="8.5"/>
    <n v="6.6"/>
    <n v="7.3"/>
    <n v="140"/>
    <n v="258"/>
    <n v="1.9"/>
    <n v="2.5"/>
    <n v="0.6"/>
    <n v="1.4"/>
    <n v="360"/>
    <n v="910"/>
    <n v="910"/>
    <n v="2000"/>
    <n v="140"/>
    <n v="340"/>
  </r>
  <r>
    <n v="3769"/>
    <s v="RIVER BHOGDOI (PUJADUBI GHAT) INTAKE POINT OF_x000a_URBAN WATER SUPPLY, JORHAT"/>
    <x v="12"/>
    <n v="21"/>
    <n v="33"/>
    <n v="6"/>
    <n v="8"/>
    <n v="6.6"/>
    <n v="7.7"/>
    <n v="138"/>
    <n v="228"/>
    <n v="1.6"/>
    <n v="2.8"/>
    <n v="0.6"/>
    <n v="1.4"/>
    <n v="300"/>
    <n v="730"/>
    <n v="700"/>
    <n v="1100"/>
    <n v="110"/>
    <n v="280"/>
  </r>
  <r>
    <n v="1258"/>
    <s v="RIVER JHANJI AT N.H. CROSSING JORHAT, ASSAM"/>
    <x v="12"/>
    <n v="19"/>
    <n v="32"/>
    <n v="5.5"/>
    <n v="8.1"/>
    <n v="6.6"/>
    <n v="7.4"/>
    <n v="110"/>
    <n v="132"/>
    <n v="2.1"/>
    <n v="2.6"/>
    <n v="0.6"/>
    <n v="1.4"/>
    <n v="300"/>
    <n v="360"/>
    <n v="720"/>
    <n v="2100"/>
    <n v="110"/>
    <n v="340"/>
  </r>
  <r>
    <n v="2063"/>
    <s v="RIVER JIA BHARALI AT BISWANATH CHARALI, SONITPUR"/>
    <x v="12"/>
    <n v="18"/>
    <n v="25"/>
    <n v="6.8"/>
    <n v="7"/>
    <n v="7"/>
    <n v="7.5"/>
    <n v="126"/>
    <n v="142"/>
    <n v="2"/>
    <n v="2.5"/>
    <n v="0.7"/>
    <n v="1.8"/>
    <n v="360"/>
    <n v="730"/>
    <n v="910"/>
    <n v="2000"/>
    <n v="120"/>
    <n v="290"/>
  </r>
  <r>
    <n v="2239"/>
    <s v="RIVER SANKOSH DHUBRI, ASSAM"/>
    <x v="12"/>
    <n v="21"/>
    <n v="33"/>
    <n v="5.2"/>
    <n v="5.4"/>
    <n v="6.9"/>
    <n v="7.7"/>
    <n v="126"/>
    <n v="152"/>
    <n v="2"/>
    <n v="2.5"/>
    <n v="0.6"/>
    <n v="1.8"/>
    <n v="300"/>
    <n v="910"/>
    <n v="620"/>
    <n v="2000"/>
    <n v="96"/>
    <n v="290"/>
  </r>
  <r>
    <n v="2890"/>
    <s v="SANUO RU BELOW NEW SECRETARIAT"/>
    <x v="13"/>
    <n v="17.399999999999999"/>
    <n v="26.1"/>
    <n v="6.3"/>
    <n v="7.5"/>
    <n v="6.5"/>
    <n v="9"/>
    <n v="152"/>
    <n v="754"/>
    <n v="1.4"/>
    <n v="2"/>
    <n v="0.3"/>
    <n v="4.8"/>
    <m/>
    <m/>
    <m/>
    <m/>
    <m/>
    <m/>
  </r>
  <r>
    <n v="2233"/>
    <s v="RIVER BOGINADI NEAR BRIDGE NH-52, LAKHIMPUR,_x000a_ASSAM"/>
    <x v="12"/>
    <n v="19"/>
    <n v="32"/>
    <n v="5.5"/>
    <n v="6.3"/>
    <n v="7.2"/>
    <n v="7.9"/>
    <n v="112"/>
    <n v="136"/>
    <n v="2"/>
    <n v="2.4"/>
    <n v="0.5"/>
    <n v="2"/>
    <n v="620"/>
    <n v="930"/>
    <n v="1300"/>
    <n v="2000"/>
    <n v="210"/>
    <n v="290"/>
  </r>
  <r>
    <n v="3372"/>
    <s v="RIVER RILANG AT MAWKYRWAT,"/>
    <x v="17"/>
    <n v="14"/>
    <n v="19"/>
    <n v="7.3"/>
    <n v="8.8000000000000007"/>
    <n v="6.8"/>
    <n v="7.2"/>
    <n v="30"/>
    <n v="39"/>
    <n v="1"/>
    <n v="1.1000000000000001"/>
    <n v="0.32"/>
    <n v="0.41"/>
    <n v="2"/>
    <n v="2"/>
    <n v="24"/>
    <n v="64"/>
    <n v="2"/>
    <n v="2"/>
  </r>
  <r>
    <n v="3377"/>
    <s v="RIVER MYNTANG AT NARTIANG"/>
    <x v="17"/>
    <n v="12"/>
    <n v="20"/>
    <n v="6.6"/>
    <n v="8.1999999999999993"/>
    <n v="6.8"/>
    <n v="7.1"/>
    <n v="34"/>
    <n v="45"/>
    <n v="1.3"/>
    <n v="2.2999999999999998"/>
    <n v="0.32"/>
    <n v="5.37"/>
    <n v="2"/>
    <n v="48"/>
    <n v="230"/>
    <n v="540"/>
    <n v="2"/>
    <n v="14"/>
  </r>
  <r>
    <n v="3378"/>
    <s v="RIVER MYNTANG AT MYNSO"/>
    <x v="17"/>
    <n v="10"/>
    <n v="20"/>
    <n v="7.1"/>
    <n v="8.6999999999999993"/>
    <n v="6.7"/>
    <n v="7.1"/>
    <n v="36"/>
    <n v="46"/>
    <n v="1"/>
    <n v="1.5"/>
    <n v="0.34"/>
    <n v="5.41"/>
    <n v="2"/>
    <n v="6"/>
    <n v="23"/>
    <n v="49"/>
    <n v="2"/>
    <n v="2"/>
  </r>
  <r>
    <n v="3380"/>
    <s v="RIVER DAMRING (KRISHNAI RIVER) AT RESUBELPARA"/>
    <x v="17"/>
    <n v="15"/>
    <n v="22"/>
    <n v="7"/>
    <n v="7.9"/>
    <n v="6.9"/>
    <n v="7.6"/>
    <n v="58"/>
    <n v="76"/>
    <n v="1.3"/>
    <n v="2.1"/>
    <n v="0.32"/>
    <n v="0.5"/>
    <n v="12"/>
    <n v="63"/>
    <n v="350"/>
    <n v="700"/>
    <n v="2"/>
    <n v="21"/>
  </r>
  <r>
    <n v="3381"/>
    <s v="RIVER MANDA (DUDHNOI RIVER) AT JAMGE,"/>
    <x v="17"/>
    <n v="15"/>
    <n v="22"/>
    <n v="6.6"/>
    <n v="7.6"/>
    <n v="6.6"/>
    <n v="6.9"/>
    <n v="60"/>
    <n v="74"/>
    <n v="1.5"/>
    <n v="2.5"/>
    <n v="0.32"/>
    <n v="0.54"/>
    <n v="23"/>
    <n v="120"/>
    <n v="310"/>
    <n v="790"/>
    <n v="2"/>
    <n v="30"/>
  </r>
  <r>
    <n v="3382"/>
    <s v="RIVER MANDA (DUDHNOI RIVER) AT WAGEASI"/>
    <x v="17"/>
    <n v="15"/>
    <n v="22"/>
    <n v="7"/>
    <n v="7.6"/>
    <n v="7"/>
    <n v="7.5"/>
    <n v="57"/>
    <n v="77"/>
    <n v="1.5"/>
    <n v="2.2999999999999998"/>
    <n v="0.32"/>
    <n v="0.45"/>
    <n v="12"/>
    <n v="110"/>
    <n v="310"/>
    <n v="630"/>
    <n v="2"/>
    <n v="27"/>
  </r>
  <r>
    <n v="2050"/>
    <s v="RIVER TLAWNG MID STREAM, REIEK KAI, AIZAWL,U/S_x000a_OF TLAWNG BRIDGE"/>
    <x v="18"/>
    <n v="19"/>
    <n v="25"/>
    <n v="5.0999999999999996"/>
    <n v="8.1999999999999993"/>
    <n v="7.3"/>
    <n v="8.4"/>
    <n v="102"/>
    <n v="367"/>
    <n v="1"/>
    <n v="1.3"/>
    <n v="0.02"/>
    <n v="0.56999999999999995"/>
    <n v="2"/>
    <n v="150"/>
    <n v="210"/>
    <n v="2400"/>
    <n v="17"/>
    <n v="17"/>
  </r>
  <r>
    <n v="2051"/>
    <s v="RIVER TLAWNG MID STREAM, REIEK KAI, AIZAWL,D/S OF_x000a_TLAWNG BRIDGE"/>
    <x v="18"/>
    <n v="19"/>
    <n v="25"/>
    <n v="5.3"/>
    <n v="8.4"/>
    <n v="7.3"/>
    <n v="8.3000000000000007"/>
    <n v="110"/>
    <n v="364"/>
    <n v="1"/>
    <n v="1.5"/>
    <n v="0.02"/>
    <n v="0.6"/>
    <n v="2"/>
    <n v="150"/>
    <n v="210"/>
    <n v="2400"/>
    <n v="17"/>
    <n v="17"/>
  </r>
  <r>
    <n v="2053"/>
    <s v="RIVER TUIRIAL MID STREAM, TUIRIAL VILLAGE,D/S OF_x000a_TUIRIAL BRIDGE"/>
    <x v="18"/>
    <n v="19"/>
    <n v="24"/>
    <n v="4.2"/>
    <n v="8.3000000000000007"/>
    <n v="6.7"/>
    <n v="8.4"/>
    <n v="145"/>
    <n v="428"/>
    <n v="1"/>
    <n v="1.2"/>
    <n v="0.02"/>
    <n v="1.08"/>
    <n v="3"/>
    <n v="240"/>
    <n v="1100"/>
    <n v="2400"/>
    <n v="21"/>
    <n v="21"/>
  </r>
  <r>
    <n v="3709"/>
    <s v="RIVER TLAWNG SAIRANG"/>
    <x v="18"/>
    <n v="19"/>
    <n v="26"/>
    <n v="5.7"/>
    <n v="10.6"/>
    <n v="7.2"/>
    <n v="8.6"/>
    <n v="131"/>
    <n v="329"/>
    <n v="1"/>
    <n v="1.8"/>
    <n v="0.02"/>
    <n v="4.88"/>
    <n v="2"/>
    <n v="240"/>
    <n v="1100"/>
    <n v="2400"/>
    <n v="23"/>
    <n v="23"/>
  </r>
  <r>
    <n v="3754"/>
    <s v="RIVER TLAWNG D/S, RIMAWI VENG, BAIRABI,KOLASIB_x000a_DIST."/>
    <x v="18"/>
    <n v="11"/>
    <n v="25"/>
    <n v="5.5"/>
    <n v="10"/>
    <n v="6.8"/>
    <n v="7.9"/>
    <n v="148"/>
    <n v="280"/>
    <n v="1"/>
    <n v="1.6"/>
    <n v="0.02"/>
    <n v="2.4"/>
    <m/>
    <m/>
    <m/>
    <m/>
    <m/>
    <m/>
  </r>
  <r>
    <n v="4121"/>
    <s v="RIVER TLAWNG D/S,SUARPUI, BAIRABI HEPP DAM SITE,_x000a_BAIRABI,KOLASIB DIST."/>
    <x v="18"/>
    <n v="10"/>
    <n v="25"/>
    <n v="5.4"/>
    <n v="7.5"/>
    <n v="6.8"/>
    <n v="8.1"/>
    <n v="107"/>
    <n v="265"/>
    <n v="1"/>
    <n v="1.4"/>
    <n v="0.02"/>
    <n v="1.8"/>
    <m/>
    <m/>
    <m/>
    <m/>
    <m/>
    <m/>
  </r>
  <r>
    <n v="3734"/>
    <s v="RIVER TLAWNG U/S, ZOBAWK VILLAGE, LUNGLEI DIST."/>
    <x v="18"/>
    <n v="14"/>
    <n v="26"/>
    <n v="6.9"/>
    <n v="9.6"/>
    <n v="6.1"/>
    <n v="7.2"/>
    <n v="36"/>
    <n v="214"/>
    <n v="1"/>
    <n v="1.4"/>
    <n v="0.02"/>
    <n v="5.28"/>
    <m/>
    <m/>
    <m/>
    <m/>
    <m/>
    <m/>
  </r>
  <r>
    <n v="3736"/>
    <s v="RIVER TLAWNG U/S, PIALTHLENG ZOTLANG, LUNGLEI"/>
    <x v="18"/>
    <n v="20"/>
    <n v="28"/>
    <n v="6.2"/>
    <n v="9.1999999999999993"/>
    <n v="7.3"/>
    <n v="8"/>
    <n v="77"/>
    <n v="225"/>
    <n v="1.1000000000000001"/>
    <n v="1.3"/>
    <n v="0.02"/>
    <n v="0.96"/>
    <m/>
    <m/>
    <m/>
    <m/>
    <m/>
    <m/>
  </r>
  <r>
    <n v="3710"/>
    <s v="RIVER, SERLUI STREAM, REIEK KAI,_x000a_NEAR PHE WATER TREATMENT PLANT, AIZAWL"/>
    <x v="18"/>
    <n v="18"/>
    <n v="24"/>
    <n v="5.7"/>
    <n v="8.1999999999999993"/>
    <n v="7.3"/>
    <n v="8.5"/>
    <n v="18"/>
    <n v="422"/>
    <n v="1"/>
    <n v="1.3"/>
    <n v="0.02"/>
    <n v="31.02"/>
    <m/>
    <m/>
    <m/>
    <m/>
    <m/>
    <m/>
  </r>
  <r>
    <n v="3711"/>
    <s v="VAIPUANPHO STREAM, AILAWNG, MAMIT DIST."/>
    <x v="18"/>
    <n v="20"/>
    <n v="24"/>
    <n v="4.9000000000000004"/>
    <n v="8.1999999999999993"/>
    <n v="7.2"/>
    <n v="8.1"/>
    <n v="38"/>
    <n v="126"/>
    <n v="1"/>
    <n v="1.3"/>
    <n v="0.02"/>
    <n v="0.92"/>
    <m/>
    <m/>
    <m/>
    <m/>
    <m/>
    <m/>
  </r>
  <r>
    <n v="3712"/>
    <s v="TUIKUAL STREAM, D/S, REIEK KAI, NEAR PHE WATER_x000a_TREATMENT PLANT, AIZAWL"/>
    <x v="18"/>
    <n v="19"/>
    <n v="25"/>
    <n v="3.9"/>
    <n v="8.1999999999999993"/>
    <n v="7.6"/>
    <n v="8.4"/>
    <n v="113"/>
    <n v="359"/>
    <n v="1"/>
    <n v="5.5"/>
    <n v="0.02"/>
    <n v="1.42"/>
    <n v="2"/>
    <n v="210"/>
    <n v="210"/>
    <n v="2400"/>
    <n v="26"/>
    <n v="26"/>
  </r>
  <r>
    <n v="3713"/>
    <s v="SAKHISIH STREAM,_x000a_MISSION VENGTHLANG, AIZAWL"/>
    <x v="18"/>
    <n v="15"/>
    <n v="24"/>
    <n v="4.0999999999999996"/>
    <n v="6.9"/>
    <n v="5.6"/>
    <n v="8.1"/>
    <n v="182"/>
    <n v="746"/>
    <n v="1"/>
    <n v="2.9"/>
    <n v="0.02"/>
    <n v="10.92"/>
    <m/>
    <m/>
    <m/>
    <m/>
    <m/>
    <m/>
  </r>
  <r>
    <n v="3714"/>
    <s v="RIVER TUIRIAL UPSTREAM, SUMSUIH,AIZAWL DIST"/>
    <x v="18"/>
    <n v="11"/>
    <n v="22"/>
    <n v="6.6"/>
    <n v="7.8"/>
    <n v="6"/>
    <n v="7.6"/>
    <n v="24"/>
    <n v="280"/>
    <n v="1"/>
    <n v="1.8"/>
    <n v="0.02"/>
    <n v="1.3"/>
    <m/>
    <m/>
    <m/>
    <m/>
    <m/>
    <m/>
  </r>
  <r>
    <n v="3715"/>
    <s v="RIVER TUIRIAL MID STREAM, AIRFIELD, U/S OF TUIRIAL_x000a_WASTE MANAGEMENT CENTRE,AIZAWL DIST."/>
    <x v="18"/>
    <n v="19"/>
    <n v="24"/>
    <n v="4.2"/>
    <n v="8.1"/>
    <n v="7.4"/>
    <n v="8.4"/>
    <n v="143"/>
    <n v="413"/>
    <n v="1"/>
    <n v="1.4"/>
    <n v="0.02"/>
    <n v="5.32"/>
    <m/>
    <m/>
    <m/>
    <m/>
    <m/>
    <m/>
  </r>
  <r>
    <n v="4118"/>
    <s v="RIVER TUIRIAL D/S, HEPP DAM, SAIPUM, KOLASIB DIST."/>
    <x v="18"/>
    <n v="19"/>
    <n v="36"/>
    <n v="5.3"/>
    <n v="9.1"/>
    <n v="6.9"/>
    <n v="7.5"/>
    <n v="81"/>
    <n v="119"/>
    <n v="1"/>
    <n v="1.4"/>
    <n v="0.02"/>
    <n v="0.78"/>
    <m/>
    <m/>
    <m/>
    <m/>
    <m/>
    <m/>
  </r>
  <r>
    <n v="3717"/>
    <s v="RIVER TUIRIAL MID STREAM, AIRFIELD, D/S OF TUIRIAL_x000a_WASTE MANAGEMENT CENTRE,AIZAWL DIST"/>
    <x v="18"/>
    <n v="19"/>
    <n v="24"/>
    <n v="4.0999999999999996"/>
    <n v="8.1999999999999993"/>
    <n v="7.5"/>
    <n v="8.5"/>
    <n v="167"/>
    <n v="480"/>
    <n v="1"/>
    <n v="1.4"/>
    <n v="0.02"/>
    <n v="1.63"/>
    <m/>
    <m/>
    <m/>
    <m/>
    <m/>
    <m/>
  </r>
  <r>
    <n v="2052"/>
    <s v="RIVER TUIRIAL MID STREAM, TUIRIAL VILLAGE,U/S OF_x000a_TUIRIAL BRIDGE"/>
    <x v="18"/>
    <n v="19"/>
    <n v="24"/>
    <n v="4"/>
    <n v="8"/>
    <n v="6.5"/>
    <n v="8.4"/>
    <n v="149"/>
    <n v="405"/>
    <n v="1"/>
    <n v="1.3"/>
    <n v="0.02"/>
    <n v="1.46"/>
    <n v="3"/>
    <n v="240"/>
    <n v="1100"/>
    <n v="2400"/>
    <n v="21"/>
    <n v="21"/>
  </r>
  <r>
    <n v="3716"/>
    <s v="DAMDIAI STREAM, AIRFIELD,NEAR TUIRIAL WASTE_x000a_MANAGEMENT CENTRE,AIZAWL DIST"/>
    <x v="18"/>
    <n v="19"/>
    <n v="24"/>
    <n v="5.0999999999999996"/>
    <n v="9"/>
    <n v="7.7"/>
    <n v="8.4"/>
    <n v="119"/>
    <n v="320"/>
    <n v="1"/>
    <n v="1.6"/>
    <n v="0.02"/>
    <n v="0.86"/>
    <m/>
    <m/>
    <m/>
    <m/>
    <m/>
    <m/>
  </r>
  <r>
    <n v="3718"/>
    <s v="CHITE STREAM, ARMED VENG,_x000a_NEAR MINI SPORTS COMPLEX, AIZAWL"/>
    <x v="18"/>
    <n v="20"/>
    <n v="24"/>
    <n v="1.5"/>
    <n v="7.1"/>
    <n v="7.3"/>
    <n v="8.1999999999999993"/>
    <n v="371"/>
    <n v="914"/>
    <n v="1.2"/>
    <n v="29"/>
    <n v="0.02"/>
    <n v="18"/>
    <n v="2"/>
    <n v="1100"/>
    <n v="1600"/>
    <n v="2400"/>
    <n v="240"/>
    <n v="240"/>
  </r>
  <r>
    <n v="3719"/>
    <s v="TUIRINI RIVER, SELING, SAITUAL DIST"/>
    <x v="18"/>
    <n v="16"/>
    <n v="26"/>
    <n v="7.5"/>
    <n v="9.8000000000000007"/>
    <n v="6.8"/>
    <n v="8"/>
    <n v="93"/>
    <n v="217"/>
    <n v="1"/>
    <n v="1.5"/>
    <n v="0.02"/>
    <n v="1.3"/>
    <m/>
    <m/>
    <m/>
    <m/>
    <m/>
    <m/>
  </r>
  <r>
    <n v="3720"/>
    <s v="TUIVAWL RIVER, KEIFANG VILLAGE, NEAR TUIVAWL_x000a_BRIDGE,SAITUAL DIST"/>
    <x v="18"/>
    <n v="16"/>
    <n v="26"/>
    <n v="6.8"/>
    <n v="9.9"/>
    <n v="6.6"/>
    <n v="7.7"/>
    <n v="97"/>
    <n v="215"/>
    <n v="1"/>
    <n v="1.4"/>
    <n v="0.02"/>
    <n v="0.59"/>
    <m/>
    <m/>
    <m/>
    <m/>
    <m/>
    <m/>
  </r>
  <r>
    <n v="3721"/>
    <s v="LAWIBUAL STREAM,_x000a_I.T.I VENG, AIZAWL"/>
    <x v="18"/>
    <n v="18"/>
    <n v="24"/>
    <n v="0.3"/>
    <n v="6.9"/>
    <n v="5.6"/>
    <n v="8.1999999999999993"/>
    <n v="166"/>
    <n v="855"/>
    <n v="1"/>
    <n v="14.3"/>
    <n v="0.02"/>
    <n v="8.1999999999999993"/>
    <n v="3"/>
    <n v="210"/>
    <n v="2400"/>
    <n v="2400"/>
    <m/>
    <m/>
  </r>
  <r>
    <n v="3724"/>
    <s v="CHALLUI STREAM, LENGPUI, AIZAWL DIST"/>
    <x v="18"/>
    <n v="18"/>
    <n v="24"/>
    <n v="5.9"/>
    <n v="9.6"/>
    <n v="6.7"/>
    <n v="8.1"/>
    <n v="104"/>
    <n v="259"/>
    <n v="1"/>
    <n v="1.6"/>
    <n v="0.02"/>
    <n v="1.1399999999999999"/>
    <m/>
    <m/>
    <m/>
    <m/>
    <m/>
    <m/>
  </r>
  <r>
    <n v="3735"/>
    <s v="MAT RIVER, DAWN VILLAGE, NEAR MAT_x000a_BRIDGE,LUNGLEI DIST."/>
    <x v="18"/>
    <n v="15"/>
    <n v="26"/>
    <n v="6"/>
    <n v="10.5"/>
    <n v="5.7"/>
    <n v="7.5"/>
    <n v="37"/>
    <n v="1209"/>
    <n v="1"/>
    <n v="1.5"/>
    <n v="0.02"/>
    <n v="8.4499999999999993"/>
    <m/>
    <m/>
    <m/>
    <m/>
    <m/>
    <m/>
  </r>
  <r>
    <n v="3740"/>
    <s v="SAIKAH STREAM, LAWNGTLAI"/>
    <x v="18"/>
    <n v="21"/>
    <n v="25"/>
    <n v="5"/>
    <n v="7.2"/>
    <n v="6.5"/>
    <n v="7.6"/>
    <n v="60"/>
    <n v="479"/>
    <n v="1"/>
    <n v="1.5"/>
    <n v="0.02"/>
    <n v="1.55"/>
    <m/>
    <m/>
    <m/>
    <m/>
    <m/>
    <m/>
  </r>
  <r>
    <n v="3744"/>
    <s v="CHHIMTUIPUI RIVER, KAWLCHAW, NEAR CHHIMTUPUI_x000a_BRIDGE, SAIHA DIST."/>
    <x v="18"/>
    <n v="15"/>
    <n v="34"/>
    <n v="6"/>
    <n v="8.9"/>
    <n v="6.8"/>
    <n v="8"/>
    <n v="99"/>
    <n v="557"/>
    <n v="1"/>
    <n v="1.4"/>
    <n v="0.02"/>
    <n v="2.35"/>
    <m/>
    <m/>
    <m/>
    <m/>
    <m/>
    <m/>
  </r>
  <r>
    <n v="3746"/>
    <s v="TUIKUM RIVER,_x000a_NEAR PHE WATER TREATMENT PLANT, SERCHHIP"/>
    <x v="18"/>
    <n v="14"/>
    <n v="25"/>
    <n v="5.7"/>
    <n v="8.1999999999999993"/>
    <n v="6.3"/>
    <n v="7.8"/>
    <n v="69"/>
    <n v="306"/>
    <n v="1"/>
    <n v="1.5"/>
    <n v="0.02"/>
    <n v="1.06"/>
    <m/>
    <m/>
    <m/>
    <m/>
    <m/>
    <m/>
  </r>
  <r>
    <n v="3747"/>
    <s v="SESAH STREAM, DINTHAR, SERCHHIP"/>
    <x v="18"/>
    <n v="13"/>
    <n v="24"/>
    <n v="6.7"/>
    <n v="9.1999999999999993"/>
    <n v="6.9"/>
    <n v="7.9"/>
    <n v="75"/>
    <n v="232"/>
    <n v="1"/>
    <n v="1.4"/>
    <n v="0.02"/>
    <n v="0.7"/>
    <m/>
    <m/>
    <m/>
    <m/>
    <m/>
    <m/>
  </r>
  <r>
    <n v="3749"/>
    <s v="RIVER PHE RESERVIOR (LAHMUN RIVER), MIZO VENG,_x000a_MAMIT"/>
    <x v="18"/>
    <n v="17"/>
    <n v="23"/>
    <n v="6.6"/>
    <n v="7.9"/>
    <n v="7.2"/>
    <n v="8.1999999999999993"/>
    <n v="72"/>
    <n v="212"/>
    <n v="1"/>
    <n v="1.6"/>
    <n v="0.02"/>
    <n v="0.92"/>
    <m/>
    <m/>
    <m/>
    <m/>
    <m/>
    <m/>
  </r>
  <r>
    <n v="3750"/>
    <s v="RIVER TEIREI BAWNGVA, MAMIT DIST."/>
    <x v="18"/>
    <n v="16"/>
    <n v="25"/>
    <n v="6"/>
    <n v="8.6"/>
    <n v="7.1"/>
    <n v="8"/>
    <n v="148"/>
    <n v="273"/>
    <n v="1"/>
    <n v="1.4"/>
    <n v="0.02"/>
    <n v="1.95"/>
    <m/>
    <m/>
    <m/>
    <m/>
    <m/>
    <m/>
  </r>
  <r>
    <n v="3751"/>
    <s v="RIVER TUT DAPCHHUAH, MAMIT DIST."/>
    <x v="18"/>
    <n v="15"/>
    <n v="25"/>
    <n v="7.7"/>
    <n v="8.8000000000000007"/>
    <n v="6.4"/>
    <n v="8.1"/>
    <n v="109"/>
    <n v="673"/>
    <n v="1"/>
    <n v="1.5"/>
    <n v="0.02"/>
    <n v="2.48"/>
    <m/>
    <m/>
    <m/>
    <m/>
    <m/>
    <m/>
  </r>
  <r>
    <n v="3752"/>
    <s v="RIVER TUICHHUAHEN STREAM,_x000a_NEAR PHE WATER TREATMENT PLANT, KOLASIB"/>
    <x v="18"/>
    <n v="16"/>
    <n v="23"/>
    <n v="6.6"/>
    <n v="8.4"/>
    <n v="6"/>
    <n v="7.7"/>
    <n v="70"/>
    <n v="668"/>
    <n v="1"/>
    <n v="1.4"/>
    <n v="0.02"/>
    <n v="2.25"/>
    <m/>
    <m/>
    <m/>
    <m/>
    <m/>
    <m/>
  </r>
  <r>
    <n v="3756"/>
    <s v="RIVER TIAU, ZOKHAWTHAR,_x000a_NEAR TIAU BRIDGE,CHAMPHAI DIST."/>
    <x v="18"/>
    <n v="17"/>
    <n v="23"/>
    <n v="5.0999999999999996"/>
    <n v="9.1999999999999993"/>
    <n v="7.2"/>
    <n v="8.4"/>
    <n v="137"/>
    <n v="643"/>
    <n v="1"/>
    <n v="1.2"/>
    <n v="0.02"/>
    <n v="6.02"/>
    <m/>
    <m/>
    <m/>
    <m/>
    <m/>
    <m/>
  </r>
  <r>
    <n v="3757"/>
    <s v="RIVER TUIPUI NEAR PHE WATER TREATMENT PLANT,_x000a_CHAMPHAI DIST."/>
    <x v="18"/>
    <n v="17"/>
    <n v="22"/>
    <n v="5.0999999999999996"/>
    <n v="7.8"/>
    <n v="6.4"/>
    <n v="7.9"/>
    <n v="73"/>
    <n v="194"/>
    <n v="1"/>
    <n v="5.6"/>
    <n v="0.02"/>
    <n v="1.31"/>
    <m/>
    <m/>
    <m/>
    <m/>
    <m/>
    <m/>
  </r>
  <r>
    <n v="5500"/>
    <s v="RIVER LEIMAKHONG NEAR KANTO AWANG LEIKAI"/>
    <x v="14"/>
    <n v="19"/>
    <n v="29"/>
    <n v="7.1"/>
    <n v="7.3"/>
    <n v="7.1"/>
    <n v="7.3"/>
    <n v="95"/>
    <n v="240"/>
    <n v="3.2"/>
    <n v="3.5"/>
    <n v="0"/>
    <n v="0"/>
    <n v="50"/>
    <n v="75"/>
    <n v="75"/>
    <n v="190"/>
    <m/>
    <m/>
  </r>
  <r>
    <n v="5501"/>
    <s v="TUPUL RIVER AT TUPUL BRIDGE, NONEY"/>
    <x v="14"/>
    <n v="18"/>
    <n v="20"/>
    <n v="7.2"/>
    <n v="7.4"/>
    <n v="7.2"/>
    <n v="7.4"/>
    <n v="290"/>
    <n v="320"/>
    <n v="3"/>
    <n v="3.1"/>
    <n v="0"/>
    <n v="0"/>
    <n v="20"/>
    <n v="35"/>
    <n v="50"/>
    <n v="65"/>
    <m/>
    <m/>
  </r>
  <r>
    <n v="5502"/>
    <s v="RIVER KONGBA AT IRONG"/>
    <x v="14"/>
    <n v="18.2"/>
    <n v="29"/>
    <n v="7"/>
    <n v="7.3"/>
    <n v="7"/>
    <n v="7.8"/>
    <n v="120"/>
    <n v="215"/>
    <n v="3.2"/>
    <n v="3.4"/>
    <n v="0"/>
    <n v="0"/>
    <n v="125"/>
    <n v="170"/>
    <n v="245"/>
    <n v="315"/>
    <m/>
    <m/>
  </r>
  <r>
    <n v="5503"/>
    <s v="RIVER KONGBA AT IRANPHAM"/>
    <x v="14"/>
    <n v="20"/>
    <n v="29"/>
    <n v="6.8"/>
    <n v="7.3"/>
    <n v="6.8"/>
    <n v="7.4"/>
    <n v="180"/>
    <n v="498"/>
    <n v="3.3"/>
    <n v="3.5"/>
    <n v="0"/>
    <n v="0"/>
    <n v="170"/>
    <n v="300"/>
    <n v="335"/>
    <n v="465"/>
    <m/>
    <m/>
  </r>
  <r>
    <n v="4110"/>
    <s v="RIVER NONGAL AT NANGALBIBRA"/>
    <x v="17"/>
    <n v="15"/>
    <n v="23"/>
    <n v="6.9"/>
    <n v="7.7"/>
    <n v="4"/>
    <n v="4.5"/>
    <n v="130"/>
    <n v="154"/>
    <n v="1.3"/>
    <n v="2"/>
    <n v="0.32"/>
    <n v="0.49"/>
    <n v="9"/>
    <n v="43"/>
    <n v="350"/>
    <n v="630"/>
    <n v="2"/>
    <n v="13"/>
  </r>
  <r>
    <n v="4113"/>
    <s v="RIVER DAMRING AT BOLDAMGRE"/>
    <x v="17"/>
    <n v="16"/>
    <n v="22"/>
    <n v="7"/>
    <n v="7.4"/>
    <n v="7"/>
    <n v="8"/>
    <n v="65"/>
    <n v="769"/>
    <n v="1.3"/>
    <n v="2.1"/>
    <n v="0.34"/>
    <n v="0.55000000000000004"/>
    <n v="9"/>
    <n v="49"/>
    <n v="330"/>
    <n v="630"/>
    <n v="4"/>
    <n v="17"/>
  </r>
  <r>
    <n v="4114"/>
    <s v="RIVER CHITE STREAM, NEAR SIPMIU'S STP,_x000a_BETHLEHEM VENGTHLANG, AIZAWL"/>
    <x v="18"/>
    <n v="20"/>
    <n v="24"/>
    <n v="2.2000000000000002"/>
    <n v="7.4"/>
    <n v="7.2"/>
    <n v="8.1999999999999993"/>
    <n v="505"/>
    <n v="994"/>
    <n v="1.2"/>
    <n v="29"/>
    <n v="0.02"/>
    <n v="14.31"/>
    <n v="9"/>
    <n v="170"/>
    <n v="1600"/>
    <n v="2400"/>
    <n v="240"/>
    <n v="240"/>
  </r>
  <r>
    <n v="4115"/>
    <s v="RIVER TUIKUAL STREAM, U/S,_x000a_MIZORAM NEW CAPITAL COMPLEX , DINTHAR, AIZAWL"/>
    <x v="18"/>
    <n v="16"/>
    <n v="26"/>
    <n v="0.3"/>
    <n v="5.4"/>
    <n v="6.9"/>
    <n v="8"/>
    <n v="76"/>
    <n v="1020"/>
    <n v="2.2000000000000002"/>
    <n v="29.1"/>
    <n v="0.02"/>
    <n v="8.73"/>
    <n v="2"/>
    <n v="1100"/>
    <n v="1100"/>
    <n v="2400"/>
    <n v="26"/>
    <n v="26"/>
  </r>
  <r>
    <n v="4118"/>
    <s v="RIVER TUIRIAL D/S, HEPP DAM, SAIPUM, KOLASIB DIST."/>
    <x v="18"/>
    <n v="19"/>
    <n v="36"/>
    <n v="5.3"/>
    <n v="9.1"/>
    <n v="6.9"/>
    <n v="7.5"/>
    <n v="81"/>
    <n v="119"/>
    <n v="1"/>
    <n v="1.4"/>
    <n v="0.02"/>
    <n v="0.78"/>
    <m/>
    <m/>
    <m/>
    <m/>
    <m/>
    <m/>
  </r>
  <r>
    <n v="4119"/>
    <s v="RIVER SERLUI D/S, SERLUI 'B' HEPP DAM,_x000a_BILKHAWTHLIR, KOLASIB DIST."/>
    <x v="18"/>
    <n v="19"/>
    <n v="38"/>
    <n v="5.8"/>
    <n v="9.1"/>
    <n v="6.3"/>
    <n v="7.3"/>
    <n v="93"/>
    <n v="331"/>
    <n v="1"/>
    <n v="1.4"/>
    <n v="0.02"/>
    <n v="0.76"/>
    <m/>
    <m/>
    <m/>
    <m/>
    <m/>
    <m/>
  </r>
  <r>
    <n v="4120"/>
    <s v="RIVER TEIREI D/S_x000a_NR CONFLUENCE PT WITH TLAWNG RIVER, SAPMARA,_x000a_BAIRABI,KOLASIB DIST."/>
    <x v="18"/>
    <n v="10"/>
    <n v="25"/>
    <n v="5.4"/>
    <n v="7.1"/>
    <n v="6.4"/>
    <n v="8.4"/>
    <n v="92"/>
    <n v="453"/>
    <n v="1"/>
    <n v="1.4"/>
    <n v="0.02"/>
    <n v="1.9"/>
    <m/>
    <m/>
    <m/>
    <m/>
    <m/>
    <m/>
  </r>
  <r>
    <n v="4122"/>
    <s v="RIVER KHAWTHLANGTUIPUI ,TLABUNG, LUNGLEI DIST."/>
    <x v="18"/>
    <n v="20"/>
    <n v="28"/>
    <n v="5.4"/>
    <n v="9.6999999999999993"/>
    <n v="6.7"/>
    <n v="7.6"/>
    <n v="46"/>
    <n v="272"/>
    <n v="1"/>
    <n v="1.4"/>
    <n v="0.02"/>
    <n v="0.77"/>
    <m/>
    <m/>
    <m/>
    <m/>
    <m/>
    <m/>
  </r>
  <r>
    <n v="4123"/>
    <s v="RIVER, TUIPUI D DARZOKAI, HNAHTHIAL DIST."/>
    <x v="18"/>
    <n v="17"/>
    <n v="30"/>
    <n v="5.8"/>
    <n v="12.7"/>
    <n v="6.8"/>
    <n v="8.1"/>
    <n v="51"/>
    <n v="233"/>
    <n v="1"/>
    <n v="1.4"/>
    <n v="0.02"/>
    <n v="0.83"/>
    <m/>
    <m/>
    <m/>
    <m/>
    <m/>
    <m/>
  </r>
  <r>
    <n v="4125"/>
    <s v="RIVER TUIPUI U/S,_x000a_NR CONFLUENCE PT KEILUNGLIAH STREAM,_x000a_VENGTHAR, CHAMPHAI"/>
    <x v="18"/>
    <n v="17"/>
    <n v="25"/>
    <n v="2.5"/>
    <n v="7.6"/>
    <n v="6.4"/>
    <n v="7.3"/>
    <n v="40"/>
    <n v="240"/>
    <n v="1"/>
    <n v="1.2"/>
    <n v="0.02"/>
    <n v="3.11"/>
    <m/>
    <m/>
    <m/>
    <m/>
    <m/>
    <m/>
  </r>
  <r>
    <n v="4130"/>
    <s v="RIVER NGENGPUI STREAM,NR KALADAN MULTI MODAL_x000a_RD, LAWNGTLAI DIST."/>
    <x v="18"/>
    <n v="21"/>
    <n v="24"/>
    <n v="5.0999999999999996"/>
    <n v="7.5"/>
    <n v="6.3"/>
    <n v="7.6"/>
    <n v="74"/>
    <n v="175"/>
    <n v="1"/>
    <n v="1.6"/>
    <n v="0.02"/>
    <n v="0.85"/>
    <m/>
    <m/>
    <m/>
    <m/>
    <m/>
    <m/>
  </r>
  <r>
    <n v="4132"/>
    <s v="RIVER VANTAWNG WATER FALL, THENZAWL, SERCHHIP_x000a_DIST."/>
    <x v="18"/>
    <n v="14"/>
    <n v="27"/>
    <n v="5.0999999999999996"/>
    <n v="7.2"/>
    <n v="6.5"/>
    <n v="7.1"/>
    <n v="30"/>
    <n v="128"/>
    <n v="1"/>
    <n v="1.5"/>
    <n v="0.02"/>
    <n v="1.43"/>
    <m/>
    <m/>
    <m/>
    <m/>
    <m/>
    <m/>
  </r>
  <r>
    <n v="2232"/>
    <s v="RIVER KOHORA AT N.H. CROSSING, KOHORA, ASSAM_x000a_(BRAHMAPUTRA)"/>
    <x v="12"/>
    <n v="22"/>
    <n v="32"/>
    <n v="3.7"/>
    <n v="9.1999999999999993"/>
    <n v="6.8"/>
    <n v="7.4"/>
    <n v="106"/>
    <n v="176"/>
    <n v="2"/>
    <n v="2.4"/>
    <n v="0.7"/>
    <n v="2"/>
    <n v="360"/>
    <n v="1100"/>
    <n v="1100"/>
    <n v="2100"/>
    <n v="120"/>
    <n v="290"/>
  </r>
  <r>
    <n v="4304"/>
    <s v="RIVER SDERKARIAH AT SOHRA (CHERRAPUNJEE)"/>
    <x v="17"/>
    <n v="14"/>
    <n v="19"/>
    <n v="6.6"/>
    <n v="8.1"/>
    <n v="4"/>
    <n v="5.5"/>
    <n v="66"/>
    <n v="130"/>
    <n v="1"/>
    <n v="1.7"/>
    <n v="0.32"/>
    <n v="0.59"/>
    <n v="2"/>
    <n v="4"/>
    <n v="12"/>
    <n v="79"/>
    <n v="2"/>
    <n v="4"/>
  </r>
  <r>
    <n v="4305"/>
    <s v="RIVER LAITRYNGEW AT LAITRYNGEW"/>
    <x v="17"/>
    <n v="14"/>
    <n v="18"/>
    <n v="6.7"/>
    <n v="7.7"/>
    <n v="3.8"/>
    <n v="5.4"/>
    <n v="86"/>
    <n v="178"/>
    <n v="1"/>
    <n v="1.8"/>
    <n v="0.32"/>
    <n v="0.62"/>
    <n v="2"/>
    <n v="4"/>
    <n v="21"/>
    <n v="84"/>
    <n v="2"/>
    <n v="4"/>
  </r>
  <r>
    <n v="4306"/>
    <s v="RIVER WAHKHLEK KHLEK AT SAITSOHPEN"/>
    <x v="17"/>
    <n v="14"/>
    <n v="18"/>
    <n v="7.2"/>
    <n v="8.5"/>
    <n v="6.9"/>
    <n v="7.6"/>
    <n v="81"/>
    <n v="116"/>
    <n v="1.1000000000000001"/>
    <n v="1.6"/>
    <n v="0.32"/>
    <n v="5.64"/>
    <n v="2"/>
    <n v="4"/>
    <n v="23"/>
    <n v="49"/>
    <n v="2"/>
    <n v="2"/>
  </r>
  <r>
    <n v="4307"/>
    <s v="RIVER WAHREW AT MAJAI"/>
    <x v="17"/>
    <n v="17"/>
    <n v="19"/>
    <n v="7.6"/>
    <n v="8.5"/>
    <n v="6.9"/>
    <n v="7.3"/>
    <n v="33"/>
    <n v="58"/>
    <n v="1"/>
    <n v="1.4"/>
    <n v="0.32"/>
    <n v="5.51"/>
    <n v="2"/>
    <n v="2"/>
    <n v="27"/>
    <n v="79"/>
    <n v="2"/>
    <n v="2"/>
  </r>
  <r>
    <n v="4308"/>
    <s v="RIVER UMNGI AT JAKREM"/>
    <x v="17"/>
    <n v="9"/>
    <n v="20"/>
    <n v="7.1"/>
    <n v="8.5"/>
    <n v="6.8"/>
    <n v="7.2"/>
    <n v="30"/>
    <n v="45"/>
    <n v="1"/>
    <n v="1.4"/>
    <n v="0.32"/>
    <n v="0.46"/>
    <n v="2"/>
    <n v="4"/>
    <n v="23"/>
    <n v="70"/>
    <n v="2"/>
    <n v="2"/>
  </r>
  <r>
    <n v="4309"/>
    <s v="RIVER UMNGI AT UMPUNG"/>
    <x v="17"/>
    <n v="15"/>
    <n v="21"/>
    <n v="7.2"/>
    <n v="8.6"/>
    <n v="7"/>
    <n v="7.8"/>
    <n v="38"/>
    <n v="55"/>
    <n v="1"/>
    <n v="1.7"/>
    <n v="0.32"/>
    <n v="5.32"/>
    <n v="2"/>
    <n v="6"/>
    <n v="27"/>
    <n v="130"/>
    <n v="2"/>
    <n v="4"/>
  </r>
  <r>
    <n v="4310"/>
    <s v="RIVER RWIANG AT RWIANG"/>
    <x v="17"/>
    <n v="14.2"/>
    <n v="21"/>
    <n v="6.9"/>
    <n v="8.4"/>
    <n v="6.7"/>
    <n v="7.3"/>
    <n v="34"/>
    <n v="53"/>
    <n v="1"/>
    <n v="1.7"/>
    <n v="0.32"/>
    <n v="5.45"/>
    <n v="2"/>
    <n v="17"/>
    <n v="33"/>
    <n v="170"/>
    <n v="2"/>
    <n v="4"/>
  </r>
  <r>
    <n v="4311"/>
    <s v="RIVER KALIPAI AT RYMBAI"/>
    <x v="17"/>
    <n v="14.6"/>
    <n v="20"/>
    <n v="4.2"/>
    <n v="7.8"/>
    <n v="2.7"/>
    <n v="3.2"/>
    <n v="315"/>
    <n v="1095"/>
    <n v="1.2"/>
    <n v="2.7"/>
    <n v="0.32"/>
    <n v="5.32"/>
    <n v="2"/>
    <n v="2"/>
    <n v="2"/>
    <n v="2"/>
    <n v="2"/>
    <n v="2"/>
  </r>
  <r>
    <n v="4312"/>
    <s v="RIVER KMAI UM AT RYMBAI"/>
    <x v="17"/>
    <n v="14.4"/>
    <n v="20"/>
    <n v="6.6"/>
    <n v="7.9"/>
    <n v="2.6"/>
    <n v="3"/>
    <n v="680"/>
    <n v="1505"/>
    <n v="1"/>
    <n v="2.2999999999999998"/>
    <n v="0.32"/>
    <n v="0.65"/>
    <n v="2"/>
    <n v="2"/>
    <n v="2"/>
    <n v="2"/>
    <n v="2"/>
    <n v="2"/>
  </r>
  <r>
    <n v="4313"/>
    <s v="RIVER WAIKHRWI AT MOOPALA"/>
    <x v="17"/>
    <n v="9"/>
    <n v="19"/>
    <n v="6.7"/>
    <n v="7.8"/>
    <n v="2.7"/>
    <n v="3"/>
    <n v="464"/>
    <n v="1160"/>
    <n v="1.1000000000000001"/>
    <n v="1.9"/>
    <n v="0.32"/>
    <n v="0.34"/>
    <n v="2"/>
    <n v="2"/>
    <n v="2"/>
    <n v="2"/>
    <n v="2"/>
    <n v="2"/>
  </r>
  <r>
    <n v="4314"/>
    <s v="RIVER KWAI AT SUTNGA, JALAPHET"/>
    <x v="17"/>
    <n v="12"/>
    <n v="20"/>
    <n v="6.2"/>
    <n v="7.8"/>
    <n v="3.6"/>
    <n v="4.3"/>
    <n v="126"/>
    <n v="360"/>
    <n v="1.2"/>
    <n v="2.1"/>
    <n v="0.32"/>
    <n v="0.32"/>
    <n v="2"/>
    <n v="2"/>
    <n v="2"/>
    <n v="2"/>
    <n v="2"/>
    <n v="2"/>
  </r>
  <r>
    <n v="4315"/>
    <s v="RIVER LUKHA AT KHADDUM"/>
    <x v="17"/>
    <n v="14.2"/>
    <n v="19.3"/>
    <n v="6.8"/>
    <n v="8.8000000000000007"/>
    <n v="4.7"/>
    <n v="7.8"/>
    <n v="150"/>
    <n v="550"/>
    <n v="1.2"/>
    <n v="1.9"/>
    <n v="0.32"/>
    <n v="1.22"/>
    <n v="2"/>
    <n v="6"/>
    <n v="49"/>
    <n v="170"/>
    <n v="2"/>
    <n v="2"/>
  </r>
  <r>
    <n v="4316"/>
    <s v="RIVER MYNTDU AT MIHMYNTDU"/>
    <x v="17"/>
    <n v="12"/>
    <n v="20"/>
    <n v="6.6"/>
    <n v="7.6"/>
    <n v="6.6"/>
    <n v="6.9"/>
    <n v="36"/>
    <n v="61"/>
    <n v="1.3"/>
    <n v="2.1"/>
    <n v="0.32"/>
    <n v="0.71"/>
    <n v="46"/>
    <n v="140"/>
    <n v="430"/>
    <n v="1200"/>
    <n v="4"/>
    <n v="30"/>
  </r>
  <r>
    <n v="3379"/>
    <s v="RIVER MYNTDU AT LESHKA"/>
    <x v="17"/>
    <n v="13"/>
    <n v="21"/>
    <n v="7"/>
    <n v="8.4"/>
    <n v="5"/>
    <n v="7.1"/>
    <n v="41"/>
    <n v="76"/>
    <n v="1"/>
    <n v="1.9"/>
    <n v="0.35"/>
    <n v="0.63"/>
    <n v="11"/>
    <n v="63"/>
    <n v="170"/>
    <n v="2400"/>
    <n v="2"/>
    <n v="21"/>
  </r>
  <r>
    <n v="1631"/>
    <s v="RIVER MYNTDU JOWAI"/>
    <x v="17"/>
    <n v="15"/>
    <n v="20"/>
    <n v="6.7"/>
    <n v="7.4"/>
    <n v="6.7"/>
    <n v="7.1"/>
    <n v="36"/>
    <n v="58"/>
    <n v="1.6"/>
    <n v="2.4"/>
    <n v="0.32"/>
    <n v="0.96"/>
    <n v="220"/>
    <n v="480"/>
    <n v="1400"/>
    <n v="3100"/>
    <n v="130"/>
    <n v="240"/>
  </r>
  <r>
    <n v="1428"/>
    <s v="RIVER KYRHUHKHLA KHLIEHRIAT"/>
    <x v="17"/>
    <n v="13"/>
    <n v="19"/>
    <n v="6.6"/>
    <n v="7.2"/>
    <n v="2.8"/>
    <n v="4.0999999999999996"/>
    <n v="111"/>
    <n v="550"/>
    <n v="1.9"/>
    <n v="2.7"/>
    <n v="0.32"/>
    <n v="0.7"/>
    <n v="2"/>
    <n v="2"/>
    <n v="2"/>
    <n v="2"/>
    <n v="2"/>
    <n v="2"/>
  </r>
  <r>
    <n v="4317"/>
    <s v="RIVER LAMU AT LESHKA"/>
    <x v="17"/>
    <n v="12.6"/>
    <n v="20"/>
    <n v="6.6"/>
    <n v="8.5"/>
    <n v="6.8"/>
    <n v="7.6"/>
    <n v="40"/>
    <n v="75"/>
    <n v="1"/>
    <n v="1.8"/>
    <n v="0.32"/>
    <n v="0.46"/>
    <n v="4"/>
    <n v="23"/>
    <n v="110"/>
    <n v="240"/>
    <n v="2"/>
    <n v="4"/>
  </r>
  <r>
    <n v="4318"/>
    <s v="RIVER LYNRIANG AT LESHKA POWER HOUSE"/>
    <x v="17"/>
    <n v="13.8"/>
    <n v="20"/>
    <n v="6.4"/>
    <n v="7.6"/>
    <n v="2.7"/>
    <n v="3.5"/>
    <n v="433"/>
    <n v="1270"/>
    <n v="1.1000000000000001"/>
    <n v="2"/>
    <n v="0.32"/>
    <n v="0.47"/>
    <n v="2"/>
    <n v="2"/>
    <n v="2"/>
    <n v="2"/>
    <n v="2"/>
    <n v="2"/>
  </r>
  <r>
    <n v="4319"/>
    <s v="RIVER UMIUREM AT LALE"/>
    <x v="17"/>
    <n v="14"/>
    <n v="19"/>
    <n v="6.8"/>
    <n v="8.4"/>
    <n v="3.8"/>
    <n v="4.5"/>
    <n v="158"/>
    <n v="595"/>
    <n v="1"/>
    <n v="2"/>
    <n v="0.32"/>
    <n v="0.47"/>
    <n v="2"/>
    <n v="2"/>
    <n v="2"/>
    <n v="2"/>
    <n v="2"/>
    <n v="2"/>
  </r>
  <r>
    <n v="4320"/>
    <s v="RIVER KUPLI AT LOOSKI"/>
    <x v="17"/>
    <n v="14.6"/>
    <n v="19"/>
    <n v="6.6"/>
    <n v="8.4"/>
    <n v="3.8"/>
    <n v="4.5"/>
    <n v="143"/>
    <n v="308"/>
    <n v="1.2"/>
    <n v="1.9"/>
    <n v="0.32"/>
    <n v="0.43"/>
    <n v="2"/>
    <n v="2"/>
    <n v="2"/>
    <n v="2"/>
    <n v="2"/>
    <n v="2"/>
  </r>
  <r>
    <n v="4321"/>
    <s v="RIVER KUPLI AT KHANDONG"/>
    <x v="17"/>
    <n v="14"/>
    <n v="19"/>
    <n v="6.6"/>
    <n v="7.8"/>
    <n v="3.7"/>
    <n v="4.7"/>
    <n v="140"/>
    <n v="301"/>
    <n v="1.2"/>
    <n v="1.9"/>
    <n v="0.32"/>
    <n v="0.56000000000000005"/>
    <n v="2"/>
    <n v="2"/>
    <n v="2"/>
    <n v="84"/>
    <n v="2"/>
    <n v="2"/>
  </r>
  <r>
    <n v="4322"/>
    <s v="RIVER THLU UMWI AT THLU UMWI"/>
    <x v="17"/>
    <n v="10"/>
    <n v="21"/>
    <n v="6.7"/>
    <n v="7.9"/>
    <n v="4"/>
    <n v="4.9000000000000004"/>
    <n v="36"/>
    <n v="58"/>
    <n v="1.2"/>
    <n v="2"/>
    <n v="0.32"/>
    <n v="0.39"/>
    <n v="2"/>
    <n v="9"/>
    <n v="12"/>
    <n v="120"/>
    <n v="2"/>
    <n v="4"/>
  </r>
  <r>
    <n v="1633"/>
    <s v="RIVER SIMSANG WILLIAMNAGAR"/>
    <x v="17"/>
    <n v="15"/>
    <n v="23"/>
    <n v="6.8"/>
    <n v="7.8"/>
    <n v="6.9"/>
    <n v="7.7"/>
    <n v="50"/>
    <n v="73"/>
    <n v="1.2"/>
    <n v="2"/>
    <n v="0.32"/>
    <n v="0.45"/>
    <n v="23"/>
    <n v="170"/>
    <n v="330"/>
    <n v="790"/>
    <n v="4"/>
    <n v="58"/>
  </r>
  <r>
    <n v="1801"/>
    <s v="RIVER TEESTA AFTER CONFLUENCS OF RIVERS_x000a_LACHENCHU AND LACHUNGCHU AT CHUNGTHANG"/>
    <x v="19"/>
    <n v="9.1999999999999993"/>
    <n v="18"/>
    <n v="7"/>
    <n v="8.6999999999999993"/>
    <n v="6.8"/>
    <n v="7.2"/>
    <n v="91"/>
    <n v="180"/>
    <n v="2"/>
    <n v="2.2999999999999998"/>
    <n v="1"/>
    <n v="3.8"/>
    <n v="24"/>
    <n v="61"/>
    <n v="56"/>
    <n v="130"/>
    <m/>
    <m/>
  </r>
  <r>
    <n v="1807"/>
    <s v="RIVER TEESTA AFTER CONFLUENCS WITH RANICHU AT_x000a_SINGTAM"/>
    <x v="19"/>
    <n v="14"/>
    <n v="24"/>
    <n v="7.4"/>
    <n v="9.4"/>
    <n v="6.6"/>
    <n v="7.4"/>
    <n v="139"/>
    <n v="173"/>
    <n v="2"/>
    <n v="2.4"/>
    <n v="1.9"/>
    <n v="4.4000000000000004"/>
    <n v="31"/>
    <n v="85"/>
    <n v="66"/>
    <n v="178"/>
    <m/>
    <m/>
  </r>
  <r>
    <n v="1808"/>
    <s v="RIVER TEESTA AFTER CONFLUENCS WITH RONGPOCHU_x000a_AFTER MEETING THE INDUSTRIAL EFFLUENTS FROM_x000a_THE TOWN RANGPO"/>
    <x v="19"/>
    <n v="16"/>
    <n v="23"/>
    <n v="7.9"/>
    <n v="9.1"/>
    <n v="6.7"/>
    <n v="7.4"/>
    <n v="139"/>
    <n v="170"/>
    <n v="1.6"/>
    <n v="2.2999999999999998"/>
    <n v="2"/>
    <n v="4.7"/>
    <n v="29"/>
    <n v="105"/>
    <n v="61"/>
    <n v="185"/>
    <m/>
    <m/>
  </r>
  <r>
    <n v="1809"/>
    <s v="RIVER TEESTA AT MELLI DOWNSTREAM MELLI"/>
    <x v="19"/>
    <n v="14"/>
    <n v="23"/>
    <n v="8"/>
    <n v="9.4"/>
    <n v="6.8"/>
    <n v="7.6"/>
    <n v="132"/>
    <n v="182"/>
    <n v="2"/>
    <n v="2.4"/>
    <n v="2"/>
    <n v="5"/>
    <n v="32"/>
    <n v="100"/>
    <n v="64"/>
    <n v="185"/>
    <m/>
    <m/>
  </r>
  <r>
    <n v="1947"/>
    <s v="RIVER TEESTA AT SEVOKE, SILIGURI, DARJEELING"/>
    <x v="7"/>
    <n v="11"/>
    <n v="27"/>
    <n v="7.1"/>
    <n v="8.9"/>
    <n v="6.3"/>
    <n v="8"/>
    <n v="36"/>
    <n v="86"/>
    <n v="1"/>
    <n v="2.1"/>
    <n v="0.3"/>
    <n v="0.75"/>
    <n v="800"/>
    <n v="24000"/>
    <n v="2300"/>
    <n v="50000"/>
    <n v="11"/>
    <n v="140"/>
  </r>
  <r>
    <n v="4723"/>
    <s v="RIVER TEESTA AT JALPESH"/>
    <x v="7"/>
    <n v="11"/>
    <n v="29"/>
    <n v="6"/>
    <n v="8.6"/>
    <n v="6.9"/>
    <n v="7.7"/>
    <n v="52"/>
    <n v="8136"/>
    <n v="1"/>
    <n v="2.8"/>
    <n v="0.3"/>
    <n v="0.56999999999999995"/>
    <n v="1100"/>
    <n v="7000"/>
    <n v="2100"/>
    <n v="50000"/>
    <n v="17"/>
    <n v="130"/>
  </r>
  <r>
    <n v="4728"/>
    <s v="RIVER RAIDAK AT ALIPURDUAR"/>
    <x v="7"/>
    <n v="20"/>
    <n v="29"/>
    <n v="6"/>
    <n v="9"/>
    <n v="7.3"/>
    <n v="7.9"/>
    <n v="110"/>
    <n v="179"/>
    <n v="1.1000000000000001"/>
    <n v="2.4"/>
    <n v="0.3"/>
    <n v="0.3"/>
    <n v="800"/>
    <n v="3400"/>
    <n v="1700"/>
    <n v="17000"/>
    <n v="17"/>
    <n v="70"/>
  </r>
  <r>
    <n v="2241"/>
    <s v="RIVER SONAI AT SONAI, ASSAM"/>
    <x v="12"/>
    <n v="21"/>
    <n v="25"/>
    <n v="5"/>
    <n v="5.6"/>
    <n v="7.2"/>
    <n v="7.4"/>
    <n v="88"/>
    <n v="120"/>
    <n v="2.2000000000000002"/>
    <n v="2.5"/>
    <n v="0.7"/>
    <n v="1.1000000000000001"/>
    <n v="600"/>
    <n v="1100"/>
    <n v="1100"/>
    <n v="2000"/>
    <n v="210"/>
    <n v="290"/>
  </r>
  <r>
    <n v="2234"/>
    <s v="RIVER RANGA NADI D/S OF HYDEL PROJECT, ASSAM"/>
    <x v="12"/>
    <n v="19"/>
    <n v="28"/>
    <n v="5.4"/>
    <n v="6.2"/>
    <n v="6.9"/>
    <n v="8"/>
    <n v="122"/>
    <n v="168"/>
    <n v="2"/>
    <n v="2.6"/>
    <n v="0.6"/>
    <n v="1.4"/>
    <n v="300"/>
    <n v="730"/>
    <n v="730"/>
    <n v="1600"/>
    <n v="95"/>
    <n v="290"/>
  </r>
  <r>
    <n v="2034"/>
    <s v="RIVER RANGIT AT DAM SITE (NHPC)"/>
    <x v="19"/>
    <n v="10"/>
    <n v="23"/>
    <n v="8"/>
    <n v="8.6"/>
    <n v="6.9"/>
    <n v="7.3"/>
    <n v="142"/>
    <n v="177"/>
    <n v="1.7"/>
    <n v="2.4"/>
    <n v="2"/>
    <n v="4.7"/>
    <n v="19"/>
    <n v="71"/>
    <n v="46"/>
    <n v="134"/>
    <m/>
    <m/>
  </r>
  <r>
    <n v="2035"/>
    <s v="RIVER RANGIT AT LEGSHIP"/>
    <x v="19"/>
    <n v="13"/>
    <n v="23"/>
    <n v="7.9"/>
    <n v="9.8000000000000007"/>
    <n v="6.9"/>
    <n v="7.4"/>
    <n v="131"/>
    <n v="192"/>
    <n v="1.5"/>
    <n v="2.2999999999999998"/>
    <n v="2"/>
    <n v="4.5"/>
    <n v="20"/>
    <n v="87"/>
    <n v="52"/>
    <n v="154"/>
    <m/>
    <m/>
  </r>
  <r>
    <n v="2036"/>
    <s v="RIVER RANGIT AT RESHI"/>
    <x v="19"/>
    <n v="13"/>
    <n v="22"/>
    <n v="8"/>
    <n v="9.1999999999999993"/>
    <n v="6.7"/>
    <n v="7.3"/>
    <n v="148"/>
    <n v="181"/>
    <n v="1.8"/>
    <n v="2.2999999999999998"/>
    <n v="2"/>
    <n v="5"/>
    <n v="23"/>
    <n v="82"/>
    <n v="56"/>
    <n v="140"/>
    <m/>
    <m/>
  </r>
  <r>
    <n v="2037"/>
    <s v="RIVER RANGIT AT JORETHANG"/>
    <x v="19"/>
    <n v="15"/>
    <n v="23"/>
    <n v="8"/>
    <n v="9.1999999999999993"/>
    <n v="6.6"/>
    <n v="7.5"/>
    <n v="137"/>
    <n v="184"/>
    <n v="2"/>
    <n v="2.4"/>
    <n v="2"/>
    <n v="4.4000000000000004"/>
    <n v="22"/>
    <n v="99"/>
    <n v="35"/>
    <n v="162"/>
    <m/>
    <m/>
  </r>
  <r>
    <n v="2038"/>
    <s v="RIVER RANGIT AT TRIVENI MELLI"/>
    <x v="19"/>
    <n v="14"/>
    <n v="23"/>
    <n v="8.1"/>
    <n v="9"/>
    <n v="6.7"/>
    <n v="7.5"/>
    <n v="139"/>
    <n v="179"/>
    <n v="2"/>
    <n v="2.5"/>
    <n v="2"/>
    <n v="4.3"/>
    <n v="32"/>
    <n v="100"/>
    <n v="56"/>
    <n v="172"/>
    <m/>
    <m/>
  </r>
  <r>
    <n v="5553"/>
    <s v="RIVER RANGIT AT UPSTREAM OF DAM , RANGIT STAGE-IV RESHI NHPC RESHI SORENG,DIST"/>
    <x v="19"/>
    <n v="15"/>
    <n v="24"/>
    <n v="7.8"/>
    <n v="8.4"/>
    <n v="6.9"/>
    <n v="7.3"/>
    <n v="51"/>
    <n v="89"/>
    <n v="1.8"/>
    <n v="2.2000000000000002"/>
    <n v="2"/>
    <n v="4.5"/>
    <n v="30"/>
    <n v="84"/>
    <n v="63"/>
    <n v="125"/>
    <m/>
    <m/>
  </r>
  <r>
    <n v="5554"/>
    <s v="RIVER RANGIT AT JORETHANG (MAJIGOAN), NAMCHI"/>
    <x v="19"/>
    <n v="16"/>
    <n v="24"/>
    <n v="7.8"/>
    <n v="8.6"/>
    <n v="6.7"/>
    <n v="7.3"/>
    <n v="25"/>
    <n v="97"/>
    <n v="1.9"/>
    <n v="2.4"/>
    <n v="1.8"/>
    <n v="21"/>
    <n v="30"/>
    <n v="80"/>
    <n v="72"/>
    <n v="105"/>
    <m/>
    <m/>
  </r>
  <r>
    <n v="5555"/>
    <s v="RIVER RANGIT AT MANPUR(BELOW INDUSTRIAL_x000a_AREA),NAMCHI DIST SIKKIM"/>
    <x v="19"/>
    <n v="15"/>
    <n v="23"/>
    <n v="7.8"/>
    <n v="8.4"/>
    <n v="6.6"/>
    <n v="7.3"/>
    <n v="48"/>
    <n v="125"/>
    <n v="1.9"/>
    <n v="2.1"/>
    <n v="1.8"/>
    <n v="4.9000000000000004"/>
    <n v="27"/>
    <n v="80"/>
    <n v="61"/>
    <n v="120"/>
    <m/>
    <m/>
  </r>
  <r>
    <n v="5556"/>
    <s v="RIVER TEESTA AT MAMRING BELOW MAMRING_x000a_BRIDGE,NAMCHI, DIST , SIKKIM"/>
    <x v="19"/>
    <n v="15"/>
    <n v="23"/>
    <n v="3.5"/>
    <n v="8.9"/>
    <n v="7"/>
    <n v="7.4"/>
    <n v="51"/>
    <n v="109"/>
    <n v="2"/>
    <n v="2.2999999999999998"/>
    <n v="2"/>
    <n v="4.5999999999999996"/>
    <n v="31"/>
    <n v="103"/>
    <n v="70"/>
    <n v="153"/>
    <m/>
    <m/>
  </r>
  <r>
    <n v="5557"/>
    <s v="RIVER TEESTA AT BARDANG BELOW ATTC, PAKYONG_x000a_DIST"/>
    <x v="19"/>
    <n v="16"/>
    <n v="24"/>
    <n v="7.9"/>
    <n v="9"/>
    <n v="6.8"/>
    <n v="7.2"/>
    <n v="54"/>
    <n v="115"/>
    <n v="1.9"/>
    <n v="2.2999999999999998"/>
    <n v="2"/>
    <n v="4.3"/>
    <n v="35"/>
    <n v="94"/>
    <n v="67"/>
    <n v="112"/>
    <m/>
    <m/>
  </r>
  <r>
    <n v="1805"/>
    <s v="RIVER AFTER CONFLUENCE OF RANICHU AND_x000a_RORACHU AT RANIPOOL"/>
    <x v="19"/>
    <n v="14"/>
    <n v="24"/>
    <n v="7.8"/>
    <n v="9"/>
    <n v="6.7"/>
    <n v="7.4"/>
    <n v="121"/>
    <n v="180"/>
    <n v="2.1"/>
    <n v="2.6"/>
    <n v="1.6"/>
    <n v="4.8"/>
    <n v="34"/>
    <n v="105"/>
    <n v="45"/>
    <n v="187"/>
    <m/>
    <m/>
  </r>
  <r>
    <n v="1806"/>
    <s v="RIVER RANICHU BEFORE CONFLUENCE WITH TEESTA_x000a_AT SINGTAM, SIKKIM"/>
    <x v="19"/>
    <n v="15"/>
    <n v="23"/>
    <n v="8.1"/>
    <n v="9.1"/>
    <n v="6.6"/>
    <n v="7.5"/>
    <n v="119"/>
    <n v="181"/>
    <n v="2"/>
    <n v="2.5"/>
    <n v="1.6"/>
    <n v="25"/>
    <n v="22"/>
    <n v="100"/>
    <n v="54"/>
    <n v="170"/>
    <m/>
    <m/>
  </r>
  <r>
    <n v="1802"/>
    <s v="RIVER DIKCHU BEFORE CONFLUENCS WITH RIVER_x000a_TEESTA NEAR NHPC HYDROELECTRIC POWER_x000a_PROJECT DIKCHU"/>
    <x v="19"/>
    <n v="8"/>
    <n v="18"/>
    <n v="7.8"/>
    <n v="9.1"/>
    <n v="6.6"/>
    <n v="7.4"/>
    <n v="105"/>
    <n v="190"/>
    <n v="1.7"/>
    <n v="2.2999999999999998"/>
    <n v="1.5"/>
    <n v="4.0999999999999996"/>
    <n v="31"/>
    <n v="76"/>
    <n v="54"/>
    <n v="155"/>
    <m/>
    <m/>
  </r>
  <r>
    <n v="5281"/>
    <s v="RIVER RANGPO U/S DAM SITE"/>
    <x v="19"/>
    <n v="15"/>
    <n v="22"/>
    <n v="8.1"/>
    <n v="8.8000000000000007"/>
    <n v="6.7"/>
    <n v="7.4"/>
    <n v="149"/>
    <n v="172"/>
    <n v="1.9"/>
    <n v="2.4"/>
    <n v="2"/>
    <n v="4.5"/>
    <n v="32"/>
    <n v="70"/>
    <n v="67"/>
    <n v="120"/>
    <m/>
    <m/>
  </r>
  <r>
    <n v="5282"/>
    <s v="RIVER RANGPO D/S DAM SITE"/>
    <x v="19"/>
    <n v="14"/>
    <n v="23"/>
    <n v="8"/>
    <n v="8.6999999999999993"/>
    <n v="6.7"/>
    <n v="7.5"/>
    <n v="157"/>
    <n v="171"/>
    <n v="2"/>
    <n v="2.2999999999999998"/>
    <n v="2.1"/>
    <n v="4.7"/>
    <n v="28"/>
    <n v="100"/>
    <n v="64"/>
    <n v="149"/>
    <m/>
    <m/>
  </r>
  <r>
    <n v="5283"/>
    <s v="RIVER RONGLI U/S DAM SITE"/>
    <x v="19"/>
    <n v="14"/>
    <n v="22"/>
    <n v="8"/>
    <n v="8.5"/>
    <n v="6.6"/>
    <n v="7.4"/>
    <n v="129"/>
    <n v="159"/>
    <n v="2"/>
    <n v="2.4"/>
    <n v="2"/>
    <n v="4.5999999999999996"/>
    <n v="30"/>
    <n v="102"/>
    <n v="69"/>
    <n v="189"/>
    <m/>
    <m/>
  </r>
  <r>
    <n v="5284"/>
    <s v="RIVER RONGLI D/S DAM SITE"/>
    <x v="19"/>
    <n v="14"/>
    <n v="22"/>
    <n v="8"/>
    <n v="8.6"/>
    <n v="6.6"/>
    <n v="7.3"/>
    <n v="99"/>
    <n v="139"/>
    <n v="2"/>
    <n v="2.2999999999999998"/>
    <n v="2.1"/>
    <n v="4.8"/>
    <n v="28"/>
    <n v="105"/>
    <n v="71"/>
    <n v="134"/>
    <m/>
    <m/>
  </r>
  <r>
    <n v="5285"/>
    <s v="RIVER RANGPO AT POWER HOUSE D/S OF GATI_x000a_INFRASTRUCTURE PVT. LTD."/>
    <x v="19"/>
    <n v="14"/>
    <n v="22"/>
    <n v="8"/>
    <n v="8.6999999999999993"/>
    <n v="6.6"/>
    <n v="7.3"/>
    <n v="35"/>
    <n v="127"/>
    <n v="1.7"/>
    <n v="2.1"/>
    <n v="2"/>
    <n v="5.0999999999999996"/>
    <n v="21"/>
    <n v="88"/>
    <n v="61"/>
    <n v="165"/>
    <m/>
    <m/>
  </r>
  <r>
    <n v="5286"/>
    <s v="RIVER RANGPO AT U/S OF RORATHANG BAZAR (ABOVE_x000a_SWISS GARNIER)"/>
    <x v="19"/>
    <n v="13"/>
    <n v="21"/>
    <n v="7.5"/>
    <n v="8.8000000000000007"/>
    <n v="6.5"/>
    <n v="7.3"/>
    <n v="34"/>
    <n v="148"/>
    <n v="1.5"/>
    <n v="2.2000000000000002"/>
    <n v="1.8"/>
    <n v="5.2"/>
    <n v="24"/>
    <n v="120"/>
    <n v="79"/>
    <n v="200"/>
    <m/>
    <m/>
  </r>
  <r>
    <n v="5287"/>
    <s v="RIVER RANGPO AT D/S OF RORATHANG BRIDGE"/>
    <x v="19"/>
    <n v="13"/>
    <n v="22"/>
    <n v="7.9"/>
    <n v="8.6999999999999993"/>
    <n v="6.7"/>
    <n v="7.3"/>
    <n v="32"/>
    <n v="112"/>
    <n v="1.6"/>
    <n v="2.4"/>
    <n v="1.8"/>
    <n v="4.5"/>
    <n v="29"/>
    <n v="123"/>
    <n v="52"/>
    <n v="173"/>
    <m/>
    <m/>
  </r>
  <r>
    <n v="5288"/>
    <s v="RIVER RANGPO AT D/S OF PHARMA PLANT KUMREK"/>
    <x v="19"/>
    <n v="13"/>
    <n v="22"/>
    <n v="7"/>
    <n v="8.4"/>
    <n v="6.7"/>
    <n v="7.4"/>
    <n v="33"/>
    <n v="135"/>
    <n v="2"/>
    <n v="2.2999999999999998"/>
    <n v="2"/>
    <n v="4.5999999999999996"/>
    <n v="36"/>
    <n v="100"/>
    <n v="67"/>
    <n v="168"/>
    <m/>
    <m/>
  </r>
  <r>
    <n v="5289"/>
    <s v="RIVER RANGPO AT D/S OF POWER HOUSE OF MADHYA_x000a_BHARAT"/>
    <x v="19"/>
    <n v="15"/>
    <n v="23"/>
    <n v="7.3"/>
    <n v="8.4"/>
    <n v="6.7"/>
    <n v="7.5"/>
    <n v="34"/>
    <n v="132"/>
    <n v="2"/>
    <n v="2.5"/>
    <n v="1.9"/>
    <n v="4.4000000000000004"/>
    <n v="32"/>
    <n v="112"/>
    <n v="79"/>
    <n v="175"/>
    <m/>
    <m/>
  </r>
  <r>
    <n v="2236"/>
    <s v="RIVER KAPILI AT DHARMTUL BRIDGE, NH-31,_x000a_MORIGAON, ASSAM"/>
    <x v="12"/>
    <n v="18"/>
    <n v="30"/>
    <n v="5"/>
    <n v="9.1999999999999993"/>
    <n v="6.8"/>
    <n v="7.5"/>
    <n v="120"/>
    <n v="176"/>
    <n v="2.1"/>
    <n v="2.5"/>
    <n v="0.7"/>
    <n v="1.7"/>
    <n v="360"/>
    <n v="930"/>
    <n v="910"/>
    <n v="1600"/>
    <n v="120"/>
    <n v="290"/>
  </r>
  <r>
    <n v="2523"/>
    <s v="RIVER KAROLA, D/S OF JALPAIGURI, NEAR MIN_x000a_BHAWAN, JALPAIGURI"/>
    <x v="7"/>
    <n v="21"/>
    <n v="29"/>
    <n v="4"/>
    <n v="8.1999999999999993"/>
    <n v="6.8"/>
    <n v="7.8"/>
    <n v="70"/>
    <n v="164"/>
    <n v="1"/>
    <n v="8"/>
    <n v="0.3"/>
    <n v="0.77"/>
    <n v="2200"/>
    <n v="24000"/>
    <n v="5000"/>
    <n v="90000"/>
    <n v="23"/>
    <n v="540"/>
  </r>
  <r>
    <n v="2068"/>
    <s v="RIVER KATHAKAL U/S AT MATIJURI, DIST. HAILAKANDI,_x000a_ASSAM"/>
    <x v="12"/>
    <n v="22"/>
    <n v="24"/>
    <n v="5.3"/>
    <n v="6.2"/>
    <n v="6.8"/>
    <n v="7.2"/>
    <n v="104"/>
    <n v="134"/>
    <n v="2"/>
    <n v="2.4"/>
    <n v="0.7"/>
    <n v="1.1000000000000001"/>
    <n v="610"/>
    <n v="1500"/>
    <n v="1100"/>
    <n v="2100"/>
    <n v="210"/>
    <n v="460"/>
  </r>
  <r>
    <n v="2061"/>
    <s v="RIVER KHARSANG B/C WITH BURIDIHING NEAR_x000a_KHARSANG (ASSAM-ARUNANCHAL BORDER), ASSAM"/>
    <x v="12"/>
    <n v="21"/>
    <n v="24"/>
    <n v="5.0999999999999996"/>
    <n v="8.1"/>
    <n v="6.9"/>
    <n v="7.6"/>
    <n v="128"/>
    <n v="166"/>
    <n v="2"/>
    <n v="2.6"/>
    <n v="0.4"/>
    <n v="1"/>
    <n v="300"/>
    <n v="730"/>
    <n v="720"/>
    <n v="1600"/>
    <n v="120"/>
    <n v="240"/>
  </r>
  <r>
    <n v="2059"/>
    <s v="RIVER KOLONG AT MARIGAON, ASSAM"/>
    <x v="12"/>
    <n v="18"/>
    <n v="33"/>
    <n v="5"/>
    <n v="8.4"/>
    <n v="6.9"/>
    <n v="7.8"/>
    <n v="140"/>
    <n v="176"/>
    <n v="2"/>
    <n v="2.5"/>
    <n v="0.7"/>
    <n v="1.5"/>
    <n v="360"/>
    <n v="930"/>
    <n v="910"/>
    <n v="2000"/>
    <n v="120"/>
    <n v="290"/>
  </r>
  <r>
    <n v="2237"/>
    <s v="RIVER KOLONG AT U/S OF ANANDARAM DEKIAL PHUKAN_x000a_BRIDGE, NAGAON, ASSAM"/>
    <x v="12"/>
    <n v="17"/>
    <n v="29"/>
    <n v="5"/>
    <n v="7.4"/>
    <n v="6.8"/>
    <n v="7.5"/>
    <n v="118"/>
    <n v="180"/>
    <n v="2"/>
    <n v="2.5"/>
    <n v="0.8"/>
    <n v="1.9"/>
    <n v="620"/>
    <n v="1100"/>
    <n v="1500"/>
    <n v="2000"/>
    <n v="210"/>
    <n v="290"/>
  </r>
  <r>
    <n v="2229"/>
    <s v="RIVER KUNDLI AT KUNDLI/ SAPAKHOWA, SADIA, ASSAM"/>
    <x v="12"/>
    <n v="21"/>
    <n v="25"/>
    <n v="5"/>
    <n v="8.4"/>
    <n v="7"/>
    <n v="7.7"/>
    <n v="126"/>
    <n v="172"/>
    <n v="2"/>
    <n v="2.6"/>
    <n v="0.6"/>
    <n v="1.6"/>
    <n v="300"/>
    <n v="910"/>
    <n v="1400"/>
    <n v="2000"/>
    <n v="120"/>
    <n v="290"/>
  </r>
  <r>
    <n v="3417"/>
    <s v="RIVER MANU AT MANUGHAT, CONFL POINT OF_x000a_CHAWMANU CHARRA &amp; MANU RIVER, DHALAI"/>
    <x v="15"/>
    <n v="21"/>
    <n v="30.5"/>
    <n v="5.4"/>
    <n v="6.6"/>
    <n v="7"/>
    <n v="7.7"/>
    <n v="125"/>
    <n v="189"/>
    <n v="1.2"/>
    <n v="2.2000000000000002"/>
    <n v="0.7"/>
    <n v="1.9"/>
    <n v="39"/>
    <n v="58"/>
    <n v="94"/>
    <n v="210"/>
    <m/>
    <m/>
  </r>
  <r>
    <n v="3418"/>
    <s v="RIVER MANU AT KAILASHAHAR D/S, NORTH TRIPURA"/>
    <x v="15"/>
    <n v="21"/>
    <n v="31"/>
    <n v="5.3"/>
    <n v="6.7"/>
    <n v="7"/>
    <n v="7.7"/>
    <n v="122"/>
    <n v="191"/>
    <n v="1.1000000000000001"/>
    <n v="2.1"/>
    <n v="0.7"/>
    <n v="1.9"/>
    <n v="26"/>
    <n v="58"/>
    <n v="94"/>
    <n v="210"/>
    <m/>
    <m/>
  </r>
  <r>
    <n v="3419"/>
    <s v="RIVER MANU AT KUMARGHAT, NORTH TRIPURA"/>
    <x v="15"/>
    <n v="21"/>
    <n v="31"/>
    <n v="5.3"/>
    <n v="6.4"/>
    <n v="7.1"/>
    <n v="7.7"/>
    <n v="124"/>
    <n v="179"/>
    <n v="1.2"/>
    <n v="1.9"/>
    <n v="0.7"/>
    <n v="1.7"/>
    <n v="31"/>
    <n v="58"/>
    <n v="84"/>
    <n v="210"/>
    <m/>
    <m/>
  </r>
  <r>
    <n v="3367"/>
    <s v="RIVER NONBAH AT NANGSTOIN MARKET"/>
    <x v="17"/>
    <n v="13"/>
    <n v="20"/>
    <n v="6.5"/>
    <n v="7.6"/>
    <n v="6.7"/>
    <n v="7"/>
    <n v="40"/>
    <n v="83"/>
    <n v="2"/>
    <n v="2.7"/>
    <n v="0.32"/>
    <n v="0.93"/>
    <n v="430"/>
    <n v="1200"/>
    <n v="2700"/>
    <n v="4900"/>
    <n v="21"/>
    <n v="480"/>
  </r>
  <r>
    <n v="3368"/>
    <s v="RIVER NONBAH AT PHOTSOHSAT"/>
    <x v="17"/>
    <n v="13.6"/>
    <n v="20"/>
    <n v="6.6"/>
    <n v="8.6"/>
    <n v="6.7"/>
    <n v="7.3"/>
    <n v="31"/>
    <n v="44"/>
    <n v="1.1000000000000001"/>
    <n v="1.7"/>
    <n v="0.32"/>
    <n v="0.54"/>
    <n v="4"/>
    <n v="70"/>
    <n v="110"/>
    <n v="170"/>
    <n v="2"/>
    <n v="6"/>
  </r>
  <r>
    <n v="3369"/>
    <s v="RIVER KYNSHI AT SOHIONG"/>
    <x v="17"/>
    <n v="12.3"/>
    <n v="19"/>
    <n v="6.6"/>
    <n v="7.8"/>
    <n v="6.7"/>
    <n v="7.3"/>
    <n v="29"/>
    <n v="44"/>
    <n v="1.2"/>
    <n v="1.7"/>
    <n v="0.32"/>
    <n v="0.53"/>
    <n v="6"/>
    <n v="33"/>
    <n v="240"/>
    <n v="540"/>
    <n v="2"/>
    <n v="6"/>
  </r>
  <r>
    <n v="3370"/>
    <s v="RIVER KYNSHI AT NANGKHNUM"/>
    <x v="17"/>
    <n v="12.5"/>
    <n v="20"/>
    <n v="6.8"/>
    <n v="8"/>
    <n v="6.9"/>
    <n v="7.3"/>
    <n v="32"/>
    <n v="42"/>
    <n v="1"/>
    <n v="1.5"/>
    <n v="0.32"/>
    <n v="0.46"/>
    <n v="2"/>
    <n v="2"/>
    <n v="38"/>
    <n v="70"/>
    <n v="2"/>
    <n v="2"/>
  </r>
  <r>
    <n v="3371"/>
    <s v="RIVER KYNSHI AT RANIKOR"/>
    <x v="17"/>
    <n v="15"/>
    <n v="22"/>
    <n v="7"/>
    <n v="8.4"/>
    <n v="6.5"/>
    <n v="6.9"/>
    <n v="42"/>
    <n v="72"/>
    <n v="1"/>
    <n v="1.6"/>
    <n v="0.32"/>
    <n v="0.51"/>
    <n v="2"/>
    <n v="4"/>
    <n v="110"/>
    <n v="170"/>
    <n v="2"/>
    <n v="2"/>
  </r>
  <r>
    <n v="3373"/>
    <s v="RIVER WAH BLEI AT RIANGDO,"/>
    <x v="17"/>
    <n v="14.6"/>
    <n v="21"/>
    <n v="6.9"/>
    <n v="7.9"/>
    <n v="6.7"/>
    <n v="7.5"/>
    <n v="33"/>
    <n v="53"/>
    <n v="1.2"/>
    <n v="1.8"/>
    <n v="0.32"/>
    <n v="0.52"/>
    <n v="4"/>
    <n v="17"/>
    <n v="110"/>
    <n v="240"/>
    <n v="2"/>
    <n v="4"/>
  </r>
  <r>
    <n v="3374"/>
    <s v="RIVER WAH BLEI AT SDAD DKHAR,"/>
    <x v="17"/>
    <n v="14"/>
    <n v="20"/>
    <n v="6.8"/>
    <n v="8.9"/>
    <n v="6.5"/>
    <n v="6.8"/>
    <n v="62"/>
    <n v="89"/>
    <n v="1"/>
    <n v="1.8"/>
    <n v="0.32"/>
    <n v="0.47"/>
    <n v="2"/>
    <n v="21"/>
    <n v="120"/>
    <n v="170"/>
    <n v="2"/>
    <n v="4"/>
  </r>
  <r>
    <n v="3099"/>
    <s v="RIVER LOHIT AT ALUBARI (D/S)"/>
    <x v="16"/>
    <n v="15"/>
    <n v="28.5"/>
    <n v="0.7"/>
    <n v="9.3000000000000007"/>
    <n v="7.4"/>
    <n v="8.1"/>
    <n v="102"/>
    <n v="286"/>
    <n v="1"/>
    <n v="1"/>
    <n v="0"/>
    <n v="0"/>
    <m/>
    <m/>
    <m/>
    <m/>
    <m/>
    <m/>
  </r>
  <r>
    <n v="3797"/>
    <s v="RIVER MANAS (SANTOSHPUR) NEAR LENGTISINGA"/>
    <x v="12"/>
    <n v="19"/>
    <n v="34"/>
    <n v="5.2"/>
    <n v="5.6"/>
    <n v="6.8"/>
    <n v="7.6"/>
    <n v="132"/>
    <n v="146"/>
    <n v="2"/>
    <n v="2.7"/>
    <n v="0.6"/>
    <n v="1.6"/>
    <n v="600"/>
    <n v="910"/>
    <n v="1100"/>
    <n v="2100"/>
    <n v="210"/>
    <n v="290"/>
  </r>
  <r>
    <n v="2060"/>
    <s v="RIVER MANAS AT NH-31 CROSSING, BARPETA_x000a_DISTRICT, ASSAM"/>
    <x v="12"/>
    <n v="19"/>
    <n v="32"/>
    <n v="5.0999999999999996"/>
    <n v="5.7"/>
    <n v="6.9"/>
    <n v="7.7"/>
    <n v="132"/>
    <n v="168"/>
    <n v="1.9"/>
    <n v="2.7"/>
    <n v="0.6"/>
    <n v="2.2000000000000002"/>
    <n v="600"/>
    <n v="730"/>
    <n v="1100"/>
    <n v="1500"/>
    <n v="210"/>
    <n v="240"/>
  </r>
  <r>
    <n v="1803"/>
    <s v="RIVER MANEY KHOLA AT BURTUK NEAR ARMY BASE_x000a_CAMP, 4 KM U/S OF GANGTOK"/>
    <x v="19"/>
    <n v="12"/>
    <n v="21"/>
    <n v="7.3"/>
    <n v="8.4"/>
    <n v="6.8"/>
    <n v="7.5"/>
    <n v="112"/>
    <n v="172"/>
    <n v="1.9"/>
    <n v="2.5"/>
    <n v="1.9"/>
    <n v="4.5999999999999996"/>
    <n v="22"/>
    <n v="97"/>
    <n v="27"/>
    <n v="155"/>
    <m/>
    <m/>
  </r>
  <r>
    <n v="1804"/>
    <s v="RIVER MANEY KHOLA AFTER CONFLUENCS WITH RAY_x000a_KHOLA AT ADAMPOOL AFTER MEETING WASTE OF STP,_x000a_GANGTOK"/>
    <x v="19"/>
    <n v="13"/>
    <n v="23"/>
    <n v="7.8"/>
    <n v="8.5"/>
    <n v="6.7"/>
    <n v="7.3"/>
    <n v="121"/>
    <n v="178"/>
    <n v="2.1"/>
    <n v="22"/>
    <n v="2"/>
    <n v="23"/>
    <n v="38"/>
    <n v="93"/>
    <n v="68"/>
    <n v="196"/>
    <m/>
    <m/>
  </r>
  <r>
    <n v="2894"/>
    <s v="RIVER MILAK AT BORBORA WARD, TULI"/>
    <x v="13"/>
    <n v="19.600000000000001"/>
    <n v="30.6"/>
    <n v="6.9"/>
    <n v="8.1999999999999993"/>
    <n v="7.1"/>
    <n v="8.1999999999999993"/>
    <n v="79"/>
    <n v="490"/>
    <n v="1"/>
    <n v="1.4"/>
    <n v="0.5"/>
    <n v="1.5"/>
    <m/>
    <m/>
    <m/>
    <m/>
    <m/>
    <m/>
  </r>
  <r>
    <n v="2895"/>
    <s v="RIVER MILAK AT PAPER NAGAR, TULI"/>
    <x v="13"/>
    <n v="19.5"/>
    <n v="30"/>
    <n v="7"/>
    <n v="8.3000000000000007"/>
    <n v="7.4"/>
    <n v="8.4"/>
    <n v="85"/>
    <n v="520"/>
    <n v="1"/>
    <n v="1.5"/>
    <n v="0.4"/>
    <n v="1.3"/>
    <m/>
    <m/>
    <m/>
    <m/>
    <m/>
    <m/>
  </r>
  <r>
    <n v="3100"/>
    <s v="RIVER NAMCHIK AT KHARSANG"/>
    <x v="16"/>
    <n v="19.600000000000001"/>
    <n v="27.3"/>
    <n v="7.4"/>
    <n v="9.4"/>
    <n v="7.4"/>
    <n v="8.1"/>
    <n v="78"/>
    <n v="476"/>
    <n v="1"/>
    <n v="1"/>
    <n v="0"/>
    <n v="0"/>
    <m/>
    <m/>
    <m/>
    <m/>
    <m/>
    <m/>
  </r>
  <r>
    <n v="3109"/>
    <s v="RIVER NOA DIHING AT NAMSAI, (D/S OF DIHING)"/>
    <x v="16"/>
    <n v="19"/>
    <n v="26.9"/>
    <n v="6.6"/>
    <n v="8.6999999999999993"/>
    <n v="7.6"/>
    <n v="8.4"/>
    <n v="83"/>
    <n v="313"/>
    <n v="1"/>
    <n v="2.2000000000000002"/>
    <n v="0"/>
    <n v="0"/>
    <m/>
    <m/>
    <m/>
    <m/>
    <m/>
    <m/>
  </r>
  <r>
    <n v="3103"/>
    <s v="RIVER PACHIN AT NAHARLAGUN (BELOW BARAPANI_x000a_BRIDGE), (D/S OF RIVER SENKI)"/>
    <x v="16"/>
    <n v="21.6"/>
    <n v="34.200000000000003"/>
    <n v="6"/>
    <n v="9.1999999999999993"/>
    <n v="7.1"/>
    <n v="7.9"/>
    <n v="67"/>
    <n v="193"/>
    <n v="1"/>
    <n v="2.8"/>
    <n v="0"/>
    <n v="0"/>
    <m/>
    <m/>
    <m/>
    <m/>
    <m/>
    <m/>
  </r>
  <r>
    <n v="2065"/>
    <s v="RIVER PAGLDIA NEAR NALBARI TOWN, DIST. NALBARI,_x000a_ASSAM"/>
    <x v="12"/>
    <n v="22"/>
    <n v="33"/>
    <n v="5.8"/>
    <n v="8.1"/>
    <n v="7"/>
    <n v="8"/>
    <n v="142"/>
    <n v="230"/>
    <n v="2"/>
    <n v="2.8"/>
    <n v="0.6"/>
    <n v="1.8"/>
    <n v="610"/>
    <n v="1500"/>
    <n v="1100"/>
    <n v="2100"/>
    <n v="210"/>
    <n v="490"/>
  </r>
  <r>
    <n v="2235"/>
    <s v="RIVER PANCHNOI AT NH-52 CROSSING, ORANG, ASSAM"/>
    <x v="12"/>
    <n v="16"/>
    <n v="28"/>
    <n v="5"/>
    <n v="6.2"/>
    <n v="6.8"/>
    <n v="7.2"/>
    <n v="102"/>
    <n v="144"/>
    <n v="2.2000000000000002"/>
    <n v="2.7"/>
    <n v="0.8"/>
    <n v="1.7"/>
    <n v="620"/>
    <n v="940"/>
    <n v="1300"/>
    <n v="2100"/>
    <n v="210"/>
    <n v="290"/>
  </r>
  <r>
    <n v="1531"/>
    <s v="RIVER MORA BHARALI AT TEZPUR, ASSAM"/>
    <x v="12"/>
    <n v="19"/>
    <n v="30"/>
    <n v="3.8"/>
    <n v="5.4"/>
    <n v="6.9"/>
    <n v="7.4"/>
    <n v="148"/>
    <n v="242"/>
    <n v="3"/>
    <n v="3.3"/>
    <n v="0.9"/>
    <n v="2"/>
    <n v="360"/>
    <n v="940"/>
    <n v="1100"/>
    <n v="2000"/>
    <n v="120"/>
    <n v="290"/>
  </r>
  <r>
    <n v="1929"/>
    <s v="RIVER CHATHE NEAR ICAR, MEDZIPHEMA"/>
    <x v="13"/>
    <n v="17.2"/>
    <n v="31.4"/>
    <n v="6.6"/>
    <n v="8"/>
    <n v="6.5"/>
    <n v="8.9"/>
    <n v="85"/>
    <n v="232"/>
    <n v="1.2"/>
    <n v="1.8"/>
    <n v="0.4"/>
    <n v="1.8"/>
    <m/>
    <m/>
    <m/>
    <m/>
    <m/>
    <m/>
  </r>
  <r>
    <n v="1930"/>
    <s v="RIVER DZU AT DZU BRIDGE"/>
    <x v="13"/>
    <n v="20.399999999999999"/>
    <n v="32.200000000000003"/>
    <n v="6.1"/>
    <n v="8.6"/>
    <n v="6.6"/>
    <n v="8.6"/>
    <n v="95"/>
    <n v="760"/>
    <n v="1.4"/>
    <n v="2"/>
    <n v="0.5"/>
    <n v="2.1"/>
    <m/>
    <m/>
    <m/>
    <m/>
    <m/>
    <m/>
  </r>
  <r>
    <n v="1232"/>
    <s v="RIVER MAHI (D/S) CONF WITH R. CHAP (UNDER_x000a_SAGWARA-SARHI RD. BDG.), RAJASTHAN"/>
    <x v="11"/>
    <n v="24"/>
    <n v="30"/>
    <n v="4.8"/>
    <n v="5.9"/>
    <n v="7.2"/>
    <n v="7.9"/>
    <n v="367"/>
    <n v="797"/>
    <n v="1.7"/>
    <n v="2.8"/>
    <n v="1.22"/>
    <n v="2.82"/>
    <n v="70"/>
    <n v="120"/>
    <n v="110"/>
    <n v="170"/>
    <n v="21"/>
    <n v="34"/>
  </r>
  <r>
    <n v="30061"/>
    <s v="RIVER MAHI AT GAMMON BRIDGE NEAR PADLA CHOWKI,_x000a_BANSWARA (MP &amp; RJASTHAN)"/>
    <x v="11"/>
    <n v="21"/>
    <n v="30"/>
    <n v="8.1"/>
    <n v="9.5"/>
    <n v="7.1"/>
    <n v="8.1999999999999993"/>
    <n v="182"/>
    <n v="351"/>
    <n v="2"/>
    <n v="2.5"/>
    <n v="0.32"/>
    <n v="0.5"/>
    <n v="2"/>
    <n v="10"/>
    <n v="63"/>
    <n v="170"/>
    <n v="2"/>
    <n v="2"/>
  </r>
  <r>
    <n v="4"/>
    <s v="RIVER MAHI AT SEVALIA"/>
    <x v="20"/>
    <n v="25"/>
    <n v="32"/>
    <n v="7.5"/>
    <n v="8.1999999999999993"/>
    <n v="7.9"/>
    <n v="8.5"/>
    <n v="263"/>
    <n v="480"/>
    <n v="1"/>
    <n v="1"/>
    <n v="0.52"/>
    <n v="0.86"/>
    <n v="7"/>
    <n v="240"/>
    <n v="22"/>
    <n v="500"/>
    <n v="2"/>
    <n v="2"/>
  </r>
  <r>
    <n v="5"/>
    <s v="RIVER MAHI AT VASAD"/>
    <x v="20"/>
    <n v="24"/>
    <n v="33"/>
    <n v="7.5"/>
    <n v="8.5"/>
    <n v="7.8"/>
    <n v="8.5"/>
    <n v="320"/>
    <n v="595"/>
    <n v="1"/>
    <n v="1"/>
    <n v="0.72"/>
    <n v="1.1399999999999999"/>
    <n v="2"/>
    <n v="14"/>
    <n v="21"/>
    <n v="50"/>
    <m/>
    <m/>
  </r>
  <r>
    <n v="1229"/>
    <s v="RIVER MAHI NEAR RAJASTHAN BORDER AT KADANA_x000a_DAM,"/>
    <x v="20"/>
    <n v="24"/>
    <n v="29"/>
    <n v="7.5"/>
    <n v="8.1999999999999993"/>
    <n v="7.9"/>
    <n v="8.5"/>
    <n v="281"/>
    <n v="476"/>
    <n v="1"/>
    <n v="1"/>
    <n v="0.32"/>
    <n v="0.75"/>
    <n v="2"/>
    <n v="11"/>
    <n v="4"/>
    <n v="33"/>
    <m/>
    <m/>
  </r>
  <r>
    <n v="1230"/>
    <s v="RIVER MAHI AFTER CONF. WITH ANAS AT PARDI_x000a_(BANASWADA),"/>
    <x v="20"/>
    <n v="24"/>
    <n v="29"/>
    <n v="7.4"/>
    <n v="8.1999999999999993"/>
    <n v="7.9"/>
    <n v="8.5"/>
    <n v="261"/>
    <n v="469"/>
    <n v="1"/>
    <n v="1"/>
    <n v="0.54"/>
    <n v="0.82"/>
    <n v="2"/>
    <n v="7"/>
    <n v="13"/>
    <n v="21"/>
    <m/>
    <m/>
  </r>
  <r>
    <n v="1231"/>
    <s v="RIVER MAHI AT VIRPUR,"/>
    <x v="20"/>
    <n v="24"/>
    <n v="29.5"/>
    <n v="7.5"/>
    <n v="8.1999999999999993"/>
    <n v="7.9"/>
    <n v="8.5"/>
    <n v="278"/>
    <n v="465"/>
    <n v="1"/>
    <n v="1"/>
    <n v="0.94"/>
    <n v="1.25"/>
    <n v="2"/>
    <n v="11"/>
    <n v="14"/>
    <n v="50"/>
    <m/>
    <m/>
  </r>
  <r>
    <n v="1863"/>
    <s v="RIVER MAHI AT UMETA BRIDGE"/>
    <x v="20"/>
    <n v="24"/>
    <n v="33"/>
    <n v="7.5"/>
    <n v="8.1999999999999993"/>
    <n v="7.6"/>
    <n v="8.5"/>
    <n v="312"/>
    <n v="663"/>
    <n v="1"/>
    <n v="1"/>
    <n v="0.44"/>
    <n v="1.06"/>
    <n v="4"/>
    <n v="17"/>
    <n v="22"/>
    <n v="70"/>
    <m/>
    <m/>
  </r>
  <r>
    <n v="1864"/>
    <s v="RIVER MAHI AT MUJPUR"/>
    <x v="20"/>
    <n v="27"/>
    <n v="32"/>
    <n v="6.7"/>
    <n v="8.1999999999999993"/>
    <n v="8.4"/>
    <n v="8.6999999999999993"/>
    <n v="326"/>
    <n v="1440"/>
    <n v="1"/>
    <n v="1.2"/>
    <n v="0.32"/>
    <n v="1.24"/>
    <n v="14"/>
    <n v="80"/>
    <n v="63"/>
    <n v="350"/>
    <m/>
    <m/>
  </r>
  <r>
    <n v="3206"/>
    <s v="RIVER MAHI AT SHERKHI BRIDGESINDHROT BRIDGE-VADODARA"/>
    <x v="20"/>
    <n v="22"/>
    <n v="32"/>
    <n v="7.4"/>
    <n v="8"/>
    <n v="8"/>
    <n v="8.6"/>
    <n v="318"/>
    <n v="1550"/>
    <n v="1"/>
    <n v="1"/>
    <n v="1.02"/>
    <n v="1.31"/>
    <n v="4"/>
    <n v="30"/>
    <n v="17"/>
    <n v="70"/>
    <m/>
    <m/>
  </r>
  <r>
    <n v="4415"/>
    <s v="RIVER MAHI AT DODKAVILLAGE : PRATHAMPURA"/>
    <x v="20"/>
    <n v="22"/>
    <n v="30"/>
    <n v="7.5"/>
    <n v="8.5"/>
    <n v="8.1"/>
    <n v="8.5"/>
    <n v="307"/>
    <n v="554"/>
    <n v="1"/>
    <n v="1"/>
    <n v="0.82"/>
    <n v="1.36"/>
    <n v="4"/>
    <n v="30"/>
    <n v="21"/>
    <n v="70"/>
    <m/>
    <m/>
  </r>
  <r>
    <n v="30050"/>
    <s v="RIVER MAHI ABOUT 500 METERS D/S OF KADANA DAM_x000a_NEAR BRIDGE, PANCHMAHAL, GUJARAT (RAJASTHAN_x000a_AND GUJARAT)"/>
    <x v="20"/>
    <n v="29"/>
    <n v="29"/>
    <n v="4.9000000000000004"/>
    <n v="4.9000000000000004"/>
    <n v="7.9"/>
    <n v="7.9"/>
    <n v="400"/>
    <n v="400"/>
    <n v="1.3"/>
    <n v="1.3"/>
    <n v="0.32"/>
    <n v="0.32"/>
    <n v="170"/>
    <n v="170"/>
    <n v="340"/>
    <n v="340"/>
    <m/>
    <m/>
  </r>
  <r>
    <n v="1233"/>
    <s v="RIVER MAHI AT BADNAWAR, M.P."/>
    <x v="10"/>
    <n v="20"/>
    <n v="22"/>
    <n v="7"/>
    <n v="7.8"/>
    <n v="7.1"/>
    <n v="8.4"/>
    <n v="274"/>
    <n v="603"/>
    <n v="1"/>
    <n v="1.4"/>
    <n v="0.8"/>
    <n v="1.59"/>
    <n v="2"/>
    <n v="2"/>
    <n v="40"/>
    <n v="49"/>
    <m/>
    <m/>
  </r>
  <r>
    <n v="3318"/>
    <s v="RIVER MAHI AT RANISINGH VILLAGE, RATLAM, UJJAIN"/>
    <x v="10"/>
    <n v="21"/>
    <n v="29"/>
    <n v="7"/>
    <n v="7.5"/>
    <n v="7.6"/>
    <n v="7.9"/>
    <n v="270"/>
    <n v="390"/>
    <n v="1.6"/>
    <n v="2"/>
    <n v="0.32"/>
    <n v="1.01"/>
    <n v="2"/>
    <n v="2"/>
    <n v="46"/>
    <n v="48"/>
    <n v="2"/>
    <n v="2"/>
  </r>
  <r>
    <n v="4608"/>
    <s v="RIVER MAHI FOREST GUEST HOUSE RAJAPUR MATAJI_x000a_SHIVGARH RATLAM."/>
    <x v="10"/>
    <n v="20"/>
    <n v="29"/>
    <n v="7.2"/>
    <n v="7.6"/>
    <n v="7.5"/>
    <n v="8.5"/>
    <n v="224"/>
    <n v="476"/>
    <n v="1.6"/>
    <n v="2"/>
    <n v="0.32"/>
    <n v="0.75"/>
    <n v="2"/>
    <n v="2"/>
    <n v="46"/>
    <n v="49"/>
    <n v="2"/>
    <n v="2"/>
  </r>
  <r>
    <n v="30058"/>
    <s v="RIVER MAHI AT VILLAGE BAJNA (MP &amp; RJASTHAN)"/>
    <x v="10"/>
    <n v="22"/>
    <n v="26"/>
    <n v="8.4"/>
    <n v="8.9"/>
    <n v="7.4"/>
    <n v="8.1999999999999993"/>
    <n v="162"/>
    <n v="355"/>
    <n v="2"/>
    <n v="2.2999999999999998"/>
    <n v="0.32"/>
    <n v="0.92"/>
    <n v="2"/>
    <n v="12"/>
    <n v="130"/>
    <n v="150"/>
    <n v="2"/>
    <n v="2"/>
  </r>
  <r>
    <n v="3848"/>
    <s v="RIVER ANAS RIVER NEAR ROAD BRIDGE JHABUA"/>
    <x v="10"/>
    <n v="20"/>
    <n v="22"/>
    <n v="6.9"/>
    <n v="7.6"/>
    <n v="7"/>
    <n v="8.5"/>
    <n v="302"/>
    <n v="445"/>
    <n v="1"/>
    <n v="1.8"/>
    <n v="0.73"/>
    <n v="1.55"/>
    <n v="2"/>
    <n v="2"/>
    <n v="2"/>
    <n v="49"/>
    <n v="2"/>
    <n v="2"/>
  </r>
  <r>
    <n v="1228"/>
    <s v="RIVER ANAS AT DAHOD, (KUSHALGARH), DIST._x000a_PANCHMAHAL"/>
    <x v="20"/>
    <n v="24"/>
    <n v="29"/>
    <n v="7.4"/>
    <n v="8.1999999999999993"/>
    <n v="8.1"/>
    <n v="8.5"/>
    <n v="295"/>
    <n v="572"/>
    <n v="1"/>
    <n v="1"/>
    <n v="0.32"/>
    <n v="0.44"/>
    <n v="2"/>
    <n v="14"/>
    <n v="11"/>
    <n v="70"/>
    <n v="2"/>
    <n v="2"/>
  </r>
  <r>
    <n v="2104"/>
    <s v="RIVER MALEI AT JAORA"/>
    <x v="10"/>
    <n v="22"/>
    <n v="28"/>
    <n v="7.1"/>
    <n v="7.5"/>
    <n v="6.9"/>
    <n v="8.1999999999999993"/>
    <n v="260"/>
    <n v="868"/>
    <n v="1.8"/>
    <n v="2.1"/>
    <n v="0.32"/>
    <n v="2.96"/>
    <n v="2"/>
    <n v="2"/>
    <n v="41"/>
    <n v="49"/>
    <n v="2"/>
    <n v="2"/>
  </r>
  <r>
    <n v="2102"/>
    <s v="RIVER SHIVNA AT RAMGHAT, MANDSAUR"/>
    <x v="10"/>
    <n v="24"/>
    <n v="28"/>
    <n v="7.4"/>
    <n v="7.7"/>
    <n v="7.4"/>
    <n v="8.1"/>
    <n v="266"/>
    <n v="637"/>
    <n v="2"/>
    <n v="2"/>
    <n v="0.32"/>
    <n v="0.93"/>
    <n v="2"/>
    <n v="2"/>
    <n v="48"/>
    <n v="49"/>
    <n v="2"/>
    <n v="2"/>
  </r>
  <r>
    <n v="1227"/>
    <s v="RIVER PANAM AT LUNAWADA,"/>
    <x v="20"/>
    <n v="24"/>
    <n v="30"/>
    <n v="7.4"/>
    <n v="8.1999999999999993"/>
    <n v="8"/>
    <n v="8.5"/>
    <n v="231"/>
    <n v="477"/>
    <n v="1"/>
    <n v="1"/>
    <n v="0.32"/>
    <n v="0.38"/>
    <n v="2"/>
    <n v="9"/>
    <n v="11"/>
    <n v="50"/>
    <m/>
    <m/>
  </r>
  <r>
    <n v="2105"/>
    <s v="RIVER CHILLAR AT SHAJAPUR"/>
    <x v="10"/>
    <n v="23"/>
    <n v="28"/>
    <n v="6.7"/>
    <n v="7.5"/>
    <n v="7.3"/>
    <n v="7.9"/>
    <n v="252"/>
    <n v="450"/>
    <n v="1.6"/>
    <n v="2"/>
    <n v="0.32"/>
    <n v="0.9"/>
    <n v="2"/>
    <n v="2"/>
    <n v="47"/>
    <n v="49"/>
    <n v="2"/>
    <n v="2"/>
  </r>
  <r>
    <n v="2103"/>
    <s v="RIVER JAMMER AT DHOLABAD, RATLAM"/>
    <x v="10"/>
    <n v="20"/>
    <n v="29"/>
    <n v="7"/>
    <n v="7.6"/>
    <n v="7.4"/>
    <n v="7.7"/>
    <n v="130"/>
    <n v="375"/>
    <n v="1.4"/>
    <n v="2"/>
    <n v="0.32"/>
    <n v="0.98"/>
    <n v="2"/>
    <n v="2"/>
    <n v="46"/>
    <n v="49"/>
    <n v="2"/>
    <n v="2"/>
  </r>
  <r>
    <n v="5476"/>
    <s v="RIVER MAHI AT MAHI DAM,VILLAGE-BHOR KHERA_x000a_,BANSWARA"/>
    <x v="11"/>
    <n v="27"/>
    <n v="29"/>
    <n v="4"/>
    <n v="5.4"/>
    <n v="7.4"/>
    <n v="7.6"/>
    <n v="280"/>
    <n v="542"/>
    <n v="2.1"/>
    <n v="2.6"/>
    <n v="5.23"/>
    <n v="8.52"/>
    <n v="80"/>
    <n v="110"/>
    <n v="140"/>
    <n v="180"/>
    <n v="17"/>
    <n v="26"/>
  </r>
  <r>
    <n v="4620"/>
    <s v="RIVER AJAB BOURALI AT PETLAWAD DAM PETLAVAD,_x000a_JHABUA"/>
    <x v="10"/>
    <n v="20"/>
    <n v="21.5"/>
    <n v="6.9"/>
    <n v="7.7"/>
    <n v="7.5"/>
    <n v="8.3000000000000007"/>
    <n v="300"/>
    <n v="539"/>
    <n v="1"/>
    <n v="1.2"/>
    <n v="0.54"/>
    <n v="1.69"/>
    <n v="2"/>
    <n v="2"/>
    <n v="34"/>
    <n v="49"/>
    <n v="2"/>
    <n v="2"/>
  </r>
  <r>
    <n v="1221"/>
    <s v="RIVER SABARMATI AT KHEROJ BRIDGE,"/>
    <x v="20"/>
    <n v="25"/>
    <n v="27"/>
    <n v="5"/>
    <n v="7.6"/>
    <n v="7.2"/>
    <n v="8.1999999999999993"/>
    <n v="380"/>
    <n v="765"/>
    <n v="1"/>
    <n v="1.3"/>
    <n v="0.32"/>
    <n v="1.03"/>
    <n v="2"/>
    <n v="12"/>
    <n v="6"/>
    <n v="70"/>
    <n v="2"/>
    <n v="2"/>
  </r>
  <r>
    <n v="1223"/>
    <s v="RIVER SABARMATI AFTER CONF. WITH MESHWA AT_x000a_VAUTHA (NEAR DHOKLA),"/>
    <x v="20"/>
    <n v="20"/>
    <n v="32"/>
    <n v="0.3"/>
    <n v="5.0999999999999996"/>
    <n v="7.4"/>
    <n v="8.4"/>
    <n v="680"/>
    <n v="2513"/>
    <n v="7"/>
    <n v="27"/>
    <n v="0.33"/>
    <n v="2.27"/>
    <n v="1600"/>
    <n v="1600"/>
    <n v="1600"/>
    <n v="1600"/>
    <m/>
    <m/>
  </r>
  <r>
    <n v="1409"/>
    <s v="RIVER SABARMATI AT RAILWAY BRIDGE AHMEDABAD,"/>
    <x v="20"/>
    <n v="27"/>
    <n v="30"/>
    <n v="2.7"/>
    <n v="6.8"/>
    <n v="7"/>
    <n v="8.3000000000000007"/>
    <n v="302"/>
    <n v="590"/>
    <n v="1"/>
    <n v="4.0999999999999996"/>
    <n v="0.4"/>
    <n v="1.36"/>
    <n v="21"/>
    <n v="170"/>
    <n v="110"/>
    <n v="540"/>
    <m/>
    <m/>
  </r>
  <r>
    <n v="1866"/>
    <s v="RIVER SABARMATI AT HANSAOL BRIDGE,"/>
    <x v="20"/>
    <n v="26"/>
    <n v="30"/>
    <n v="4.2"/>
    <n v="7.6"/>
    <n v="7.4"/>
    <n v="8.1999999999999993"/>
    <n v="278"/>
    <n v="402"/>
    <n v="1"/>
    <n v="1.8"/>
    <n v="0.41"/>
    <n v="1.61"/>
    <n v="2"/>
    <n v="33"/>
    <n v="17"/>
    <n v="170"/>
    <m/>
    <m/>
  </r>
  <r>
    <n v="1"/>
    <s v="RIVER SABARMATI AT DHAROI DAM"/>
    <x v="20"/>
    <n v="28"/>
    <n v="28"/>
    <n v="2.8"/>
    <n v="2.8"/>
    <n v="7.9"/>
    <n v="7.9"/>
    <n v="560"/>
    <n v="560"/>
    <n v="5"/>
    <n v="5"/>
    <n v="2.4"/>
    <n v="2.4"/>
    <n v="1600"/>
    <n v="1600"/>
    <n v="1600"/>
    <n v="1600"/>
    <n v="1600"/>
    <n v="1600"/>
  </r>
  <r>
    <n v="2"/>
    <s v="RIVER SABARMATI AT AHMEDABAD AT V.N. BRIDGE"/>
    <x v="20"/>
    <n v="27"/>
    <n v="30"/>
    <n v="0.3"/>
    <n v="1.2"/>
    <n v="7.1"/>
    <n v="8"/>
    <n v="697"/>
    <n v="2741"/>
    <n v="12"/>
    <n v="105"/>
    <n v="0.4"/>
    <n v="24.85"/>
    <n v="1600"/>
    <n v="1600"/>
    <n v="1600"/>
    <n v="1600"/>
    <n v="1600"/>
    <n v="1600"/>
  </r>
  <r>
    <n v="1408"/>
    <s v="RIVER SABARMATI AT VILL. MIROLI TALUKA DASCROI,_x000a_AHMEDABAD,"/>
    <x v="20"/>
    <n v="28"/>
    <n v="32"/>
    <n v="0.3"/>
    <n v="4.8"/>
    <n v="7.2"/>
    <n v="8"/>
    <n v="889"/>
    <n v="6274"/>
    <n v="8"/>
    <n v="31"/>
    <n v="0"/>
    <n v="1.06"/>
    <n v="160"/>
    <n v="1600"/>
    <n v="1600"/>
    <n v="1600"/>
    <n v="1600"/>
    <n v="1600"/>
  </r>
  <r>
    <n v="2075"/>
    <s v="RIVER SABARMATI AT DHAROI DAM, DIST._x000a_MEHSANA.RIVER SABARMATI TA DHAROI DAM, TAL :_x000a_SATALASANA, DIST : MEHSANA"/>
    <x v="20"/>
    <n v="25"/>
    <n v="30"/>
    <n v="5.4"/>
    <n v="7.3"/>
    <n v="7.7"/>
    <n v="8.3000000000000007"/>
    <n v="384"/>
    <n v="560"/>
    <n v="1"/>
    <n v="1.7"/>
    <n v="0.32"/>
    <n v="1.56"/>
    <n v="2"/>
    <n v="6"/>
    <n v="2"/>
    <n v="47"/>
    <n v="2"/>
    <n v="2"/>
  </r>
  <r>
    <n v="10014"/>
    <s v="RIVER SABARMATI AT AHMEDABAD U/SHANSOL,_x000a_AHMEDABAD"/>
    <x v="20"/>
    <n v="26"/>
    <n v="30"/>
    <n v="4.2"/>
    <n v="7.6"/>
    <n v="7.4"/>
    <n v="8.1999999999999993"/>
    <n v="278"/>
    <n v="402"/>
    <n v="1"/>
    <n v="1.8"/>
    <n v="0.41"/>
    <n v="0.94"/>
    <n v="2"/>
    <n v="33"/>
    <n v="17"/>
    <n v="170"/>
    <n v="2"/>
    <n v="2"/>
  </r>
  <r>
    <n v="10015"/>
    <s v="RIVER SABARMATI AT AHMEDABAD D/SVILL:_x000a_MIROLI,TALUKA DASCROI, AHMEDABAD,"/>
    <x v="20"/>
    <n v="28"/>
    <n v="32"/>
    <n v="0.3"/>
    <n v="4.8"/>
    <n v="7.2"/>
    <n v="8"/>
    <n v="889"/>
    <n v="3060"/>
    <n v="8"/>
    <n v="31"/>
    <n v="0.33"/>
    <n v="1.08"/>
    <n v="1600"/>
    <n v="1600"/>
    <n v="1600"/>
    <n v="1600"/>
    <m/>
    <m/>
  </r>
  <r>
    <n v="30042"/>
    <s v="RIVER SABARMATI AT KHEROJ BRIDGE, SABARKANTHA,_x000a_AMBAJI HIGHWAY, KHEROJ, GUJARAT (RAJASTHAN AND_x000a_GUJARAT)"/>
    <x v="20"/>
    <n v="24"/>
    <n v="24"/>
    <n v="9.6"/>
    <n v="9.6"/>
    <n v="8"/>
    <n v="8"/>
    <n v="607"/>
    <n v="607"/>
    <n v="2.5"/>
    <n v="2.5"/>
    <n v="0.32"/>
    <n v="0.32"/>
    <n v="110"/>
    <n v="110"/>
    <n v="330"/>
    <n v="330"/>
    <m/>
    <m/>
  </r>
  <r>
    <n v="1482"/>
    <s v="RIVER SABARMATI AT MAHUDI JAIN TEMPLE, 150 KM._x000a_FORM ORIGIN,"/>
    <x v="20"/>
    <n v="27"/>
    <n v="32"/>
    <n v="4.0999999999999996"/>
    <n v="7.2"/>
    <n v="7.5"/>
    <n v="8.4"/>
    <n v="346"/>
    <n v="590"/>
    <n v="1"/>
    <n v="2"/>
    <n v="0.46"/>
    <n v="1.21"/>
    <n v="2"/>
    <n v="12"/>
    <n v="13"/>
    <n v="70"/>
    <m/>
    <m/>
  </r>
  <r>
    <n v="1407"/>
    <s v="RIVER SABARMATI AT GANDHI NAGAR CHILODA_x000a_BRIDGE, LEKAWADA,"/>
    <x v="20"/>
    <n v="27"/>
    <n v="32"/>
    <n v="5.0999999999999996"/>
    <n v="7"/>
    <n v="7.4"/>
    <n v="8.5"/>
    <n v="363"/>
    <n v="560"/>
    <n v="1"/>
    <n v="1.8"/>
    <n v="0.39"/>
    <n v="1.66"/>
    <n v="2"/>
    <n v="4"/>
    <n v="21"/>
    <n v="33"/>
    <m/>
    <m/>
  </r>
  <r>
    <n v="1222"/>
    <s v="RIVER SHEDHI AT KHEDA,"/>
    <x v="20"/>
    <n v="28"/>
    <n v="35"/>
    <n v="4.5"/>
    <n v="7.2"/>
    <n v="7.7"/>
    <n v="8.5"/>
    <n v="460"/>
    <n v="2616"/>
    <n v="1"/>
    <n v="2.7"/>
    <n v="1.1200000000000001"/>
    <n v="7.94"/>
    <n v="50"/>
    <n v="1600"/>
    <n v="300"/>
    <n v="1600"/>
    <n v="2"/>
    <n v="540"/>
  </r>
  <r>
    <n v="1437"/>
    <s v="RIVER KHARI AT LALI VILLAGE NEAR AHMEDABAD,"/>
    <x v="20"/>
    <n v="28"/>
    <n v="30"/>
    <n v="0.3"/>
    <n v="1.5"/>
    <n v="7.2"/>
    <n v="7.5"/>
    <n v="1112"/>
    <n v="2558"/>
    <n v="11"/>
    <n v="68"/>
    <n v="0.33"/>
    <n v="1.05"/>
    <n v="1600"/>
    <n v="1600"/>
    <n v="1600"/>
    <n v="1600"/>
    <n v="1600"/>
    <n v="1600"/>
  </r>
  <r>
    <n v="3321"/>
    <s v="RIVER NARMADA AT AMARKANTAK FROM ORIGIN POINT,"/>
    <x v="10"/>
    <n v="23.5"/>
    <n v="30.2"/>
    <n v="6.6"/>
    <n v="8.6999999999999993"/>
    <n v="7.1"/>
    <n v="8.3000000000000007"/>
    <n v="186"/>
    <n v="705"/>
    <n v="1"/>
    <n v="1.8"/>
    <n v="0.32"/>
    <n v="0.57999999999999996"/>
    <n v="2"/>
    <n v="2"/>
    <n v="27"/>
    <n v="94"/>
    <n v="2"/>
    <n v="2"/>
  </r>
  <r>
    <n v="1242"/>
    <s v="RIVER NARMADA NEAR ORIGIN POINT AT AMARKANTAK_x000a_M.P."/>
    <x v="10"/>
    <n v="22.6"/>
    <n v="30.2"/>
    <n v="6.5"/>
    <n v="6.8"/>
    <n v="6.6"/>
    <n v="7.9"/>
    <n v="165"/>
    <n v="1864"/>
    <n v="1"/>
    <n v="1.9"/>
    <n v="0.32"/>
    <n v="0.34"/>
    <n v="2"/>
    <n v="2"/>
    <n v="2"/>
    <n v="20"/>
    <n v="2"/>
    <n v="2"/>
  </r>
  <r>
    <n v="4578"/>
    <s v="RIVER NARMADA AT PUSKAR DAM AMARKANTAK"/>
    <x v="10"/>
    <n v="22.8"/>
    <n v="30.2"/>
    <n v="6.6"/>
    <n v="8.1"/>
    <n v="6.9"/>
    <n v="8"/>
    <n v="173"/>
    <n v="2756"/>
    <n v="1.6"/>
    <n v="2.2999999999999998"/>
    <n v="0.32"/>
    <n v="0.48"/>
    <n v="2"/>
    <n v="2"/>
    <n v="41"/>
    <n v="110"/>
    <n v="2"/>
    <n v="2"/>
  </r>
  <r>
    <n v="1241"/>
    <s v="RIVER NARMADA AT MANDLA NEAR ROAD BRIDGE. M.P."/>
    <x v="10"/>
    <n v="21.2"/>
    <n v="24.6"/>
    <n v="7"/>
    <n v="7.8"/>
    <n v="7.3"/>
    <n v="7.9"/>
    <n v="250"/>
    <n v="611"/>
    <n v="1.2"/>
    <n v="2"/>
    <n v="0.16"/>
    <n v="1.44"/>
    <n v="2"/>
    <n v="6"/>
    <n v="17"/>
    <n v="48"/>
    <m/>
    <m/>
  </r>
  <r>
    <n v="1240"/>
    <s v="RIVER NARMADA AT BARMANGHAT, NARSINGHPUR M.P."/>
    <x v="10"/>
    <n v="20.9"/>
    <n v="24.6"/>
    <n v="7"/>
    <n v="8.3000000000000007"/>
    <n v="7.2"/>
    <n v="7.9"/>
    <n v="233"/>
    <n v="711"/>
    <n v="1.1000000000000001"/>
    <n v="2"/>
    <n v="0.14000000000000001"/>
    <n v="1.4"/>
    <n v="2"/>
    <n v="3"/>
    <n v="10"/>
    <n v="43"/>
    <m/>
    <m/>
  </r>
  <r>
    <n v="2106"/>
    <s v="RIVER NARMADA AT NEMAWAR"/>
    <x v="10"/>
    <n v="22"/>
    <n v="27"/>
    <n v="6.6"/>
    <n v="7.6"/>
    <n v="7.6"/>
    <n v="7.8"/>
    <n v="198"/>
    <n v="394"/>
    <n v="1.2"/>
    <n v="2"/>
    <n v="0.32"/>
    <n v="0.65"/>
    <n v="2"/>
    <n v="2"/>
    <n v="43"/>
    <n v="48"/>
    <n v="2"/>
    <n v="2"/>
  </r>
  <r>
    <n v="4595"/>
    <s v="RIVER NARMADA 500 M.D/S NEAR JAIN MANDER_x000a_VILLAGE NEMAWAR"/>
    <x v="10"/>
    <n v="22"/>
    <n v="28"/>
    <n v="6.5"/>
    <n v="7.7"/>
    <n v="7.2"/>
    <n v="7.8"/>
    <n v="212"/>
    <n v="430"/>
    <n v="2"/>
    <n v="2"/>
    <n v="0.54"/>
    <n v="0.73"/>
    <n v="2"/>
    <n v="2"/>
    <n v="47"/>
    <n v="49"/>
    <n v="2"/>
    <n v="2"/>
  </r>
  <r>
    <n v="45"/>
    <s v="RIVER NARMADA AT MANDLESHWAR"/>
    <x v="10"/>
    <n v="19.5"/>
    <n v="21.5"/>
    <n v="7.2"/>
    <n v="8"/>
    <n v="7.7"/>
    <n v="8.5"/>
    <n v="212"/>
    <n v="332"/>
    <n v="1"/>
    <n v="1.1000000000000001"/>
    <n v="0.83"/>
    <n v="790.02"/>
    <n v="2"/>
    <n v="2"/>
    <n v="34"/>
    <n v="49"/>
    <n v="2"/>
    <n v="2"/>
  </r>
  <r>
    <n v="1239"/>
    <s v="RIVER NARMADA AT BADWANI, M.P."/>
    <x v="10"/>
    <n v="19"/>
    <n v="22"/>
    <n v="7.2"/>
    <n v="7.8"/>
    <n v="7.8"/>
    <n v="8.5"/>
    <n v="246"/>
    <n v="346"/>
    <n v="1"/>
    <n v="1.2"/>
    <n v="0.82"/>
    <n v="1.2"/>
    <n v="2"/>
    <n v="2"/>
    <n v="38"/>
    <n v="48"/>
    <m/>
    <m/>
  </r>
  <r>
    <n v="1431"/>
    <s v="RIVER NARMADA AT MAHESHWAR, M. P."/>
    <x v="10"/>
    <n v="19.5"/>
    <n v="21.5"/>
    <n v="7"/>
    <n v="7.9"/>
    <n v="7.3"/>
    <n v="8.5"/>
    <n v="211"/>
    <n v="318"/>
    <n v="1"/>
    <n v="1.2"/>
    <n v="0.02"/>
    <n v="1.1200000000000001"/>
    <n v="2"/>
    <n v="2"/>
    <n v="39"/>
    <n v="49"/>
    <n v="2"/>
    <n v="2"/>
  </r>
  <r>
    <n v="1234"/>
    <s v="RIVER NARMADA NEAR SHAHGANJ GUEST HOUSE_x000a_DISTRICT SEHORE (M.P.)"/>
    <x v="10"/>
    <n v="14"/>
    <n v="26"/>
    <n v="5.8"/>
    <n v="11"/>
    <n v="7.3"/>
    <n v="8.5"/>
    <n v="188"/>
    <n v="362"/>
    <n v="1"/>
    <n v="2.4"/>
    <n v="1.4"/>
    <n v="5.97"/>
    <n v="2"/>
    <n v="34"/>
    <n v="130"/>
    <n v="280"/>
    <n v="2"/>
    <n v="2"/>
  </r>
  <r>
    <n v="2112"/>
    <s v="RIVER NARMADA NEAR MORTAKKA BRIDGE, BADWAH"/>
    <x v="10"/>
    <n v="19.5"/>
    <n v="21.5"/>
    <n v="7.2"/>
    <n v="7.9"/>
    <n v="7.4"/>
    <n v="8.5"/>
    <n v="243"/>
    <n v="328"/>
    <n v="1"/>
    <n v="1.4"/>
    <n v="0.83"/>
    <n v="1.27"/>
    <n v="2"/>
    <n v="2"/>
    <n v="33"/>
    <n v="49"/>
    <m/>
    <m/>
  </r>
  <r>
    <n v="44"/>
    <s v="RIVER NARMADA AT SETHANIGHAT"/>
    <x v="10"/>
    <n v="17"/>
    <n v="31"/>
    <n v="7.2"/>
    <n v="8.5"/>
    <n v="7.2"/>
    <n v="8.1999999999999993"/>
    <n v="198"/>
    <n v="311"/>
    <n v="1.3"/>
    <n v="2.1"/>
    <n v="0.39"/>
    <n v="1.93"/>
    <n v="13"/>
    <n v="170"/>
    <n v="150"/>
    <n v="430"/>
    <n v="2"/>
    <n v="2"/>
  </r>
  <r>
    <n v="1235"/>
    <s v="RIVER NARMADA AT HOSHANGABAD 100 METER D/ S_x000a_AFTER CONFLUENCE OF SPM NALLA M.P."/>
    <x v="10"/>
    <n v="12"/>
    <n v="30"/>
    <n v="7.4"/>
    <n v="8.5"/>
    <n v="7.4"/>
    <n v="8.1"/>
    <n v="187"/>
    <n v="315"/>
    <n v="1.1000000000000001"/>
    <n v="1.9"/>
    <n v="0.55000000000000004"/>
    <n v="2.9"/>
    <n v="22"/>
    <n v="94"/>
    <n v="170"/>
    <n v="430"/>
    <n v="2"/>
    <n v="2"/>
  </r>
  <r>
    <n v="2113"/>
    <s v="RIVER NARMADA NEAR PUNASA DAM, PUNASA"/>
    <x v="10"/>
    <n v="20"/>
    <n v="21.5"/>
    <n v="7.1"/>
    <n v="7.8"/>
    <n v="7.5"/>
    <n v="8.5"/>
    <n v="194"/>
    <n v="298"/>
    <n v="1"/>
    <n v="1.1000000000000001"/>
    <n v="0.7"/>
    <n v="1.08"/>
    <n v="2"/>
    <n v="2"/>
    <n v="31"/>
    <n v="41"/>
    <m/>
    <m/>
  </r>
  <r>
    <n v="1430"/>
    <s v="RIVER NARMADA AT D/S OF OMKARESHWAR M.P."/>
    <x v="10"/>
    <n v="19.5"/>
    <n v="21.5"/>
    <n v="7"/>
    <n v="7.8"/>
    <n v="7.7"/>
    <n v="8.4"/>
    <n v="222"/>
    <n v="313"/>
    <n v="1"/>
    <n v="1.1000000000000001"/>
    <n v="0.7"/>
    <n v="1.22"/>
    <n v="2"/>
    <n v="2"/>
    <n v="32"/>
    <n v="47"/>
    <m/>
    <m/>
  </r>
  <r>
    <n v="3322"/>
    <s v="RIVER NARMADA AT MANDLA, NEAR SHAMSHANGHAT,_x000a_JABALPUR"/>
    <x v="10"/>
    <n v="21.3"/>
    <n v="24.5"/>
    <n v="6"/>
    <n v="8"/>
    <n v="7.1"/>
    <n v="7.8"/>
    <n v="250"/>
    <n v="546"/>
    <n v="1"/>
    <n v="2"/>
    <n v="0.13"/>
    <n v="1.4"/>
    <n v="2"/>
    <n v="6"/>
    <n v="17"/>
    <n v="63"/>
    <m/>
    <m/>
  </r>
  <r>
    <n v="2099"/>
    <s v="RIVER NARMADA AT LALPUR, JABALPUR"/>
    <x v="10"/>
    <n v="21"/>
    <n v="23.4"/>
    <n v="7.2"/>
    <n v="7.8"/>
    <n v="7.3"/>
    <n v="7.9"/>
    <n v="230"/>
    <n v="382"/>
    <n v="1.2"/>
    <n v="1.6"/>
    <n v="0.16"/>
    <n v="0.8"/>
    <n v="2"/>
    <n v="2"/>
    <n v="31"/>
    <n v="49"/>
    <m/>
    <m/>
  </r>
  <r>
    <n v="3323"/>
    <s v="RIVER NARMADA AT TILWARAGHAT, JABALPUR"/>
    <x v="10"/>
    <n v="21.2"/>
    <n v="25.4"/>
    <n v="7"/>
    <n v="7.8"/>
    <n v="7.1"/>
    <n v="8"/>
    <n v="256"/>
    <n v="642"/>
    <n v="1.3"/>
    <n v="1.9"/>
    <n v="0.14000000000000001"/>
    <n v="1.6"/>
    <n v="2"/>
    <n v="14"/>
    <n v="17"/>
    <n v="70"/>
    <m/>
    <m/>
  </r>
  <r>
    <n v="3324"/>
    <s v="RIVER NARMADA AT PANCHWATIGHAT, BEFORE MIXING_x000a_WITH BAWANGANGA RIVER, JABALPUR"/>
    <x v="10"/>
    <n v="20.5"/>
    <n v="24.2"/>
    <n v="7.2"/>
    <n v="8"/>
    <n v="7.2"/>
    <n v="8.1"/>
    <n v="224"/>
    <n v="716"/>
    <n v="1"/>
    <n v="2"/>
    <n v="0.3"/>
    <n v="1.44"/>
    <n v="2"/>
    <n v="9"/>
    <n v="11"/>
    <n v="41"/>
    <m/>
    <m/>
  </r>
  <r>
    <n v="3325"/>
    <s v="RIVER NARMADA AT SARSWATIGHAT, AFTER MIXING_x000a_WITH BAWANGANGA RIVER, JABALPUR"/>
    <x v="10"/>
    <n v="20.6"/>
    <n v="24.1"/>
    <n v="6.7"/>
    <n v="7.9"/>
    <n v="7.4"/>
    <n v="8.1"/>
    <n v="242"/>
    <n v="719"/>
    <n v="1.4"/>
    <n v="2"/>
    <n v="0.1"/>
    <n v="2.2599999999999998"/>
    <n v="2"/>
    <n v="4"/>
    <n v="14"/>
    <n v="70"/>
    <m/>
    <m/>
  </r>
  <r>
    <n v="2118"/>
    <s v="RIVER NARMADA RIVER AT D/S OF KAPILDHARA"/>
    <x v="10"/>
    <n v="22.6"/>
    <n v="30.4"/>
    <n v="6.5"/>
    <n v="7.7"/>
    <n v="7.1"/>
    <n v="8"/>
    <n v="167"/>
    <n v="2524"/>
    <n v="1.2"/>
    <n v="2.2000000000000002"/>
    <n v="0.32"/>
    <n v="0.45"/>
    <n v="2"/>
    <n v="2"/>
    <n v="41"/>
    <n v="94"/>
    <n v="2"/>
    <n v="2"/>
  </r>
  <r>
    <n v="2123"/>
    <s v="RIVER NARMADA AT KORIGHAT HOSHANGABAD"/>
    <x v="10"/>
    <n v="17"/>
    <n v="31"/>
    <n v="7.1"/>
    <n v="8.6"/>
    <n v="7.3"/>
    <n v="8.1"/>
    <n v="184"/>
    <n v="312"/>
    <n v="1.1000000000000001"/>
    <n v="1.8"/>
    <n v="0.44"/>
    <n v="2.2000000000000002"/>
    <n v="2"/>
    <n v="46"/>
    <n v="110"/>
    <n v="280"/>
    <n v="2"/>
    <n v="2"/>
  </r>
  <r>
    <n v="3847"/>
    <s v="RIVER NARMADA AT DHARAMPURI"/>
    <x v="10"/>
    <n v="19.5"/>
    <n v="22"/>
    <n v="7.3"/>
    <n v="7.8"/>
    <n v="7.7"/>
    <n v="8.4"/>
    <n v="210"/>
    <n v="315"/>
    <n v="1"/>
    <n v="1.1000000000000001"/>
    <n v="0.02"/>
    <n v="1.05"/>
    <n v="2"/>
    <n v="2"/>
    <n v="33"/>
    <n v="41"/>
    <m/>
    <m/>
  </r>
  <r>
    <n v="4577"/>
    <s v="RIVER NARMADA AT CHANDANGHAT NEAR ROAD_x000a_BRIDGE, DINDORI"/>
    <x v="10"/>
    <n v="23"/>
    <n v="30.5"/>
    <n v="6.7"/>
    <n v="8.1999999999999993"/>
    <n v="7.2"/>
    <n v="8.1"/>
    <n v="187"/>
    <n v="926"/>
    <n v="1"/>
    <n v="1.8"/>
    <n v="0.32"/>
    <n v="1.2"/>
    <n v="2"/>
    <n v="8"/>
    <n v="27"/>
    <n v="84"/>
    <n v="2"/>
    <n v="2"/>
  </r>
  <r>
    <n v="4578"/>
    <s v="RIVER NARMADA AT PUSKAR DAM AMARKANTAK"/>
    <x v="10"/>
    <n v="22.8"/>
    <n v="30.2"/>
    <n v="6.6"/>
    <n v="8.1"/>
    <n v="6.9"/>
    <n v="8"/>
    <n v="173"/>
    <n v="2756"/>
    <n v="1.6"/>
    <n v="2.2999999999999998"/>
    <n v="0.32"/>
    <n v="0.48"/>
    <n v="2"/>
    <n v="2"/>
    <n v="41"/>
    <n v="110"/>
    <n v="2"/>
    <n v="2"/>
  </r>
  <r>
    <n v="4579"/>
    <s v="RIVER NARMADA AT DINDORI D/S AFTER MIXING TO_x000a_CITY DOMESTIC NEAR JOGOTIKARIA GHAT"/>
    <x v="10"/>
    <n v="23.6"/>
    <n v="30.4"/>
    <n v="6.7"/>
    <n v="8.8000000000000007"/>
    <n v="7.6"/>
    <n v="8.1999999999999993"/>
    <n v="194"/>
    <n v="911"/>
    <n v="1.2"/>
    <n v="2.4"/>
    <n v="0.36"/>
    <n v="0.7"/>
    <n v="2"/>
    <n v="4"/>
    <n v="43"/>
    <n v="120"/>
    <n v="2"/>
    <n v="2"/>
  </r>
  <r>
    <n v="4580"/>
    <s v="RIVER NARMADA NEAR BHAIRAV TAMPLE AT_x000a_SHHASTRADHARA MANDLA"/>
    <x v="10"/>
    <n v="21.1"/>
    <n v="24.3"/>
    <n v="6.8"/>
    <n v="8"/>
    <n v="7.2"/>
    <n v="7.9"/>
    <n v="271"/>
    <n v="661"/>
    <n v="1.2"/>
    <n v="1.9"/>
    <n v="0.23"/>
    <n v="1.3"/>
    <n v="2"/>
    <n v="6"/>
    <n v="17"/>
    <n v="49"/>
    <m/>
    <m/>
  </r>
  <r>
    <n v="4581"/>
    <s v="RIVER NARMADA NEAR ROAD BRIDGE (D/S BARGI DAM)_x000a_JABALPUR"/>
    <x v="10"/>
    <n v="20.9"/>
    <n v="25.7"/>
    <n v="7.1"/>
    <n v="7.9"/>
    <n v="7.5"/>
    <n v="7.9"/>
    <n v="248"/>
    <n v="716"/>
    <n v="1.3"/>
    <n v="1.8"/>
    <n v="0.04"/>
    <n v="1.32"/>
    <n v="2"/>
    <n v="6"/>
    <n v="17"/>
    <n v="48"/>
    <m/>
    <m/>
  </r>
  <r>
    <n v="4582"/>
    <s v="RIVER NARMADA AT JAMTARA, NEAR RAILWAY BRIDGE"/>
    <x v="10"/>
    <n v="21"/>
    <n v="25.6"/>
    <n v="7.2"/>
    <n v="7.8"/>
    <n v="7.2"/>
    <n v="8.1"/>
    <n v="268"/>
    <n v="711"/>
    <n v="1.2"/>
    <n v="1.9"/>
    <n v="0.06"/>
    <n v="1.4"/>
    <n v="2"/>
    <n v="10"/>
    <n v="17"/>
    <n v="94"/>
    <m/>
    <m/>
  </r>
  <r>
    <n v="4583"/>
    <s v="RIVER NARMADA NEAR ROAD BRIDGE JHANSINGHAT_x000a_JABALPUR"/>
    <x v="10"/>
    <n v="20.6"/>
    <n v="24.6"/>
    <n v="6.8"/>
    <n v="8"/>
    <n v="7.3"/>
    <n v="8.1"/>
    <n v="217"/>
    <n v="677"/>
    <n v="1.2"/>
    <n v="1.9"/>
    <n v="0.18"/>
    <n v="2.64"/>
    <n v="2"/>
    <n v="13"/>
    <n v="17"/>
    <n v="49"/>
    <m/>
    <m/>
  </r>
  <r>
    <n v="4584"/>
    <s v="RIVER NARMADA N.H. 44 NEAR ROAD BRIDGE AT_x000a_BARMAN. JABALPUR"/>
    <x v="10"/>
    <n v="21"/>
    <n v="24.7"/>
    <n v="6.4"/>
    <n v="7.9"/>
    <n v="7.1"/>
    <n v="7.9"/>
    <n v="235"/>
    <n v="671"/>
    <n v="1"/>
    <n v="2"/>
    <n v="0.24"/>
    <n v="1.44"/>
    <n v="2"/>
    <n v="4"/>
    <n v="10"/>
    <n v="48"/>
    <m/>
    <m/>
  </r>
  <r>
    <n v="4585"/>
    <s v="RIVER NARMADA, BARMANGHAT, 100 MDS OF_x000a_MAINGHAT"/>
    <x v="10"/>
    <n v="20.8"/>
    <n v="24.7"/>
    <n v="6.5"/>
    <n v="8.1"/>
    <n v="7.1"/>
    <n v="8.1"/>
    <n v="248"/>
    <n v="716"/>
    <n v="1.2"/>
    <n v="2.4"/>
    <n v="0.16"/>
    <n v="1.44"/>
    <n v="2"/>
    <n v="4"/>
    <n v="10"/>
    <n v="48"/>
    <m/>
    <m/>
  </r>
  <r>
    <n v="4586"/>
    <s v="RIVER NARMADA S.N. 44 NEAR ROAD BRIDGE NEAR_x000a_JHILKOLI NARSINGPUR"/>
    <x v="10"/>
    <n v="21.1"/>
    <n v="24.6"/>
    <n v="6.7"/>
    <n v="7.8"/>
    <n v="7.4"/>
    <n v="8.1"/>
    <n v="233"/>
    <n v="691"/>
    <n v="1.2"/>
    <n v="1.9"/>
    <n v="0.3"/>
    <n v="2.64"/>
    <n v="2"/>
    <n v="12"/>
    <n v="17"/>
    <n v="48"/>
    <m/>
    <m/>
  </r>
  <r>
    <n v="4587"/>
    <s v="RIVER NARMADA AT NEAR ROAD BRIDGE, SANDIA"/>
    <x v="10"/>
    <n v="15"/>
    <n v="31"/>
    <n v="7.8"/>
    <n v="8.6999999999999993"/>
    <n v="7.3"/>
    <n v="8.1999999999999993"/>
    <n v="172"/>
    <n v="285"/>
    <n v="1"/>
    <n v="1.7"/>
    <n v="0.32"/>
    <n v="2.46"/>
    <n v="2"/>
    <n v="10"/>
    <n v="2"/>
    <n v="150"/>
    <n v="2"/>
    <n v="2"/>
  </r>
  <r>
    <n v="4588"/>
    <s v="RIVER NARMADA AT UP- STREAM OF VILLAGE JAIT_x000a_NEAR NARYANAPURA DISTRICT SEHORE (M.P.)"/>
    <x v="10"/>
    <n v="15"/>
    <n v="27"/>
    <n v="6"/>
    <n v="11.5"/>
    <n v="7.6"/>
    <n v="8.4"/>
    <n v="213"/>
    <n v="3105"/>
    <n v="1"/>
    <n v="1.7"/>
    <n v="1.25"/>
    <n v="7.47"/>
    <n v="6"/>
    <n v="26"/>
    <n v="40"/>
    <n v="280"/>
    <n v="2"/>
    <n v="2"/>
  </r>
  <r>
    <n v="4589"/>
    <s v="RIVER NARMADA AT D/S OF VILL. JAIT"/>
    <x v="10"/>
    <n v="15"/>
    <n v="26"/>
    <n v="6.2"/>
    <n v="12.2"/>
    <n v="7.6"/>
    <n v="8.4"/>
    <n v="214"/>
    <n v="3212"/>
    <n v="1"/>
    <n v="2"/>
    <n v="1.71"/>
    <n v="6.62"/>
    <n v="11"/>
    <n v="147"/>
    <n v="140"/>
    <n v="1301"/>
    <n v="2"/>
    <n v="2"/>
  </r>
  <r>
    <n v="4590"/>
    <s v="RIVER NARMADA AT UP-STREAM BEFORE_x000a_CONFLUENCE OF RIVER TAWA NEAR BANDRABHAN_x000a_DISTRICT SEHORE M.P."/>
    <x v="10"/>
    <n v="14"/>
    <n v="26"/>
    <n v="5.8"/>
    <n v="11"/>
    <n v="7.4"/>
    <n v="8.5"/>
    <n v="184"/>
    <n v="419"/>
    <n v="1"/>
    <n v="2.1"/>
    <n v="0.96"/>
    <n v="6.16"/>
    <n v="2"/>
    <n v="48"/>
    <n v="150"/>
    <n v="350"/>
    <n v="2"/>
    <n v="2"/>
  </r>
  <r>
    <n v="4591"/>
    <s v="RIVER NARMADA AT DOWN-STREAM AFTER_x000a_CONFLUENCE OF RIVER TAWA NEAR_x000a_RAMNAGAR,DISTRICT SEHORE (M.P.)"/>
    <x v="10"/>
    <n v="16"/>
    <n v="26"/>
    <n v="6"/>
    <n v="14.1"/>
    <n v="7.6"/>
    <n v="8.5"/>
    <n v="190"/>
    <n v="337"/>
    <n v="1"/>
    <n v="1.9"/>
    <n v="1.44"/>
    <n v="6.95"/>
    <n v="2"/>
    <n v="39"/>
    <n v="120"/>
    <n v="350"/>
    <n v="2"/>
    <n v="2"/>
  </r>
  <r>
    <n v="4592"/>
    <s v="RIVER NARMADA AT BUDHNIGHAT, BUDHNI DISTRICT_x000a_SEHORE( M.P.)"/>
    <x v="10"/>
    <n v="16"/>
    <n v="26"/>
    <n v="6.2"/>
    <n v="10.199999999999999"/>
    <n v="7.5"/>
    <n v="8.3000000000000007"/>
    <n v="184"/>
    <n v="3459"/>
    <n v="1"/>
    <n v="1.4"/>
    <n v="0.71"/>
    <n v="5.04"/>
    <n v="2"/>
    <n v="178"/>
    <n v="120"/>
    <n v="1400"/>
    <n v="2"/>
    <n v="2"/>
  </r>
  <r>
    <n v="4593"/>
    <s v="RIVER NARMADA AT DOWN-STREAM OF TEXTILE UNIT_x000a_VILLAGE. HOLIPURA BUDNI DISTRICT SEHORE (M.P.)"/>
    <x v="10"/>
    <n v="15"/>
    <n v="27"/>
    <n v="6"/>
    <n v="13.5"/>
    <n v="7.4"/>
    <n v="8.5"/>
    <n v="180"/>
    <n v="478"/>
    <n v="1"/>
    <n v="2"/>
    <n v="1.1599999999999999"/>
    <n v="4.92"/>
    <n v="2"/>
    <n v="39"/>
    <n v="110"/>
    <n v="350"/>
    <n v="2"/>
    <n v="2"/>
  </r>
  <r>
    <n v="4594"/>
    <s v="RIVER NARMADA AT BEFOR CONFLU. OF RIVER JAMNER_x000a_VILL. NEMAWAR"/>
    <x v="10"/>
    <n v="22"/>
    <n v="28"/>
    <n v="6.7"/>
    <n v="7.6"/>
    <n v="7.4"/>
    <n v="7.9"/>
    <n v="205"/>
    <n v="422"/>
    <n v="1.4"/>
    <n v="2"/>
    <n v="0.32"/>
    <n v="0.83"/>
    <n v="2"/>
    <n v="2"/>
    <n v="41"/>
    <n v="49"/>
    <n v="2"/>
    <n v="2"/>
  </r>
  <r>
    <n v="4596"/>
    <s v="RIVER NARMADA AT HANUWANTIA DIST. KHANDWA"/>
    <x v="10"/>
    <n v="20"/>
    <n v="21.5"/>
    <n v="7.3"/>
    <n v="7.8"/>
    <n v="7.7"/>
    <n v="8.6"/>
    <n v="211"/>
    <n v="311"/>
    <n v="1"/>
    <n v="7.4"/>
    <n v="0.64"/>
    <n v="1.1399999999999999"/>
    <n v="2"/>
    <n v="2"/>
    <n v="31"/>
    <n v="41"/>
    <m/>
    <m/>
  </r>
  <r>
    <n v="4597"/>
    <s v="RIVER NARMADA AT U/S OMKAREWHWAR DAM_x000a_KHANDWA"/>
    <x v="10"/>
    <n v="19.5"/>
    <n v="21.5"/>
    <n v="7.2"/>
    <n v="7.8"/>
    <n v="7.3"/>
    <n v="8.5"/>
    <n v="212"/>
    <n v="308"/>
    <n v="1"/>
    <n v="1.1000000000000001"/>
    <n v="0.74"/>
    <n v="2.2599999999999998"/>
    <n v="2"/>
    <n v="2"/>
    <n v="32"/>
    <n v="43"/>
    <m/>
    <m/>
  </r>
  <r>
    <n v="4598"/>
    <s v="RIVER NARMADA RIVER AT DHARESHWAR"/>
    <x v="10"/>
    <n v="19"/>
    <n v="21.5"/>
    <n v="7.2"/>
    <n v="7.8"/>
    <n v="7.6"/>
    <n v="8.6"/>
    <n v="205"/>
    <n v="329"/>
    <n v="1"/>
    <n v="1.1000000000000001"/>
    <n v="0.84"/>
    <n v="11.03"/>
    <n v="2"/>
    <n v="2"/>
    <n v="34"/>
    <n v="49"/>
    <m/>
    <m/>
  </r>
  <r>
    <n v="4599"/>
    <s v="RIVER NARMADA NEAR W/S INTAKE JALLOD"/>
    <x v="10"/>
    <n v="19.5"/>
    <n v="21.5"/>
    <n v="7.3"/>
    <n v="8"/>
    <n v="7.8"/>
    <n v="8.4"/>
    <n v="248"/>
    <n v="320"/>
    <n v="1"/>
    <n v="1.1000000000000001"/>
    <n v="0.71"/>
    <n v="1.1200000000000001"/>
    <n v="2"/>
    <n v="2"/>
    <n v="34"/>
    <n v="41"/>
    <m/>
    <m/>
  </r>
  <r>
    <n v="4600"/>
    <s v="RIVER NARMADA RIVER AT SHAHASTRADHARA_x000a_(JALKOTI)"/>
    <x v="10"/>
    <n v="19.5"/>
    <n v="21.5"/>
    <n v="7.2"/>
    <n v="8.1"/>
    <n v="7.7"/>
    <n v="8.6"/>
    <n v="209"/>
    <n v="330"/>
    <n v="1"/>
    <n v="1.2"/>
    <n v="0.73"/>
    <n v="1.91"/>
    <n v="2"/>
    <n v="2"/>
    <n v="38"/>
    <n v="47"/>
    <m/>
    <m/>
  </r>
  <r>
    <n v="4601"/>
    <s v="RIVER NARMADA AT KHALGHAT"/>
    <x v="10"/>
    <n v="19.5"/>
    <n v="22"/>
    <n v="7.4"/>
    <n v="7.8"/>
    <n v="7.8"/>
    <n v="8.6"/>
    <n v="215"/>
    <n v="337"/>
    <n v="1"/>
    <n v="1.2"/>
    <n v="0.02"/>
    <n v="1.18"/>
    <n v="2"/>
    <n v="2"/>
    <n v="34"/>
    <n v="43"/>
    <m/>
    <m/>
  </r>
  <r>
    <n v="4602"/>
    <s v="RIVER NARMADA RIVER AT SEMALDA U/S OF BARWANI"/>
    <x v="10"/>
    <n v="19"/>
    <n v="22"/>
    <n v="7.2"/>
    <n v="8"/>
    <n v="7.7"/>
    <n v="8.4"/>
    <n v="232"/>
    <n v="350"/>
    <n v="1"/>
    <n v="1.1000000000000001"/>
    <n v="0.71"/>
    <n v="1.1599999999999999"/>
    <n v="2"/>
    <n v="2"/>
    <n v="34"/>
    <n v="43"/>
    <m/>
    <m/>
  </r>
  <r>
    <n v="4603"/>
    <s v="RIVER NARMADA AT KOTESHWAR"/>
    <x v="10"/>
    <n v="19.5"/>
    <n v="22"/>
    <n v="6.9"/>
    <n v="7.8"/>
    <n v="7.6"/>
    <n v="8.5"/>
    <n v="255"/>
    <n v="392"/>
    <n v="1"/>
    <n v="1.1000000000000001"/>
    <n v="0.72"/>
    <n v="1.92"/>
    <n v="2"/>
    <n v="2"/>
    <n v="34"/>
    <n v="46"/>
    <m/>
    <m/>
  </r>
  <r>
    <n v="4605"/>
    <s v="RIVER NARMADA AT KAKRANA, INTERSTATE BOUNDRY,_x000a_ALIRAJPUR"/>
    <x v="10"/>
    <n v="19.5"/>
    <n v="22"/>
    <n v="7.2"/>
    <n v="7.7"/>
    <n v="7.6"/>
    <n v="8.5"/>
    <n v="250"/>
    <n v="358"/>
    <n v="1"/>
    <n v="1.2"/>
    <n v="0.74"/>
    <n v="2.12"/>
    <n v="2"/>
    <n v="2"/>
    <n v="34"/>
    <n v="48"/>
    <m/>
    <m/>
  </r>
  <r>
    <n v="30048"/>
    <s v="RIVER NARMADA AT NAVAGAM, NEAR GORA COLONY,_x000a_KEVADIA, GUJARAT (GUJARAT AND MADHYA PRADESH)"/>
    <x v="20"/>
    <n v="29"/>
    <n v="29"/>
    <n v="7.7"/>
    <n v="7.7"/>
    <n v="8.3000000000000007"/>
    <n v="8.3000000000000007"/>
    <n v="372"/>
    <n v="372"/>
    <n v="2.5"/>
    <n v="2.5"/>
    <n v="0.32"/>
    <n v="0.32"/>
    <n v="700"/>
    <n v="700"/>
    <n v="1100"/>
    <n v="1100"/>
    <m/>
    <m/>
  </r>
  <r>
    <n v="7"/>
    <s v="RIVER NARMADA AT GARUDESHWAR"/>
    <x v="20"/>
    <n v="27"/>
    <n v="34"/>
    <n v="7.3"/>
    <n v="8.4"/>
    <n v="8"/>
    <n v="8.4"/>
    <n v="190"/>
    <n v="419"/>
    <n v="1"/>
    <n v="1"/>
    <n v="0.32"/>
    <n v="0.83"/>
    <n v="2"/>
    <n v="23"/>
    <n v="20"/>
    <n v="94"/>
    <m/>
    <m/>
  </r>
  <r>
    <n v="1244"/>
    <s v="RIVER NARMADA AT PANETHA,"/>
    <x v="20"/>
    <n v="27"/>
    <n v="34"/>
    <n v="7.1"/>
    <n v="8.3000000000000007"/>
    <n v="8"/>
    <n v="8.4"/>
    <n v="200"/>
    <n v="363"/>
    <n v="1"/>
    <n v="1"/>
    <n v="0.32"/>
    <n v="0.85"/>
    <n v="2"/>
    <n v="21"/>
    <n v="26"/>
    <n v="46"/>
    <m/>
    <m/>
  </r>
  <r>
    <n v="1245"/>
    <s v="RIVER NARMADA AT CHANDOD,"/>
    <x v="20"/>
    <n v="26"/>
    <n v="28"/>
    <n v="7.3"/>
    <n v="8.6999999999999993"/>
    <n v="7.9"/>
    <n v="8.6999999999999993"/>
    <n v="298"/>
    <n v="426"/>
    <n v="1"/>
    <n v="1"/>
    <n v="1.1599999999999999"/>
    <n v="1.36"/>
    <n v="9"/>
    <n v="50"/>
    <n v="34"/>
    <n v="140"/>
    <m/>
    <m/>
  </r>
  <r>
    <n v="1981"/>
    <s v="RIVER NARMADA AT ZANOR (NTPC), BHARUCHRIVER_x000a_NARMADA AT ZANOR (NTPC), BHARUCH"/>
    <x v="20"/>
    <n v="25"/>
    <n v="30"/>
    <n v="7"/>
    <n v="8.4"/>
    <n v="7.7"/>
    <n v="8.5"/>
    <n v="282"/>
    <n v="518"/>
    <n v="1"/>
    <n v="1"/>
    <n v="0.3"/>
    <n v="0.3"/>
    <n v="13"/>
    <n v="78"/>
    <n v="46"/>
    <n v="140"/>
    <n v="2"/>
    <n v="21"/>
  </r>
  <r>
    <n v="1243"/>
    <s v="RIVER NARMADA AT BHARUCH, ZADESHVAR,"/>
    <x v="20"/>
    <n v="25"/>
    <n v="30"/>
    <n v="6.3"/>
    <n v="8.3000000000000007"/>
    <n v="7.9"/>
    <n v="8.5"/>
    <n v="270"/>
    <n v="770"/>
    <n v="1"/>
    <n v="1"/>
    <n v="0.3"/>
    <n v="0.3"/>
    <n v="39"/>
    <n v="170"/>
    <n v="140"/>
    <n v="340"/>
    <n v="11"/>
    <n v="40"/>
  </r>
  <r>
    <n v="1236"/>
    <s v="RIVER CHOTA TAWA BEFORE CONFL. WITH RIVER_x000a_NARMADA, M.P."/>
    <x v="10"/>
    <n v="20"/>
    <n v="21"/>
    <n v="7.3"/>
    <n v="7.7"/>
    <n v="7.6"/>
    <n v="8.6"/>
    <n v="322"/>
    <n v="514"/>
    <n v="1"/>
    <n v="1.2"/>
    <n v="0.79"/>
    <n v="1.28"/>
    <n v="2"/>
    <n v="2"/>
    <n v="36"/>
    <n v="58"/>
    <m/>
    <m/>
  </r>
  <r>
    <n v="2100"/>
    <s v="RIVER GOUR NEAR BHOGDWAR WSS INTAKE POINT,_x000a_JABALPUR"/>
    <x v="10"/>
    <n v="21.1"/>
    <n v="24.6"/>
    <n v="7.5"/>
    <n v="7.7"/>
    <n v="7.2"/>
    <n v="7.8"/>
    <n v="267"/>
    <n v="394"/>
    <n v="1.2"/>
    <n v="1.6"/>
    <n v="0.12"/>
    <n v="3.95"/>
    <n v="2"/>
    <n v="23"/>
    <n v="32"/>
    <n v="93"/>
    <m/>
    <m/>
  </r>
  <r>
    <n v="2114"/>
    <s v="RIVER KUNDA AT KHARGONE"/>
    <x v="10"/>
    <n v="20"/>
    <n v="22"/>
    <n v="1.9"/>
    <n v="7.7"/>
    <n v="7.7"/>
    <n v="8.6"/>
    <n v="310"/>
    <n v="1165"/>
    <n v="1"/>
    <n v="10"/>
    <n v="1.08"/>
    <n v="3.3"/>
    <n v="2"/>
    <n v="40"/>
    <n v="49"/>
    <n v="920"/>
    <n v="2"/>
    <n v="8"/>
  </r>
  <r>
    <n v="3305"/>
    <s v="RIVER BANJAR AT MALANJKHAND NEAR W/S INTAKE_x000a_POINT, JABALPUR"/>
    <x v="10"/>
    <n v="20.2"/>
    <n v="24.3"/>
    <n v="7"/>
    <n v="7.8"/>
    <n v="7.3"/>
    <n v="8.1"/>
    <n v="275"/>
    <n v="523"/>
    <n v="1.2"/>
    <n v="2"/>
    <n v="0.22"/>
    <n v="1.34"/>
    <n v="2"/>
    <n v="10"/>
    <n v="17"/>
    <n v="49"/>
    <m/>
    <m/>
  </r>
  <r>
    <n v="3828"/>
    <s v="RIVER HIRAN, NH 7 ROAD BRIDGE, SIHORA, DIST_x000a_JABALPUR"/>
    <x v="10"/>
    <n v="20.100000000000001"/>
    <n v="24.2"/>
    <n v="6.3"/>
    <n v="7.8"/>
    <n v="7.4"/>
    <n v="8"/>
    <n v="228"/>
    <n v="713"/>
    <n v="1.2"/>
    <n v="2.2000000000000002"/>
    <n v="0.14000000000000001"/>
    <n v="1.6"/>
    <n v="2"/>
    <n v="9"/>
    <n v="17"/>
    <n v="48"/>
    <m/>
    <m/>
  </r>
  <r>
    <n v="3829"/>
    <s v="RIVER HIRAN, NH -12 ROAD BRIDGE VIL VIKRAMPUR_x000a_,DIST NARSINGPUR"/>
    <x v="10"/>
    <n v="20.9"/>
    <n v="24.6"/>
    <n v="6.3"/>
    <n v="7.9"/>
    <n v="7.1"/>
    <n v="8.1"/>
    <n v="208"/>
    <n v="641"/>
    <n v="1.2"/>
    <n v="2"/>
    <n v="0.27"/>
    <n v="1.44"/>
    <n v="2"/>
    <n v="6"/>
    <n v="10"/>
    <n v="70"/>
    <m/>
    <m/>
  </r>
  <r>
    <n v="4613"/>
    <s v="RIVER HIRAN AFTER MIXING PARIYAT RIVER NEAR_x000a_ROAD BRIDGE AT VILL GANIYARI, JABALPUR"/>
    <x v="10"/>
    <n v="20.3"/>
    <n v="25"/>
    <n v="5.7"/>
    <n v="7.9"/>
    <n v="6.4"/>
    <n v="7.9"/>
    <n v="290"/>
    <n v="10850"/>
    <n v="1.8"/>
    <n v="12"/>
    <n v="0.28999999999999998"/>
    <n v="1.6"/>
    <n v="2"/>
    <n v="14"/>
    <n v="17"/>
    <n v="540"/>
    <m/>
    <m/>
  </r>
  <r>
    <n v="4616"/>
    <s v="RIVER BANJAR RIVER NEAR ROAD BRIDGE, VILL._x000a_KHARRADHAR MALANJKHAND."/>
    <x v="10"/>
    <n v="20.399999999999999"/>
    <n v="24.5"/>
    <n v="7.1"/>
    <n v="7.9"/>
    <n v="7.3"/>
    <n v="8.1"/>
    <n v="278"/>
    <n v="497"/>
    <n v="1"/>
    <n v="1.9"/>
    <n v="0.21"/>
    <n v="1.34"/>
    <n v="2"/>
    <n v="12"/>
    <n v="11"/>
    <n v="47"/>
    <m/>
    <m/>
  </r>
  <r>
    <n v="4617"/>
    <s v="RIVER WAINGANGA RIVER NEAR VILL. BUDUNDA_x000a_MALANJKHAND, DISTT BALAGHAT"/>
    <x v="10"/>
    <n v="20.3"/>
    <n v="24.3"/>
    <n v="7.2"/>
    <n v="7.6"/>
    <n v="7.2"/>
    <n v="7.8"/>
    <n v="270"/>
    <n v="521"/>
    <n v="1"/>
    <n v="1.9"/>
    <n v="0.25"/>
    <n v="1.34"/>
    <n v="2"/>
    <n v="10"/>
    <n v="11"/>
    <n v="47"/>
    <m/>
    <m/>
  </r>
  <r>
    <n v="9"/>
    <s v="RIVER TAPI AT NEPANAGAR"/>
    <x v="10"/>
    <n v="20"/>
    <n v="22"/>
    <n v="6.9"/>
    <n v="7.8"/>
    <n v="7.7"/>
    <n v="8.5"/>
    <n v="194"/>
    <n v="592"/>
    <n v="1"/>
    <n v="1.6"/>
    <n v="0.51"/>
    <n v="1.36"/>
    <n v="2"/>
    <n v="2"/>
    <n v="40"/>
    <n v="89"/>
    <m/>
    <m/>
  </r>
  <r>
    <n v="10"/>
    <s v="RIVER TAPI AT BURHANPUR"/>
    <x v="10"/>
    <n v="20"/>
    <n v="22"/>
    <n v="6.6"/>
    <n v="7.9"/>
    <n v="7.8"/>
    <n v="8.9"/>
    <n v="246"/>
    <n v="1043"/>
    <n v="1"/>
    <n v="3"/>
    <n v="0.71"/>
    <n v="1.38"/>
    <n v="2"/>
    <n v="4"/>
    <n v="49"/>
    <n v="210"/>
    <m/>
    <m/>
  </r>
  <r>
    <n v="1250"/>
    <s v="RIVER TAPI AT HATNUR M.P."/>
    <x v="10"/>
    <n v="20"/>
    <n v="22"/>
    <n v="4.5999999999999996"/>
    <n v="7.6"/>
    <n v="7.7"/>
    <n v="8.6"/>
    <n v="220"/>
    <n v="1195"/>
    <n v="1"/>
    <n v="3"/>
    <n v="0.44"/>
    <n v="49.01"/>
    <n v="2"/>
    <n v="2"/>
    <n v="2"/>
    <n v="350"/>
    <n v="2"/>
    <n v="2"/>
  </r>
  <r>
    <n v="1466"/>
    <s v="RIVER TAPI AT VILLAGE KHEDI, NEAR AMARAWATI ROAD_x000a_BRIDGE , BETUL"/>
    <x v="10"/>
    <n v="16"/>
    <n v="31"/>
    <n v="7.1"/>
    <n v="7.7"/>
    <n v="7.1"/>
    <n v="8.1"/>
    <n v="284"/>
    <n v="774"/>
    <n v="1.4"/>
    <n v="2"/>
    <n v="0.48"/>
    <n v="5.04"/>
    <n v="2"/>
    <n v="7"/>
    <n v="10"/>
    <n v="120"/>
    <m/>
    <m/>
  </r>
  <r>
    <n v="46"/>
    <s v="RIVER TAPI AT UKAI, SHERULA BRIDGE"/>
    <x v="20"/>
    <n v="27"/>
    <n v="30"/>
    <n v="6.6"/>
    <n v="8"/>
    <n v="7.2"/>
    <n v="8.5"/>
    <n v="295"/>
    <n v="537"/>
    <n v="1"/>
    <n v="1.9"/>
    <n v="0.32"/>
    <n v="1.1399999999999999"/>
    <n v="2"/>
    <n v="6"/>
    <n v="4"/>
    <n v="26"/>
    <m/>
    <m/>
  </r>
  <r>
    <n v="1247"/>
    <s v="RIVER TAPI AT MANDAVI,"/>
    <x v="20"/>
    <n v="18"/>
    <n v="32"/>
    <n v="7"/>
    <n v="7.7"/>
    <n v="6.9"/>
    <n v="8.5"/>
    <n v="337"/>
    <n v="600"/>
    <n v="1"/>
    <n v="2"/>
    <n v="0.3"/>
    <n v="0.52"/>
    <n v="2"/>
    <n v="4"/>
    <n v="4"/>
    <n v="17"/>
    <n v="2"/>
    <n v="2"/>
  </r>
  <r>
    <n v="1983"/>
    <s v="RIVER TAPI NEAR BARDOLI (KAPP BRIDGE)_x000a_BARDOLIKAKRAPAR,SURAT"/>
    <x v="20"/>
    <n v="20"/>
    <n v="30"/>
    <n v="7"/>
    <n v="7.6"/>
    <n v="6.8"/>
    <n v="8.5"/>
    <n v="348"/>
    <n v="535"/>
    <n v="1"/>
    <n v="1.9"/>
    <n v="0.3"/>
    <n v="6"/>
    <n v="2"/>
    <n v="2"/>
    <n v="2"/>
    <n v="113"/>
    <n v="2"/>
    <n v="2"/>
  </r>
  <r>
    <n v="47"/>
    <s v="RIVER TAPI AT KATHORE, (NH-8 BRIDGE)RIVER TAPI AT_x000a_KATHORE, (NH-8 BRIDGE) U/S OF SURAT CITY"/>
    <x v="20"/>
    <n v="18"/>
    <n v="31"/>
    <n v="7.1"/>
    <n v="8"/>
    <n v="6.8"/>
    <n v="8.5"/>
    <n v="404"/>
    <n v="4723"/>
    <n v="1"/>
    <n v="1.9"/>
    <n v="0.3"/>
    <n v="0.3"/>
    <n v="6"/>
    <n v="21"/>
    <n v="24"/>
    <n v="58"/>
    <n v="2"/>
    <n v="6"/>
  </r>
  <r>
    <n v="1248"/>
    <s v="RIVER TAPI AT SURAT U/S KATHORE,RIVER TAPI NEAR_x000a_LIMDESHWAR MAHDEV AT KATHOR"/>
    <x v="20"/>
    <n v="18"/>
    <n v="31"/>
    <n v="7"/>
    <n v="8"/>
    <n v="6.7"/>
    <n v="8.5"/>
    <n v="406"/>
    <n v="775"/>
    <n v="1"/>
    <n v="2.4"/>
    <n v="0.3"/>
    <n v="0.84"/>
    <n v="10"/>
    <n v="14"/>
    <n v="25"/>
    <n v="58"/>
    <n v="2"/>
    <n v="2"/>
  </r>
  <r>
    <n v="1982"/>
    <s v="RIVER TAPI AT RANDER BRIDGE, SURATRANDER,SURAT"/>
    <x v="20"/>
    <n v="22"/>
    <n v="31"/>
    <n v="6.9"/>
    <n v="7.4"/>
    <n v="7.1"/>
    <n v="8.5"/>
    <n v="418"/>
    <n v="6192"/>
    <n v="1"/>
    <n v="2.6"/>
    <n v="0.3"/>
    <n v="0.3"/>
    <n v="6"/>
    <n v="17"/>
    <n v="17"/>
    <n v="58"/>
    <n v="2"/>
    <n v="2"/>
  </r>
  <r>
    <n v="2071"/>
    <s v="RIVER TAPI AT ONGC BRIDGE AT SURAT, DIST._x000a_SURATHAZIRA,SURAT"/>
    <x v="20"/>
    <n v="24"/>
    <n v="32"/>
    <n v="5.5"/>
    <n v="7"/>
    <n v="6.7"/>
    <n v="8.3000000000000007"/>
    <n v="5908"/>
    <n v="53650"/>
    <n v="1.6"/>
    <n v="2.5"/>
    <n v="0.3"/>
    <n v="0.3"/>
    <n v="6"/>
    <n v="14"/>
    <n v="27"/>
    <n v="48"/>
    <n v="2"/>
    <n v="2"/>
  </r>
  <r>
    <n v="30045"/>
    <s v="RIVER TAPI AT KUKURMUNDA BRIDGE, NIZHAR ROAD,_x000a_NEAR VILLAGE KUKURMUNDA, GUJARAT_x000a_(MAHARASHTRA AND GUJARAT)"/>
    <x v="20"/>
    <n v="23"/>
    <n v="23"/>
    <n v="8.1999999999999993"/>
    <n v="8.1999999999999993"/>
    <n v="8"/>
    <n v="8"/>
    <n v="500"/>
    <n v="500"/>
    <n v="1"/>
    <n v="1"/>
    <n v="1.1100000000000001"/>
    <n v="1.1100000000000001"/>
    <n v="1200"/>
    <n v="1200"/>
    <n v="1700"/>
    <n v="1700"/>
    <m/>
    <m/>
  </r>
  <r>
    <n v="30044"/>
    <s v="RIVER TAPI AT PRAKASHA, (MAHARASHTRA)"/>
    <x v="21"/>
    <n v="22"/>
    <n v="22"/>
    <n v="4.8"/>
    <n v="4.8"/>
    <n v="8.1"/>
    <n v="8.1"/>
    <n v="364"/>
    <n v="364"/>
    <n v="9.6"/>
    <n v="9.6"/>
    <n v="1.08"/>
    <n v="1.08"/>
    <n v="70"/>
    <n v="70"/>
    <n v="550"/>
    <n v="550"/>
    <n v="25"/>
    <n v="25"/>
  </r>
  <r>
    <n v="30043"/>
    <s v="RIVER TAPI AT AJNAD, (MAHARASHTRA)"/>
    <x v="21"/>
    <n v="22"/>
    <n v="22"/>
    <n v="5"/>
    <n v="5"/>
    <n v="8.1999999999999993"/>
    <n v="8.1999999999999993"/>
    <n v="436"/>
    <n v="436"/>
    <n v="6.2"/>
    <n v="6.2"/>
    <n v="2.4500000000000002"/>
    <n v="2.4500000000000002"/>
    <n v="25"/>
    <n v="25"/>
    <n v="275"/>
    <n v="275"/>
    <n v="13"/>
    <n v="13"/>
  </r>
  <r>
    <n v="1251"/>
    <s v="RIVER TAPI AT U/S, BHUSAWAL,VILLAGE. BHUSAWAL_x000a_RAILWAY COLONY, TALUKA. BHUSAWAL, DISTRICT._x000a_JALGAON."/>
    <x v="21"/>
    <n v="22"/>
    <n v="24"/>
    <n v="5.0999999999999996"/>
    <n v="7.3"/>
    <n v="7.4"/>
    <n v="8"/>
    <n v="236"/>
    <n v="8065"/>
    <n v="2.4"/>
    <n v="4"/>
    <n v="0.39"/>
    <n v="3.42"/>
    <n v="2"/>
    <n v="6"/>
    <n v="35"/>
    <n v="58"/>
    <n v="2"/>
    <n v="4"/>
  </r>
  <r>
    <n v="1313"/>
    <s v="RIVER TAPI AT AJNAD VILLAGE, VILLAGE.AJNAD ,_x000a_TALUKA. RAVER, DISTRICT.JALGAON."/>
    <x v="21"/>
    <n v="22"/>
    <n v="25"/>
    <n v="5.6"/>
    <n v="7.1"/>
    <n v="7.3"/>
    <n v="7.9"/>
    <n v="181"/>
    <n v="5544"/>
    <n v="2.8"/>
    <n v="3.8"/>
    <n v="0.79"/>
    <n v="4.78"/>
    <n v="2"/>
    <n v="4"/>
    <n v="34"/>
    <n v="55"/>
    <n v="2"/>
    <n v="4"/>
  </r>
  <r>
    <n v="1314"/>
    <s v="RIVER TAPI AT UBAD VILLAGE NEAR GUJRATBORDER,_x000a_VILLAGE. UBAD, TALUKA. SHAHADA, DISTRICT._x000a_NANDURBAR."/>
    <x v="21"/>
    <n v="16"/>
    <n v="26"/>
    <n v="5.5"/>
    <n v="7.3"/>
    <n v="7.4"/>
    <n v="7.9"/>
    <n v="356"/>
    <n v="1001"/>
    <n v="2.6"/>
    <n v="3.8"/>
    <n v="1.22"/>
    <n v="4.0999999999999996"/>
    <n v="2"/>
    <n v="6"/>
    <n v="40"/>
    <n v="58"/>
    <n v="2"/>
    <n v="6"/>
  </r>
  <r>
    <n v="3203"/>
    <s v="RIVER AMRAVATI AT VILLAGE DADHAL , TA_x000a_ANKLESHWAR, BHARUCHNR RAILWAY BRIDGE, AT_x000a_VILLAGE DHADHAL , TA: ANKLESHWAR, DIST BHARUCH"/>
    <x v="20"/>
    <n v="27"/>
    <n v="34"/>
    <n v="4.5999999999999996"/>
    <n v="7.3"/>
    <n v="6.8"/>
    <n v="8.3000000000000007"/>
    <n v="417"/>
    <n v="2517"/>
    <n v="1.1000000000000001"/>
    <n v="2.9"/>
    <n v="0.36"/>
    <n v="2.12"/>
    <n v="27"/>
    <n v="79"/>
    <n v="110"/>
    <n v="280"/>
    <m/>
    <m/>
  </r>
  <r>
    <n v="2666"/>
    <s v="RIVER GOMAI D/S. OF SHAHADA, VILLAGE-SHAHADA,TALUKA- DHULE,DISTRICT- DHULE."/>
    <x v="21"/>
    <n v="17"/>
    <n v="22"/>
    <n v="5.7"/>
    <n v="7"/>
    <n v="7.5"/>
    <n v="7.9"/>
    <n v="413"/>
    <n v="4899"/>
    <n v="2.8"/>
    <n v="4"/>
    <n v="1.73"/>
    <n v="2.71"/>
    <n v="4"/>
    <n v="8"/>
    <n v="45"/>
    <n v="68"/>
    <n v="2"/>
    <n v="2"/>
  </r>
  <r>
    <n v="2659"/>
    <s v="RIVER BURAI BEFORE CONFLUENCE TO TAPI RIVER,_x000a_VILLAGE- MUKUDAS, TALUKA- DHULE, DISTRICT- DHULE."/>
    <x v="21"/>
    <n v="16"/>
    <n v="16"/>
    <n v="5.9"/>
    <n v="5.9"/>
    <n v="7.4"/>
    <n v="7.4"/>
    <n v="411"/>
    <n v="411"/>
    <n v="3.2"/>
    <n v="3.2"/>
    <n v="2.64"/>
    <n v="2.64"/>
    <n v="4"/>
    <n v="4"/>
    <n v="45"/>
    <n v="45"/>
    <n v="2"/>
    <n v="2"/>
  </r>
  <r>
    <n v="2070"/>
    <s v="RIVER KIM AT SAHOL BRIDGE, OLPAD HANSOT ROAD,_x000a_DIST. SURATSAHOL, OLPAD HANSOT ROAD, SAHOL_x000a_BRIDGE,SURAT"/>
    <x v="20"/>
    <n v="23"/>
    <n v="32"/>
    <n v="5"/>
    <n v="7.1"/>
    <n v="6.8"/>
    <n v="8.5"/>
    <n v="712"/>
    <n v="3881"/>
    <n v="1.5"/>
    <n v="2.8"/>
    <n v="0.3"/>
    <n v="0.3"/>
    <n v="6"/>
    <n v="34"/>
    <n v="17"/>
    <n v="140"/>
    <n v="2"/>
    <n v="2"/>
  </r>
  <r>
    <n v="2127"/>
    <s v="RIVER DENWA NEAR SARNI, ROAD BRIDGE"/>
    <x v="10"/>
    <n v="18"/>
    <n v="30"/>
    <n v="7.1"/>
    <n v="7.6"/>
    <n v="7.1"/>
    <n v="8.1"/>
    <n v="288"/>
    <n v="716"/>
    <n v="1.6"/>
    <n v="2"/>
    <n v="0.47"/>
    <n v="2.66"/>
    <n v="2"/>
    <n v="4"/>
    <n v="20"/>
    <n v="70"/>
    <m/>
    <m/>
  </r>
  <r>
    <n v="1252"/>
    <s v="RIVER GIRNA AT JALGAON AT INTAKE OF GIRNA PUMP_x000a_HUOSE, VILLAGE- GIRNA PUMP HOUSE AREA, TALUKA-JALGAON, DISTRICT- JALGAON."/>
    <x v="21"/>
    <n v="20"/>
    <n v="22"/>
    <n v="6.2"/>
    <n v="6.2"/>
    <n v="7.3"/>
    <n v="7.9"/>
    <n v="556"/>
    <n v="686"/>
    <n v="3"/>
    <n v="3"/>
    <n v="2.82"/>
    <n v="3.95"/>
    <n v="4"/>
    <n v="4"/>
    <n v="40"/>
    <n v="46"/>
    <n v="2"/>
    <n v="2"/>
  </r>
  <r>
    <n v="1253"/>
    <s v="RIVER GIRNA AT MALEGAON ROAD BRIDGE, VILLAGE._x000a_MALEGAON, TALUKA. MALEGAON, DISTRICT. NASHIK."/>
    <x v="21"/>
    <n v="28"/>
    <n v="28"/>
    <n v="5.9"/>
    <n v="7.2"/>
    <n v="7.7"/>
    <n v="7.7"/>
    <n v="181"/>
    <n v="502"/>
    <n v="3"/>
    <n v="3.4"/>
    <n v="0.59"/>
    <n v="0.6"/>
    <n v="4"/>
    <n v="6"/>
    <n v="45"/>
    <n v="68"/>
    <n v="2"/>
    <n v="2"/>
  </r>
  <r>
    <n v="1907"/>
    <s v="RIVER RANGAVALI AT D/S OF NAVAPUR NEAR_x000a_RANGAVALI BRIDGE, VILLAGE- NAVAPUR, TALUKA-NAVAPUR, DISTRICT- NANDURBAR."/>
    <x v="21"/>
    <n v="18"/>
    <n v="22"/>
    <n v="5.2"/>
    <n v="6.8"/>
    <n v="7.3"/>
    <n v="7.9"/>
    <n v="295"/>
    <n v="1284"/>
    <n v="2.8"/>
    <n v="4"/>
    <n v="2.29"/>
    <n v="3.42"/>
    <n v="4"/>
    <n v="8"/>
    <n v="45"/>
    <n v="85"/>
    <n v="2"/>
    <n v="2"/>
  </r>
  <r>
    <n v="2674"/>
    <s v="RIVER MOR NEAR PADALASHE, VILLAGE-PADALASHE,TALUKA- JALGAON, DISTRICT- JALGAON."/>
    <x v="21"/>
    <n v="24"/>
    <n v="24"/>
    <n v="5.7"/>
    <n v="5.7"/>
    <n v="7.7"/>
    <n v="7.7"/>
    <n v="245"/>
    <n v="245"/>
    <n v="3.8"/>
    <n v="3.8"/>
    <n v="2.42"/>
    <n v="2.42"/>
    <n v="4"/>
    <n v="4"/>
    <n v="58"/>
    <n v="58"/>
    <n v="2"/>
    <n v="2"/>
  </r>
  <r>
    <n v="2718"/>
    <s v="RIVER WAGHUR AT- SAKEGAON BEFORE CONFLUENCE_x000a_WITH TAPI RIVER, VILLAGE- SAKEGAON, TALUKA-JALGAON, DISTRICT- JALGAON."/>
    <x v="21"/>
    <n v="20"/>
    <n v="25"/>
    <n v="5.8"/>
    <n v="7.4"/>
    <n v="7.9"/>
    <n v="7.9"/>
    <n v="555"/>
    <n v="6174"/>
    <n v="3"/>
    <n v="3.4"/>
    <n v="0.36"/>
    <n v="3.12"/>
    <n v="4"/>
    <n v="4"/>
    <n v="40"/>
    <n v="68"/>
    <n v="2"/>
    <n v="2"/>
  </r>
  <r>
    <n v="2684"/>
    <s v="RIVER PANZARA NEAR PANZARAKAN SSK LTD, VILLAGE-PANZARA,TALUKA- DHULE, DISTRICT- DHULE."/>
    <x v="21"/>
    <n v="16"/>
    <n v="20"/>
    <n v="5.9"/>
    <n v="7.1"/>
    <n v="7.7"/>
    <n v="7.8"/>
    <n v="336"/>
    <n v="1340"/>
    <n v="2.8"/>
    <n v="3.2"/>
    <n v="1.84"/>
    <n v="2.58"/>
    <n v="4"/>
    <n v="6"/>
    <n v="40"/>
    <n v="68"/>
    <n v="2"/>
    <n v="2"/>
  </r>
  <r>
    <n v="1913"/>
    <s v="RIVER PURNA AT DHUPESHWAR AT U/S OF MALKAPUR_x000a_WATER WORKS, MALKAPUR, DIST.AKOLA"/>
    <x v="21"/>
    <n v="22"/>
    <n v="26"/>
    <n v="5.4"/>
    <n v="6.3"/>
    <n v="7.8"/>
    <n v="8.3000000000000007"/>
    <n v="715"/>
    <n v="1139"/>
    <n v="3"/>
    <n v="4.5"/>
    <n v="0.32"/>
    <n v="6.46"/>
    <n v="13"/>
    <n v="43"/>
    <n v="110"/>
    <n v="220"/>
    <n v="2"/>
    <n v="2"/>
  </r>
  <r>
    <n v="2155"/>
    <s v="RIVER PURNA AT D/S OF CONFLUENCE OF MORNA &amp;_x000a_PURNA RIVER AT ANDURA VILLAGE, VILLAGE-ANDURA,_x000a_TALUKA- BALAPUR, DISTRICT - AKOLA."/>
    <x v="21"/>
    <n v="22"/>
    <n v="27"/>
    <n v="5.3"/>
    <n v="6"/>
    <n v="7.9"/>
    <n v="8.3000000000000007"/>
    <n v="872"/>
    <n v="1216"/>
    <n v="3.2"/>
    <n v="4.8"/>
    <n v="0.32"/>
    <n v="8.5399999999999991"/>
    <n v="17"/>
    <n v="41"/>
    <n v="120"/>
    <n v="280"/>
    <n v="2"/>
    <n v="2"/>
  </r>
  <r>
    <n v="2695"/>
    <s v="RIVER PEDHI NEAR ROAD BRIDGE AT DADHI- PEDHI_x000a_VILLAGE, VILLAGE- DADHI- PEDHI, TALUKA- BHATKULI,_x000a_DISTRICT- AMRAVATI."/>
    <x v="21"/>
    <n v="20"/>
    <n v="20"/>
    <n v="3"/>
    <n v="5.8"/>
    <n v="7.8"/>
    <n v="8.4"/>
    <n v="710"/>
    <n v="2025"/>
    <n v="3.2"/>
    <n v="7"/>
    <n v="0"/>
    <n v="7.1"/>
    <n v="17"/>
    <n v="33"/>
    <n v="110"/>
    <n v="240"/>
    <n v="2"/>
    <n v="2"/>
  </r>
  <r>
    <n v="2700"/>
    <s v="RIVER PURNA NEAR ACHALPUR- AMRAVATI ROAD_x000a_BRIDGE, VILLAGE- ASEGAON,TALUKA- CHANDUR_x000a_BAZAR, DISTRICT- AMRAVATI."/>
    <x v="21"/>
    <n v="20"/>
    <n v="20"/>
    <n v="5.0999999999999996"/>
    <n v="6.2"/>
    <n v="7.8"/>
    <n v="8.5"/>
    <n v="776"/>
    <n v="6920"/>
    <n v="3.2"/>
    <n v="3.8"/>
    <n v="0"/>
    <n v="2.7"/>
    <n v="21"/>
    <n v="47"/>
    <n v="110"/>
    <n v="280"/>
    <n v="2"/>
    <n v="2"/>
  </r>
  <r>
    <n v="3888"/>
    <s v="RIVER MAHANADI AT POWER CHANNEL U/S NEAR_x000a_BURLA"/>
    <x v="22"/>
    <n v="23"/>
    <n v="30"/>
    <n v="6"/>
    <n v="7.8"/>
    <n v="7.1"/>
    <n v="8"/>
    <n v="162"/>
    <n v="246"/>
    <n v="1.1000000000000001"/>
    <n v="2"/>
    <n v="0.32"/>
    <n v="0.77"/>
    <n v="23"/>
    <n v="1300"/>
    <n v="79"/>
    <n v="3300"/>
    <m/>
    <m/>
  </r>
  <r>
    <n v="3890"/>
    <s v="RIVER MAHANADI AT CUTTACK FD/S AT_x000a_GATIRAUTAPATNA"/>
    <x v="22"/>
    <n v="20"/>
    <n v="32"/>
    <n v="6.4"/>
    <n v="8.5"/>
    <n v="7.1"/>
    <n v="8.4"/>
    <n v="167"/>
    <n v="248"/>
    <n v="1.5"/>
    <n v="2"/>
    <n v="0.32"/>
    <n v="0.95"/>
    <n v="330"/>
    <n v="13000"/>
    <n v="1700"/>
    <n v="54000"/>
    <n v="5"/>
    <n v="130"/>
  </r>
  <r>
    <n v="2407"/>
    <s v="RIVER MAHANADI AT PARADEEP U/S (BEFORE_x000a_INDUSTRIAL ACTIVITY AT PARADEEP)"/>
    <x v="22"/>
    <n v="24.5"/>
    <n v="33.4"/>
    <n v="6"/>
    <n v="8.6"/>
    <n v="7.2"/>
    <n v="8.1999999999999993"/>
    <n v="158"/>
    <n v="22980"/>
    <n v="1.1000000000000001"/>
    <n v="1.4"/>
    <n v="0.32"/>
    <n v="0.88"/>
    <n v="2"/>
    <n v="1300"/>
    <n v="2"/>
    <n v="3300"/>
    <n v="2"/>
    <n v="33"/>
  </r>
  <r>
    <n v="1639"/>
    <s v="RIVER MAHANADI AT PARADEEP D/S"/>
    <x v="22"/>
    <n v="24.4"/>
    <n v="33"/>
    <n v="5.4"/>
    <n v="8.4"/>
    <n v="7.1"/>
    <n v="8.4"/>
    <n v="210"/>
    <n v="35410"/>
    <n v="1.4"/>
    <n v="2.2000000000000002"/>
    <n v="0.32"/>
    <n v="2.48"/>
    <n v="2"/>
    <n v="1700"/>
    <n v="2"/>
    <n v="4900"/>
    <n v="2"/>
    <n v="49"/>
  </r>
  <r>
    <n v="1107"/>
    <s v="RIVER SEONATH AT U/S RAJNANDGAON, CHHATISGARH."/>
    <x v="23"/>
    <n v="2.6"/>
    <n v="29"/>
    <n v="6.8"/>
    <n v="7.4"/>
    <n v="7.3"/>
    <n v="7.6"/>
    <n v="142"/>
    <n v="492"/>
    <n v="1.2"/>
    <n v="2.8"/>
    <n v="0.32"/>
    <n v="0.8"/>
    <m/>
    <m/>
    <n v="64"/>
    <n v="1100"/>
    <m/>
    <m/>
  </r>
  <r>
    <n v="1266"/>
    <s v="RIVER SEONATH AT SHIMGA NEAR ROAD BRIDGE"/>
    <x v="23"/>
    <n v="19"/>
    <n v="29"/>
    <n v="6.5"/>
    <n v="7.2"/>
    <n v="7.2"/>
    <n v="7.9"/>
    <n v="220"/>
    <n v="574"/>
    <n v="2.1"/>
    <n v="2.6"/>
    <n v="0"/>
    <n v="0"/>
    <m/>
    <m/>
    <n v="50"/>
    <n v="70"/>
    <m/>
    <m/>
  </r>
  <r>
    <n v="1845"/>
    <s v="RIVER SEONATH WATER SUPPLY WELL, DURG,_x000a_CHHATISGARH."/>
    <x v="23"/>
    <n v="2.6"/>
    <n v="29"/>
    <n v="6.4"/>
    <n v="7.6"/>
    <n v="7.4"/>
    <n v="7.6"/>
    <n v="189"/>
    <n v="498"/>
    <n v="1.2"/>
    <n v="2.4"/>
    <n v="0"/>
    <n v="0.8"/>
    <m/>
    <m/>
    <n v="9"/>
    <n v="1100"/>
    <m/>
    <m/>
  </r>
  <r>
    <n v="3166"/>
    <s v="RIVER SEONATH AT JHINGHRI VILLAGE, A/C OF SAMODA_x000a_NALLA, CHHATISGARH."/>
    <x v="23"/>
    <n v="24"/>
    <n v="29"/>
    <n v="2.2000000000000002"/>
    <n v="7.2"/>
    <n v="7.2"/>
    <n v="7.9"/>
    <n v="419"/>
    <n v="518"/>
    <n v="2"/>
    <n v="28"/>
    <n v="0.48"/>
    <n v="1.05"/>
    <n v="560"/>
    <n v="560"/>
    <n v="240"/>
    <n v="1100"/>
    <m/>
    <m/>
  </r>
  <r>
    <n v="3167"/>
    <s v="RIVER SEONATH AT MOHAD, RAJNANDGAON"/>
    <x v="23"/>
    <n v="2.6"/>
    <n v="29"/>
    <n v="6.8"/>
    <n v="7.4"/>
    <n v="7.3"/>
    <n v="7.6"/>
    <n v="94"/>
    <n v="504"/>
    <n v="1.4"/>
    <n v="2.8"/>
    <n v="0.32"/>
    <n v="1.1000000000000001"/>
    <m/>
    <m/>
    <n v="93"/>
    <n v="1100"/>
    <m/>
    <m/>
  </r>
  <r>
    <n v="2403"/>
    <s v="RIVER BHEDEN BEFORE CONFLUENCE WITH IB RIVER"/>
    <x v="22"/>
    <n v="19"/>
    <n v="32"/>
    <n v="7.6"/>
    <n v="8.4"/>
    <n v="6.8"/>
    <n v="8.5"/>
    <n v="125"/>
    <n v="795"/>
    <n v="1.3"/>
    <n v="1.7"/>
    <n v="0.32"/>
    <n v="1.2"/>
    <n v="45"/>
    <n v="1300"/>
    <n v="170"/>
    <n v="3300"/>
    <n v="2"/>
    <n v="27"/>
  </r>
  <r>
    <n v="1265"/>
    <s v="RIVER KHAROON AT BHATAGAON NEAR WATER_x000a_SUPPLY INTAKEWELL RAIPUR"/>
    <x v="23"/>
    <n v="20"/>
    <n v="29"/>
    <n v="6.4"/>
    <n v="7.3"/>
    <n v="7.1"/>
    <n v="8.1999999999999993"/>
    <n v="190"/>
    <n v="2020"/>
    <n v="2.1"/>
    <n v="2.5"/>
    <n v="0"/>
    <n v="0"/>
    <m/>
    <m/>
    <n v="34"/>
    <n v="60"/>
    <m/>
    <m/>
  </r>
  <r>
    <n v="1846"/>
    <s v="RIVER KHAROON B/C KHAPRI NAHLA RAIPUR_x000a_ROAD,CHHATTISGARH"/>
    <x v="23"/>
    <n v="2.6"/>
    <n v="29"/>
    <n v="2.2000000000000002"/>
    <n v="7.2"/>
    <n v="7.3"/>
    <n v="8"/>
    <n v="400"/>
    <n v="4120"/>
    <n v="1.8"/>
    <n v="10"/>
    <n v="0.43"/>
    <n v="4.03"/>
    <m/>
    <m/>
    <n v="210"/>
    <n v="11100"/>
    <m/>
    <m/>
  </r>
  <r>
    <n v="1847"/>
    <s v="RIVER KHAROON A/C KHAPRI NAHLA,CHHATTISGARH"/>
    <x v="23"/>
    <n v="2.4"/>
    <n v="29"/>
    <n v="4"/>
    <n v="7.2"/>
    <n v="7.1"/>
    <n v="7.9"/>
    <n v="400"/>
    <n v="539"/>
    <n v="2"/>
    <n v="12"/>
    <n v="0.43"/>
    <n v="2.2599999999999998"/>
    <m/>
    <m/>
    <n v="220"/>
    <n v="1100"/>
    <m/>
    <m/>
  </r>
  <r>
    <n v="1853"/>
    <s v="RIVER KHAROON AT VILLAGE BENDRI, NEAR WATER_x000a_SUPPLY INTAKEWELL"/>
    <x v="23"/>
    <n v="22"/>
    <n v="32"/>
    <n v="6.2"/>
    <n v="6.9"/>
    <n v="7.1"/>
    <n v="7.6"/>
    <n v="194"/>
    <n v="482"/>
    <n v="2.1"/>
    <n v="2.9"/>
    <n v="0"/>
    <n v="0"/>
    <m/>
    <m/>
    <n v="56"/>
    <n v="80"/>
    <m/>
    <m/>
  </r>
  <r>
    <n v="1105"/>
    <s v="RIVER HASDEO UP STREAM OF HASDEO BANGO HYDEL_x000a_POWER STATION STATION MACHADOLI KORBA"/>
    <x v="23"/>
    <n v="24.1"/>
    <n v="26.2"/>
    <n v="0.3"/>
    <n v="8.6"/>
    <n v="7.2"/>
    <n v="7.4"/>
    <n v="126"/>
    <n v="1326"/>
    <n v="1"/>
    <n v="1.2"/>
    <n v="0.37"/>
    <n v="0.53"/>
    <n v="4"/>
    <n v="22"/>
    <n v="24"/>
    <n v="49"/>
    <m/>
    <m/>
  </r>
  <r>
    <n v="1106"/>
    <s v="RIVER HASDEO AT U/S OF CHAMPA CHHATTISGARH"/>
    <x v="23"/>
    <n v="20.100000000000001"/>
    <n v="33"/>
    <n v="6"/>
    <n v="7.2"/>
    <n v="7.2"/>
    <n v="8"/>
    <n v="160"/>
    <n v="374"/>
    <n v="1.8"/>
    <n v="3.1"/>
    <n v="2.2000000000000002"/>
    <n v="4.4000000000000004"/>
    <n v="12"/>
    <n v="170"/>
    <n v="28"/>
    <n v="630"/>
    <m/>
    <m/>
  </r>
  <r>
    <n v="3165"/>
    <s v="RIVER HASDEO 100 METER DOWNSTREAM AFTER_x000a_CONFLUENCE OF DENGUR NALLAH NERA C.S.E.B. EAST_x000a_GUEST HOUSE, KORBA, CHHATISGARH."/>
    <x v="23"/>
    <n v="24.5"/>
    <n v="26.2"/>
    <n v="7.2"/>
    <n v="8"/>
    <n v="7.2"/>
    <n v="7.6"/>
    <n v="149"/>
    <n v="1524"/>
    <n v="1"/>
    <n v="1.8"/>
    <n v="0.61"/>
    <n v="1.1000000000000001"/>
    <n v="13"/>
    <n v="37"/>
    <n v="34"/>
    <n v="150"/>
    <m/>
    <m/>
  </r>
  <r>
    <n v="3169"/>
    <s v="RIVER HASDEO AT DRINKING WATER INTANK WELL OF_x000a_MUNICIPAL CO. KORBA (BEFORE TREATMENT ) AT_x000a_LOHADIA VILLAGE,"/>
    <x v="23"/>
    <n v="24.5"/>
    <n v="26.2"/>
    <n v="7.2"/>
    <n v="7.8"/>
    <n v="7.1"/>
    <n v="7.5"/>
    <n v="136"/>
    <n v="1442"/>
    <n v="1"/>
    <n v="1.6"/>
    <n v="0.47"/>
    <n v="0.93"/>
    <n v="9"/>
    <n v="25"/>
    <n v="21"/>
    <n v="58"/>
    <m/>
    <m/>
  </r>
  <r>
    <n v="3170"/>
    <s v="RIVER HASDEO DRINKING WATER INTAKE WELL OF_x000a_MUNICIPAL CO. KORBA AFTER TREATMENT PLANT AT_x000a_VILLAGE KOHADIA KORBA"/>
    <x v="23"/>
    <n v="24.7"/>
    <n v="26.3"/>
    <n v="7.6"/>
    <n v="8.1999999999999993"/>
    <n v="7.2"/>
    <n v="7.5"/>
    <n v="141"/>
    <n v="1565"/>
    <n v="1"/>
    <n v="1"/>
    <n v="0.44"/>
    <n v="0.82"/>
    <n v="2"/>
    <n v="4"/>
    <n v="2"/>
    <n v="22"/>
    <m/>
    <m/>
  </r>
  <r>
    <n v="1267"/>
    <s v="RIVER IB AT SUNDARGARH"/>
    <x v="22"/>
    <n v="22"/>
    <n v="32"/>
    <n v="5.4"/>
    <n v="8.1"/>
    <n v="6.5"/>
    <n v="7.8"/>
    <n v="107"/>
    <n v="180"/>
    <n v="1.1000000000000001"/>
    <n v="1.9"/>
    <n v="0.32"/>
    <n v="0.83"/>
    <n v="45"/>
    <n v="1700"/>
    <n v="330"/>
    <n v="3500"/>
    <m/>
    <m/>
  </r>
  <r>
    <n v="1268"/>
    <s v="RIVER IB AT JHARSUGUDA (INTAKE)"/>
    <x v="22"/>
    <n v="18"/>
    <n v="32"/>
    <n v="7.8"/>
    <n v="8.6"/>
    <n v="6.8"/>
    <n v="8.3000000000000007"/>
    <n v="98"/>
    <n v="333"/>
    <n v="1.1000000000000001"/>
    <n v="1.5"/>
    <n v="0.32"/>
    <n v="1.37"/>
    <n v="230"/>
    <n v="1700"/>
    <n v="940"/>
    <n v="3500"/>
    <m/>
    <m/>
  </r>
  <r>
    <n v="1269"/>
    <s v="RIVER IB AT BRAJARAJNAGAR (INTAKE) D/S"/>
    <x v="22"/>
    <n v="17"/>
    <n v="33"/>
    <n v="7.6"/>
    <n v="8.1999999999999993"/>
    <n v="6.7"/>
    <n v="8.5"/>
    <n v="115"/>
    <n v="338"/>
    <n v="1.4"/>
    <n v="1.8"/>
    <n v="0.32"/>
    <n v="1.0900000000000001"/>
    <n v="130"/>
    <n v="1700"/>
    <n v="790"/>
    <n v="4900"/>
    <m/>
    <m/>
  </r>
  <r>
    <n v="1300"/>
    <s v="RIVER IB AT BRAJARAJNAGAR U/S"/>
    <x v="22"/>
    <n v="18"/>
    <n v="33"/>
    <n v="7.6"/>
    <n v="8.1999999999999993"/>
    <n v="6.8"/>
    <n v="8.1999999999999993"/>
    <n v="120"/>
    <n v="265"/>
    <n v="1.1000000000000001"/>
    <n v="1.9"/>
    <n v="0.32"/>
    <n v="1.38"/>
    <n v="110"/>
    <n v="790"/>
    <n v="490"/>
    <n v="2400"/>
    <m/>
    <m/>
  </r>
  <r>
    <n v="2409"/>
    <s v="RIVER SERUA AT CUTTACK FD/S (SERUA) AT_x000a_SANKHATRASA"/>
    <x v="22"/>
    <n v="22"/>
    <n v="30"/>
    <n v="6.3"/>
    <n v="8.6"/>
    <n v="7.2"/>
    <n v="8.5"/>
    <n v="149"/>
    <n v="280"/>
    <n v="1.1000000000000001"/>
    <n v="3.9"/>
    <n v="0.32"/>
    <n v="1.34"/>
    <n v="35000"/>
    <n v="160000"/>
    <n v="92000"/>
    <n v="160000"/>
    <n v="49"/>
    <n v="220"/>
  </r>
  <r>
    <n v="1279"/>
    <s v="RIVER KUAKHAI AT BHUBANESWAR U/S"/>
    <x v="22"/>
    <n v="21"/>
    <n v="31"/>
    <n v="6.3"/>
    <n v="9.1999999999999993"/>
    <n v="6.8"/>
    <n v="7.8"/>
    <n v="150"/>
    <n v="253"/>
    <n v="1.1000000000000001"/>
    <n v="1.7"/>
    <n v="0.32"/>
    <n v="2.79"/>
    <n v="490"/>
    <n v="4900"/>
    <n v="1700"/>
    <n v="14000"/>
    <n v="11"/>
    <n v="110"/>
  </r>
  <r>
    <n v="1280"/>
    <s v="RIVER DAYA AT BHUBANESWAR D/S"/>
    <x v="22"/>
    <n v="20"/>
    <n v="33"/>
    <n v="2.8"/>
    <n v="7.1"/>
    <n v="6.7"/>
    <n v="7.5"/>
    <n v="162"/>
    <n v="430"/>
    <n v="2.8"/>
    <n v="5.7"/>
    <n v="0.32"/>
    <n v="4.4000000000000004"/>
    <n v="3300"/>
    <n v="92000"/>
    <n v="9200"/>
    <n v="160000"/>
    <n v="22"/>
    <n v="540"/>
  </r>
  <r>
    <n v="2410"/>
    <s v="RIVER KUAKHAI AT BHUBANESWAR FU/S"/>
    <x v="22"/>
    <n v="21"/>
    <n v="31"/>
    <n v="6.1"/>
    <n v="10.5"/>
    <n v="6.8"/>
    <n v="7.7"/>
    <n v="183"/>
    <n v="241"/>
    <n v="1.3"/>
    <n v="1.8"/>
    <n v="0.32"/>
    <n v="0.67"/>
    <n v="130"/>
    <n v="2200"/>
    <n v="790"/>
    <n v="4900"/>
    <n v="5"/>
    <n v="79"/>
  </r>
  <r>
    <n v="1640"/>
    <s v="RIVER BIRUPA AT CHOUDWAR D/S"/>
    <x v="22"/>
    <n v="22"/>
    <n v="31"/>
    <n v="6.8"/>
    <n v="8.8000000000000007"/>
    <n v="7.3"/>
    <n v="8.4"/>
    <n v="160"/>
    <n v="2478"/>
    <n v="1.2"/>
    <n v="2.1"/>
    <n v="0.32"/>
    <n v="1.33"/>
    <n v="170"/>
    <n v="4900"/>
    <n v="1300"/>
    <n v="17000"/>
    <m/>
    <m/>
  </r>
  <r>
    <n v="1848"/>
    <s v="RIVER ARPA D/S OF BILASPUR CITY AT CHECK DAM_x000a_OUTLET NEAR DEORI KHURD, BILASPUR"/>
    <x v="23"/>
    <n v="21.2"/>
    <n v="32.5"/>
    <n v="5.8"/>
    <n v="7"/>
    <n v="6.8"/>
    <n v="9"/>
    <n v="376"/>
    <n v="928"/>
    <n v="2.8"/>
    <n v="4.7"/>
    <n v="2.2000000000000002"/>
    <n v="6"/>
    <n v="20"/>
    <n v="130"/>
    <n v="70"/>
    <n v="490"/>
    <m/>
    <m/>
  </r>
  <r>
    <n v="1849"/>
    <s v="RIVER KELO U/S URDANA VILLAGE"/>
    <x v="23"/>
    <n v="15.2"/>
    <n v="30"/>
    <n v="6.8"/>
    <n v="7.4"/>
    <n v="7.1"/>
    <n v="7.9"/>
    <n v="192"/>
    <n v="367"/>
    <n v="1.4"/>
    <n v="2.9"/>
    <n v="0.84"/>
    <n v="1.18"/>
    <n v="13"/>
    <n v="13"/>
    <n v="39"/>
    <n v="460"/>
    <m/>
    <m/>
  </r>
  <r>
    <n v="1850"/>
    <s v="RIVER KELO D/S LAHANGAPALI BRIDGE MIDMIDA_x000a_VILLAGE"/>
    <x v="23"/>
    <n v="15"/>
    <n v="32"/>
    <n v="6"/>
    <n v="7.4"/>
    <n v="7.3"/>
    <n v="8.6999999999999993"/>
    <n v="194"/>
    <n v="682"/>
    <n v="1.8"/>
    <n v="3.8"/>
    <n v="0.98"/>
    <n v="1.42"/>
    <n v="50"/>
    <n v="50"/>
    <n v="64"/>
    <n v="460"/>
    <m/>
    <m/>
  </r>
  <r>
    <n v="2411"/>
    <s v="RIVER DAYA AT BHUBANESWAR FD/S ( 2 KM AFTER_x000a_CONFLUENCE OF GANGUA NALLAH WITH DAYA)"/>
    <x v="22"/>
    <n v="20"/>
    <n v="33"/>
    <n v="3"/>
    <n v="7.3"/>
    <n v="6.9"/>
    <n v="7.7"/>
    <n v="155"/>
    <n v="426"/>
    <n v="2.2999999999999998"/>
    <n v="4.8"/>
    <n v="0.38"/>
    <n v="4.79"/>
    <n v="1700"/>
    <n v="54000"/>
    <n v="3500"/>
    <n v="92000"/>
    <n v="17"/>
    <n v="240"/>
  </r>
  <r>
    <n v="3894"/>
    <s v="RIVER DAYA AT GELAPUR"/>
    <x v="22"/>
    <n v="23"/>
    <n v="32"/>
    <n v="6.2"/>
    <n v="9.4"/>
    <n v="7.1"/>
    <n v="8.4"/>
    <n v="137"/>
    <n v="282"/>
    <n v="1.2"/>
    <n v="1.7"/>
    <n v="0.32"/>
    <n v="0.59"/>
    <n v="230"/>
    <n v="2200"/>
    <n v="1100"/>
    <n v="4900"/>
    <n v="5"/>
    <n v="79"/>
  </r>
  <r>
    <n v="3895"/>
    <s v="RIVER DAYA AT KANAS"/>
    <x v="22"/>
    <n v="19"/>
    <n v="35"/>
    <n v="3.4"/>
    <n v="9.5"/>
    <n v="6.6"/>
    <n v="8"/>
    <n v="143"/>
    <n v="472"/>
    <n v="1.2"/>
    <n v="2.4"/>
    <n v="0.32"/>
    <n v="7.43"/>
    <n v="220"/>
    <n v="160000"/>
    <n v="1300"/>
    <n v="160000"/>
    <n v="5"/>
    <n v="130"/>
  </r>
  <r>
    <n v="3891"/>
    <s v="RIVER KATHAJODI AT CUTTACK U/S"/>
    <x v="22"/>
    <n v="22"/>
    <n v="30"/>
    <n v="6.3"/>
    <n v="9.1999999999999993"/>
    <n v="7.2"/>
    <n v="8.5"/>
    <n v="153"/>
    <n v="252"/>
    <n v="1.1000000000000001"/>
    <n v="1.6"/>
    <n v="0.32"/>
    <n v="0.59"/>
    <n v="130"/>
    <n v="1300"/>
    <n v="490"/>
    <n v="3300"/>
    <m/>
    <m/>
  </r>
  <r>
    <n v="1301"/>
    <s v="RIVER KATHAJODI AT CUTTACK D/S"/>
    <x v="22"/>
    <n v="21"/>
    <n v="31"/>
    <n v="6"/>
    <n v="8.8000000000000007"/>
    <n v="7.2"/>
    <n v="8.4"/>
    <n v="151"/>
    <n v="361"/>
    <n v="1.5"/>
    <n v="4.2"/>
    <n v="0.32"/>
    <n v="1.43"/>
    <n v="7900"/>
    <n v="160000"/>
    <n v="24000"/>
    <n v="160000"/>
    <n v="23"/>
    <n v="240"/>
  </r>
  <r>
    <n v="3892"/>
    <s v="RIVER KATHAJODI AT CUTTACK FD/S AT MATTAGAJPUR"/>
    <x v="22"/>
    <n v="22"/>
    <n v="31"/>
    <n v="7"/>
    <n v="8.6"/>
    <n v="7.1"/>
    <n v="8.3000000000000007"/>
    <n v="202"/>
    <n v="388"/>
    <n v="1.3"/>
    <n v="3.9"/>
    <n v="0.32"/>
    <n v="1.1200000000000001"/>
    <n v="1300"/>
    <n v="92000"/>
    <n v="4900"/>
    <n v="160000"/>
    <n v="13"/>
    <n v="170"/>
  </r>
  <r>
    <n v="3893"/>
    <s v="RIVER KATHAJODI AT CUTTACK FD/S AT KAMASASAN"/>
    <x v="22"/>
    <n v="22"/>
    <n v="32"/>
    <n v="6.6"/>
    <n v="8.5"/>
    <n v="7.3"/>
    <n v="8.5"/>
    <n v="158"/>
    <n v="327"/>
    <n v="1.3"/>
    <n v="2.5"/>
    <n v="0.32"/>
    <n v="0.98"/>
    <n v="330"/>
    <n v="7900"/>
    <n v="1700"/>
    <n v="22000"/>
    <m/>
    <m/>
  </r>
  <r>
    <n v="3900"/>
    <s v="RIVER GOBARI AT KENDRAPARA U/S"/>
    <x v="22"/>
    <n v="23.5"/>
    <n v="32.799999999999997"/>
    <n v="2.4"/>
    <n v="5.5"/>
    <n v="7.1"/>
    <n v="8.1999999999999993"/>
    <n v="168"/>
    <n v="1843"/>
    <n v="1.1000000000000001"/>
    <n v="2.2000000000000002"/>
    <n v="0.32"/>
    <n v="0.81"/>
    <n v="330"/>
    <n v="4900"/>
    <n v="1100"/>
    <n v="24000"/>
    <m/>
    <m/>
  </r>
  <r>
    <n v="3901"/>
    <s v="RIVER GOBARI AT KENDRAPARA D/S"/>
    <x v="22"/>
    <n v="24.5"/>
    <n v="33.700000000000003"/>
    <n v="2"/>
    <n v="5.2"/>
    <n v="6.9"/>
    <n v="8.1999999999999993"/>
    <n v="205"/>
    <n v="2453"/>
    <n v="1.5"/>
    <n v="2.6"/>
    <n v="0.32"/>
    <n v="0.84"/>
    <n v="790"/>
    <n v="24000"/>
    <n v="1700"/>
    <n v="54000"/>
    <m/>
    <m/>
  </r>
  <r>
    <n v="3902"/>
    <s v="RIVER DEVI AT MACCHGAON"/>
    <x v="22"/>
    <n v="24.1"/>
    <n v="33.200000000000003"/>
    <n v="5.2"/>
    <n v="7.8"/>
    <n v="7.1"/>
    <n v="8.3000000000000007"/>
    <n v="182"/>
    <n v="24860"/>
    <n v="1.2"/>
    <n v="2"/>
    <n v="0.32"/>
    <n v="0.94"/>
    <n v="78"/>
    <n v="2200"/>
    <n v="230"/>
    <n v="4900"/>
    <m/>
    <m/>
  </r>
  <r>
    <n v="3896"/>
    <s v="RIVER GANGUA NEAR RAJDHANI ENGINEERING_x000a_COLLEGE"/>
    <x v="22"/>
    <n v="20"/>
    <n v="30"/>
    <n v="0.3"/>
    <n v="2.2000000000000002"/>
    <n v="6.7"/>
    <n v="7.4"/>
    <n v="172"/>
    <n v="449"/>
    <n v="6.3"/>
    <n v="15"/>
    <n v="0.32"/>
    <n v="15.71"/>
    <n v="16000"/>
    <n v="160000"/>
    <n v="16000"/>
    <n v="160000"/>
    <n v="70"/>
    <n v="920"/>
  </r>
  <r>
    <n v="3897"/>
    <s v="RIVER GANGUA AT PALASUNI"/>
    <x v="22"/>
    <n v="22"/>
    <n v="32"/>
    <n v="0.3"/>
    <n v="3.3"/>
    <n v="4.7"/>
    <n v="7.2"/>
    <n v="201"/>
    <n v="702"/>
    <n v="7.7"/>
    <n v="18"/>
    <n v="0.32"/>
    <n v="13.22"/>
    <n v="2"/>
    <n v="160000"/>
    <n v="2"/>
    <n v="160000"/>
    <n v="2"/>
    <n v="350"/>
  </r>
  <r>
    <n v="3898"/>
    <s v="RIVER GANGUA AT SAMANTARAPUR"/>
    <x v="22"/>
    <n v="22"/>
    <n v="32"/>
    <n v="0.3"/>
    <n v="3.3"/>
    <n v="6.6"/>
    <n v="7.2"/>
    <n v="268"/>
    <n v="580"/>
    <n v="8"/>
    <n v="18"/>
    <n v="0.32"/>
    <n v="10.57"/>
    <n v="2"/>
    <n v="160000"/>
    <n v="2"/>
    <n v="160000"/>
    <n v="2"/>
    <n v="280"/>
  </r>
  <r>
    <n v="3899"/>
    <s v="RIVER GANGUA AT VADIMULA"/>
    <x v="22"/>
    <n v="20"/>
    <n v="32"/>
    <n v="0.9"/>
    <n v="4.5"/>
    <n v="6.8"/>
    <n v="7.9"/>
    <n v="195"/>
    <n v="502"/>
    <n v="5"/>
    <n v="18"/>
    <n v="0.32"/>
    <n v="6.02"/>
    <n v="7900"/>
    <n v="160000"/>
    <n v="24000"/>
    <n v="160000"/>
    <n v="79"/>
    <n v="280"/>
  </r>
  <r>
    <n v="3903"/>
    <s v="RIVER KUSHABHADRA AT BHINGARPUR"/>
    <x v="22"/>
    <n v="19"/>
    <n v="32"/>
    <n v="5.0999999999999996"/>
    <n v="9.1"/>
    <n v="7.1"/>
    <n v="7.6"/>
    <n v="180"/>
    <n v="267"/>
    <n v="1.2"/>
    <n v="1.7"/>
    <n v="0.32"/>
    <n v="0.78"/>
    <n v="330"/>
    <n v="54000"/>
    <n v="1700"/>
    <n v="160000"/>
    <m/>
    <m/>
  </r>
  <r>
    <n v="3904"/>
    <s v="RIVER KUSHABHADRA AT NIMAPARA"/>
    <x v="22"/>
    <n v="22"/>
    <n v="32"/>
    <n v="4.9000000000000004"/>
    <n v="8.8000000000000007"/>
    <n v="6.8"/>
    <n v="7.8"/>
    <n v="131"/>
    <n v="282"/>
    <n v="1.1000000000000001"/>
    <n v="1.6"/>
    <n v="0.32"/>
    <n v="4.97"/>
    <n v="130"/>
    <n v="3300"/>
    <n v="490"/>
    <n v="11000"/>
    <m/>
    <m/>
  </r>
  <r>
    <n v="3905"/>
    <s v="RIVER KUSHABHADRA AT GOP"/>
    <x v="22"/>
    <n v="22"/>
    <n v="34.5"/>
    <n v="4.3"/>
    <n v="8.4"/>
    <n v="6.9"/>
    <n v="7.8"/>
    <n v="164"/>
    <n v="348"/>
    <n v="1.2"/>
    <n v="1.7"/>
    <n v="0.32"/>
    <n v="1.47"/>
    <n v="940"/>
    <n v="54000"/>
    <n v="2800"/>
    <n v="160000"/>
    <m/>
    <m/>
  </r>
  <r>
    <n v="3906"/>
    <s v="RIVER MANGALA AT PURI U/S MALATIPATPUR"/>
    <x v="22"/>
    <n v="20"/>
    <n v="32"/>
    <n v="4.8"/>
    <n v="9.1"/>
    <n v="6.9"/>
    <n v="8.1999999999999993"/>
    <n v="138"/>
    <n v="360"/>
    <n v="1.1000000000000001"/>
    <n v="2.1"/>
    <n v="0.32"/>
    <n v="0.64"/>
    <n v="78"/>
    <n v="1700"/>
    <n v="330"/>
    <n v="2800"/>
    <m/>
    <m/>
  </r>
  <r>
    <n v="3907"/>
    <s v="RIVER MANGALA AT PURI D/S GOLASAHI"/>
    <x v="22"/>
    <n v="23"/>
    <n v="34"/>
    <n v="4.4000000000000004"/>
    <n v="13"/>
    <n v="7.1"/>
    <n v="8.5"/>
    <n v="166"/>
    <n v="14710"/>
    <n v="1.7"/>
    <n v="3.6"/>
    <n v="0.33"/>
    <n v="5.17"/>
    <n v="130"/>
    <n v="2200"/>
    <n v="490"/>
    <n v="4900"/>
    <n v="2"/>
    <n v="24"/>
  </r>
  <r>
    <n v="3908"/>
    <s v="RIVER BHARGAVI AT CHANDANPUR"/>
    <x v="22"/>
    <n v="20.5"/>
    <n v="32"/>
    <n v="4.5999999999999996"/>
    <n v="9.1999999999999993"/>
    <n v="6.9"/>
    <n v="8.3000000000000007"/>
    <n v="148"/>
    <n v="280"/>
    <n v="1.2"/>
    <n v="2.6"/>
    <n v="0.32"/>
    <n v="0.74"/>
    <n v="45"/>
    <n v="2200"/>
    <n v="230"/>
    <n v="4900"/>
    <m/>
    <m/>
  </r>
  <r>
    <n v="3909"/>
    <s v="RIVER KANSARI AT BANAPUR ROAD NEAR_x000a_PURUSHOTTAMPUR"/>
    <x v="22"/>
    <n v="19"/>
    <n v="34"/>
    <n v="5.5"/>
    <n v="8.1999999999999993"/>
    <n v="6.6"/>
    <n v="7.8"/>
    <n v="178"/>
    <n v="355"/>
    <n v="1.1000000000000001"/>
    <n v="2.2000000000000002"/>
    <n v="0.32"/>
    <n v="1.54"/>
    <n v="490"/>
    <n v="2300"/>
    <n v="1400"/>
    <n v="4900"/>
    <m/>
    <m/>
  </r>
  <r>
    <n v="3910"/>
    <s v="RIVER BADASANKHA NADI NEAR LANGALESWAR"/>
    <x v="22"/>
    <n v="20"/>
    <n v="34.5"/>
    <n v="5"/>
    <n v="10.199999999999999"/>
    <n v="6.8"/>
    <n v="8.1"/>
    <n v="410"/>
    <n v="4657"/>
    <n v="1.4"/>
    <n v="2.4"/>
    <n v="0.32"/>
    <n v="1.5"/>
    <n v="210"/>
    <n v="2400"/>
    <n v="700"/>
    <n v="4900"/>
    <m/>
    <m/>
  </r>
  <r>
    <n v="3911"/>
    <s v="RIVER RATNACHIRA NAADI AT KUMARADIHI"/>
    <x v="22"/>
    <n v="18.5"/>
    <n v="33"/>
    <n v="5.0999999999999996"/>
    <n v="7.3"/>
    <n v="6.9"/>
    <n v="7.7"/>
    <n v="176"/>
    <n v="957"/>
    <n v="1.2"/>
    <n v="1.9"/>
    <n v="0.32"/>
    <n v="1.04"/>
    <n v="230"/>
    <n v="2300"/>
    <n v="1100"/>
    <n v="4900"/>
    <n v="2"/>
    <n v="33"/>
  </r>
  <r>
    <n v="3912"/>
    <s v="RIVER NUNA NADI AT BIJIPUR"/>
    <x v="22"/>
    <n v="20"/>
    <n v="34"/>
    <n v="4.8"/>
    <n v="10.8"/>
    <n v="6.9"/>
    <n v="7.7"/>
    <n v="145"/>
    <n v="323"/>
    <n v="1.1000000000000001"/>
    <n v="1.8"/>
    <n v="0.32"/>
    <n v="2.87"/>
    <n v="330"/>
    <n v="35000"/>
    <n v="1700"/>
    <n v="92000"/>
    <n v="7"/>
    <n v="94"/>
  </r>
  <r>
    <n v="3913"/>
    <s v="RIVER KUSUMI NADI NEAR TANGI (LAXMIDHARA PUR)"/>
    <x v="22"/>
    <n v="19"/>
    <n v="32"/>
    <n v="5.3"/>
    <n v="7.7"/>
    <n v="6.6"/>
    <n v="7.9"/>
    <n v="150"/>
    <n v="276"/>
    <n v="1.2"/>
    <n v="2.4"/>
    <n v="0.32"/>
    <n v="2.19"/>
    <n v="2"/>
    <n v="2300"/>
    <n v="2"/>
    <n v="4900"/>
    <n v="2"/>
    <n v="49"/>
  </r>
  <r>
    <n v="3914"/>
    <s v="RIVER SABULIA NADI NEAR RAMBHA (AT_x000a_JAGANNATHPATNA)"/>
    <x v="22"/>
    <n v="21"/>
    <n v="35"/>
    <n v="5.2"/>
    <n v="7.9"/>
    <n v="7.2"/>
    <n v="7.9"/>
    <n v="428"/>
    <n v="1208"/>
    <n v="1.1000000000000001"/>
    <n v="1.9"/>
    <n v="0.32"/>
    <n v="1.72"/>
    <n v="790"/>
    <n v="2400"/>
    <n v="2200"/>
    <n v="4900"/>
    <n v="5"/>
    <n v="46"/>
  </r>
  <r>
    <n v="2408"/>
    <s v="RIVER TEL (OVER ROAD BRIDGE STATE HIGHWAY -41,_x000a_MANAMUNDA)"/>
    <x v="22"/>
    <n v="23"/>
    <n v="30"/>
    <n v="6.7"/>
    <n v="10.1"/>
    <n v="7.6"/>
    <n v="8.4"/>
    <n v="109"/>
    <n v="246"/>
    <n v="1.1000000000000001"/>
    <n v="1.7"/>
    <n v="0.32"/>
    <n v="7.29"/>
    <n v="45"/>
    <n v="1100"/>
    <n v="130"/>
    <n v="3500"/>
    <m/>
    <m/>
  </r>
  <r>
    <n v="1085"/>
    <s v="RIVER DHAMRA AT DHAMRA"/>
    <x v="22"/>
    <n v="20"/>
    <n v="30"/>
    <n v="6"/>
    <n v="9.6"/>
    <n v="6.6"/>
    <n v="8.1"/>
    <n v="410"/>
    <n v="34030"/>
    <n v="1.1000000000000001"/>
    <n v="1.9"/>
    <n v="0.32"/>
    <n v="0.88"/>
    <n v="45"/>
    <n v="1300"/>
    <n v="330"/>
    <n v="4700"/>
    <m/>
    <m/>
  </r>
  <r>
    <n v="3168"/>
    <s v="RIVER HASDEO DOWN STREAM OF HASDEO RIVER_x000a_NEAR VILLAGE URGA KORBA"/>
    <x v="23"/>
    <n v="24.7"/>
    <n v="26.3"/>
    <n v="7"/>
    <n v="8"/>
    <n v="7.2"/>
    <n v="7.7"/>
    <n v="158"/>
    <n v="1722"/>
    <n v="1"/>
    <n v="2.4"/>
    <n v="0.69"/>
    <n v="1.1599999999999999"/>
    <n v="14"/>
    <n v="40"/>
    <n v="49"/>
    <n v="170"/>
    <m/>
    <m/>
  </r>
  <r>
    <n v="3889"/>
    <s v="RIVER ONG AT DHARUAKHAMMA"/>
    <x v="22"/>
    <n v="24"/>
    <n v="30"/>
    <n v="5.6"/>
    <n v="10.1"/>
    <n v="7.8"/>
    <n v="8.5"/>
    <n v="190"/>
    <n v="340"/>
    <n v="1.1000000000000001"/>
    <n v="1.6"/>
    <n v="0.32"/>
    <n v="0.81"/>
    <n v="33"/>
    <n v="790"/>
    <n v="94"/>
    <n v="2400"/>
    <m/>
    <m/>
  </r>
  <r>
    <n v="5532"/>
    <s v="RIVER GOBARI AT JAMBO"/>
    <x v="22"/>
    <n v="25"/>
    <n v="32.5"/>
    <n v="4.0999999999999996"/>
    <n v="7.6"/>
    <n v="7.1"/>
    <n v="7.8"/>
    <n v="300"/>
    <n v="42600"/>
    <n v="1.2"/>
    <n v="1.4"/>
    <n v="0.32"/>
    <n v="1.27"/>
    <n v="78"/>
    <n v="2300"/>
    <n v="330"/>
    <n v="4900"/>
    <m/>
    <m/>
  </r>
  <r>
    <n v="5533"/>
    <s v="RIVER HANSUA AT BARUNEI"/>
    <x v="22"/>
    <n v="25.2"/>
    <n v="32.200000000000003"/>
    <n v="5.0999999999999996"/>
    <n v="7.7"/>
    <n v="7.3"/>
    <n v="8.4"/>
    <n v="176"/>
    <n v="40570"/>
    <n v="1.2"/>
    <n v="1.4"/>
    <n v="0.32"/>
    <n v="1.72"/>
    <n v="45"/>
    <n v="1300"/>
    <n v="330"/>
    <n v="3500"/>
    <m/>
    <m/>
  </r>
  <r>
    <n v="5534"/>
    <s v="RIVER PATSALA AT GUPTI"/>
    <x v="22"/>
    <n v="25"/>
    <n v="33.4"/>
    <n v="4.9000000000000004"/>
    <n v="7.1"/>
    <n v="6.8"/>
    <n v="7.9"/>
    <n v="295"/>
    <n v="42210"/>
    <n v="1.2"/>
    <n v="2.2000000000000002"/>
    <n v="0.32"/>
    <n v="2.9"/>
    <n v="45"/>
    <n v="1300"/>
    <n v="330"/>
    <n v="3500"/>
    <m/>
    <m/>
  </r>
  <r>
    <n v="5535"/>
    <s v="RIVER DHAMRA, KALIBHANJADIA"/>
    <x v="22"/>
    <n v="25.2"/>
    <n v="32"/>
    <n v="4.5"/>
    <n v="7.6"/>
    <n v="7.1"/>
    <n v="8"/>
    <n v="1384"/>
    <n v="41900"/>
    <n v="1.2"/>
    <n v="1.9"/>
    <n v="0.32"/>
    <n v="1.51"/>
    <n v="20"/>
    <n v="1300"/>
    <n v="130"/>
    <n v="3500"/>
    <m/>
    <m/>
  </r>
  <r>
    <n v="5536"/>
    <s v="RIVER BHITARAKANIKA AT DANGAMALA"/>
    <x v="22"/>
    <n v="25"/>
    <n v="33.1"/>
    <n v="4.8"/>
    <n v="6.2"/>
    <n v="6.9"/>
    <n v="8.1"/>
    <n v="365"/>
    <n v="36540"/>
    <n v="1.1000000000000001"/>
    <n v="2.5"/>
    <n v="0.32"/>
    <n v="31.02"/>
    <n v="130"/>
    <n v="3300"/>
    <n v="330"/>
    <n v="7900"/>
    <m/>
    <m/>
  </r>
  <r>
    <n v="1081"/>
    <s v="RIVER BAITARNI AT JODA"/>
    <x v="22"/>
    <n v="19"/>
    <n v="31"/>
    <n v="6.2"/>
    <n v="7.5"/>
    <n v="6.8"/>
    <n v="8"/>
    <n v="80"/>
    <n v="164"/>
    <n v="1.1000000000000001"/>
    <n v="1.8"/>
    <n v="0.32"/>
    <n v="1.58"/>
    <n v="110"/>
    <n v="1300"/>
    <n v="490"/>
    <n v="4000"/>
    <m/>
    <m/>
  </r>
  <r>
    <n v="1082"/>
    <s v="RIVER BAITARNI AT ANANDPUR"/>
    <x v="22"/>
    <n v="21"/>
    <n v="29"/>
    <n v="6.2"/>
    <n v="9.6"/>
    <n v="6.8"/>
    <n v="8"/>
    <n v="103"/>
    <n v="178"/>
    <n v="1.1000000000000001"/>
    <n v="1.9"/>
    <n v="0.32"/>
    <n v="0.65"/>
    <n v="130"/>
    <n v="790"/>
    <n v="490"/>
    <n v="2400"/>
    <m/>
    <m/>
  </r>
  <r>
    <n v="1083"/>
    <s v="RIVER BAITARNI AT JAJPUR"/>
    <x v="22"/>
    <n v="21"/>
    <n v="23"/>
    <n v="6.2"/>
    <n v="8.5"/>
    <n v="7.1"/>
    <n v="8.1999999999999993"/>
    <n v="110"/>
    <n v="328"/>
    <n v="1.1000000000000001"/>
    <n v="2.6"/>
    <n v="0.32"/>
    <n v="3.35"/>
    <n v="130"/>
    <n v="4900"/>
    <n v="330"/>
    <n v="24000"/>
    <m/>
    <m/>
  </r>
  <r>
    <n v="3935"/>
    <s v="RIVER BAITARNI AT NAIGARH"/>
    <x v="22"/>
    <n v="19"/>
    <n v="29"/>
    <n v="6"/>
    <n v="7.3"/>
    <n v="6.8"/>
    <n v="8.1"/>
    <n v="73"/>
    <n v="153"/>
    <n v="1.1000000000000001"/>
    <n v="1.5"/>
    <n v="0.32"/>
    <n v="1.08"/>
    <n v="45"/>
    <n v="700"/>
    <n v="330"/>
    <n v="2200"/>
    <m/>
    <m/>
  </r>
  <r>
    <n v="3936"/>
    <s v="RIVER BAITARNI AT UNCHABALI"/>
    <x v="22"/>
    <n v="19"/>
    <n v="30"/>
    <n v="6.4"/>
    <n v="7.4"/>
    <n v="6.7"/>
    <n v="8.1"/>
    <n v="70"/>
    <n v="151"/>
    <n v="1.1000000000000001"/>
    <n v="1.4"/>
    <n v="0.32"/>
    <n v="1.42"/>
    <n v="110"/>
    <n v="790"/>
    <n v="330"/>
    <n v="2200"/>
    <m/>
    <m/>
  </r>
  <r>
    <n v="3938"/>
    <s v="RIVER BAITARNI AT TRIBINDHA"/>
    <x v="22"/>
    <n v="20"/>
    <n v="32"/>
    <n v="6.2"/>
    <n v="7.3"/>
    <n v="6.8"/>
    <n v="8"/>
    <n v="112"/>
    <n v="168"/>
    <n v="1.1000000000000001"/>
    <n v="1.8"/>
    <n v="0.32"/>
    <n v="1.49"/>
    <n v="78"/>
    <n v="1300"/>
    <n v="330"/>
    <n v="4900"/>
    <m/>
    <m/>
  </r>
  <r>
    <n v="3937"/>
    <s v="RIVER BAITARNI AT CHAMPUA"/>
    <x v="22"/>
    <n v="20"/>
    <n v="29.3"/>
    <n v="6.3"/>
    <n v="7"/>
    <n v="6.7"/>
    <n v="8.1"/>
    <n v="93"/>
    <n v="140"/>
    <n v="1.1000000000000001"/>
    <n v="1.7"/>
    <n v="0.32"/>
    <n v="1.51"/>
    <n v="2"/>
    <n v="1700"/>
    <n v="330"/>
    <n v="2400"/>
    <n v="1700"/>
    <n v="1700"/>
  </r>
  <r>
    <n v="1084"/>
    <s v="RIVER BAITARNI AT CHANDBALI U/S"/>
    <x v="22"/>
    <n v="20"/>
    <n v="32"/>
    <n v="4.8"/>
    <n v="9.1999999999999993"/>
    <n v="6.6"/>
    <n v="7.8"/>
    <n v="140"/>
    <n v="20550"/>
    <n v="1.1000000000000001"/>
    <n v="2"/>
    <n v="0.32"/>
    <n v="1.38"/>
    <n v="170"/>
    <n v="2200"/>
    <n v="490"/>
    <n v="4900"/>
    <m/>
    <m/>
  </r>
  <r>
    <n v="10018"/>
    <s v="RIVER BAITARNI AT CHANDBALI D/S"/>
    <x v="22"/>
    <n v="20"/>
    <n v="32"/>
    <n v="4.4000000000000004"/>
    <n v="9.1999999999999993"/>
    <n v="6.5"/>
    <n v="8.3000000000000007"/>
    <n v="150"/>
    <n v="21870"/>
    <n v="1.3"/>
    <n v="2.1"/>
    <n v="0.32"/>
    <n v="1.9"/>
    <n v="170"/>
    <n v="4900"/>
    <n v="490"/>
    <n v="17000"/>
    <m/>
    <m/>
  </r>
  <r>
    <n v="3940"/>
    <s v="RIVER SALANDI AT BHADRAK U/S"/>
    <x v="22"/>
    <n v="20"/>
    <n v="30"/>
    <n v="4.8"/>
    <n v="9.1999999999999993"/>
    <n v="6.7"/>
    <n v="8.4"/>
    <n v="105"/>
    <n v="322"/>
    <n v="1.1000000000000001"/>
    <n v="1.6"/>
    <n v="0.32"/>
    <n v="2.2400000000000002"/>
    <n v="130"/>
    <n v="24000"/>
    <n v="790"/>
    <n v="54000"/>
    <m/>
    <m/>
  </r>
  <r>
    <n v="3941"/>
    <s v="RIVER SALANDI AT BHADRAK D/S"/>
    <x v="22"/>
    <n v="20"/>
    <n v="30"/>
    <n v="4.4000000000000004"/>
    <n v="9.6"/>
    <n v="6.6"/>
    <n v="8.1999999999999993"/>
    <n v="98"/>
    <n v="380"/>
    <n v="1.2"/>
    <n v="1.9"/>
    <n v="0.32"/>
    <n v="1.69"/>
    <n v="330"/>
    <n v="7900"/>
    <n v="1700"/>
    <n v="22000"/>
    <m/>
    <m/>
  </r>
  <r>
    <n v="2421"/>
    <s v="RIVER KUSEI BEFORE JOINING WITH BAITARANI AT_x000a_ANANDPUR, DEOGAON"/>
    <x v="22"/>
    <n v="20"/>
    <n v="29"/>
    <n v="6.8"/>
    <n v="8.5"/>
    <n v="6.7"/>
    <n v="8.5"/>
    <n v="144"/>
    <n v="322"/>
    <n v="1.1000000000000001"/>
    <n v="2"/>
    <n v="0.32"/>
    <n v="1.42"/>
    <n v="130"/>
    <n v="3300"/>
    <n v="330"/>
    <n v="11000"/>
    <m/>
    <m/>
  </r>
  <r>
    <n v="5535"/>
    <s v="RIVER DHAMRA, KALIBHANJADIA"/>
    <x v="22"/>
    <n v="25.2"/>
    <n v="32"/>
    <n v="4.5"/>
    <n v="7.6"/>
    <n v="7.1"/>
    <n v="8"/>
    <n v="1384"/>
    <n v="41900"/>
    <n v="1.2"/>
    <n v="1.9"/>
    <n v="0.32"/>
    <n v="1.51"/>
    <n v="20"/>
    <n v="1300"/>
    <n v="130"/>
    <n v="3500"/>
    <m/>
    <m/>
  </r>
  <r>
    <n v="1037"/>
    <s v="RIVER BRAHMANI AT U/S PANPOSH"/>
    <x v="22"/>
    <n v="22"/>
    <n v="31"/>
    <n v="5"/>
    <n v="8.8000000000000007"/>
    <n v="6.9"/>
    <n v="8.1999999999999993"/>
    <n v="114"/>
    <n v="218"/>
    <n v="1.1000000000000001"/>
    <n v="1.7"/>
    <n v="0.32"/>
    <n v="3.24"/>
    <n v="140"/>
    <n v="2300"/>
    <n v="490"/>
    <n v="4900"/>
    <m/>
    <m/>
  </r>
  <r>
    <n v="1038"/>
    <s v="RIVER BRAHMANI AT D/S PANPOSH AT DEOGAN"/>
    <x v="22"/>
    <n v="21"/>
    <n v="31"/>
    <n v="2.4"/>
    <n v="7"/>
    <n v="6.6"/>
    <n v="7.8"/>
    <n v="188"/>
    <n v="625"/>
    <n v="3.2"/>
    <n v="5.7"/>
    <n v="0.72"/>
    <n v="18.78"/>
    <n v="4900"/>
    <n v="54000"/>
    <n v="9400"/>
    <n v="92000"/>
    <n v="22"/>
    <n v="350"/>
  </r>
  <r>
    <n v="1302"/>
    <s v="RIVER BRAHMANI AT ROURKELA D/S AT JALDA"/>
    <x v="22"/>
    <n v="23"/>
    <n v="32"/>
    <n v="2.8"/>
    <n v="7.8"/>
    <n v="6.7"/>
    <n v="7.8"/>
    <n v="141"/>
    <n v="368"/>
    <n v="3.4"/>
    <n v="5.3"/>
    <n v="0.75"/>
    <n v="11.44"/>
    <n v="33"/>
    <n v="17000"/>
    <n v="7000"/>
    <n v="54000"/>
    <n v="17"/>
    <n v="130"/>
  </r>
  <r>
    <n v="2414"/>
    <s v="RIVER BRAHMANI AT ROURKELA FD/S AT BIRITOLA"/>
    <x v="22"/>
    <n v="17"/>
    <n v="34"/>
    <n v="5.4"/>
    <n v="8.1"/>
    <n v="6.6"/>
    <n v="8.1"/>
    <n v="110"/>
    <n v="263"/>
    <n v="1.5"/>
    <n v="2.8"/>
    <n v="0.32"/>
    <n v="6.84"/>
    <n v="13"/>
    <n v="2300"/>
    <n v="130"/>
    <n v="4900"/>
    <n v="2"/>
    <n v="14"/>
  </r>
  <r>
    <n v="1039"/>
    <s v="RIVER BRAHMANI AT BONAIGARH"/>
    <x v="22"/>
    <n v="16"/>
    <n v="34"/>
    <n v="6.1"/>
    <n v="10.5"/>
    <n v="6.7"/>
    <n v="8.1"/>
    <n v="112"/>
    <n v="246"/>
    <n v="1.1000000000000001"/>
    <n v="2.1"/>
    <n v="0.34"/>
    <n v="6.28"/>
    <n v="13"/>
    <n v="24000"/>
    <n v="130"/>
    <n v="54000"/>
    <m/>
    <m/>
  </r>
  <r>
    <n v="1040"/>
    <s v="RIVER BRAHMANI AT RENGALI"/>
    <x v="22"/>
    <n v="22"/>
    <n v="29"/>
    <n v="6"/>
    <n v="9.8000000000000007"/>
    <n v="7.1"/>
    <n v="8.5"/>
    <n v="114"/>
    <n v="185"/>
    <n v="1.1000000000000001"/>
    <n v="2"/>
    <n v="0.32"/>
    <n v="0.7"/>
    <n v="17"/>
    <n v="490"/>
    <n v="45"/>
    <n v="2400"/>
    <m/>
    <m/>
  </r>
  <r>
    <n v="1041"/>
    <s v="RIVER BRAHMANI AT SAMAL"/>
    <x v="22"/>
    <n v="23"/>
    <n v="30"/>
    <n v="6.2"/>
    <n v="10.199999999999999"/>
    <n v="7.1"/>
    <n v="8.4"/>
    <n v="116"/>
    <n v="158"/>
    <n v="1.1000000000000001"/>
    <n v="1.9"/>
    <n v="0.32"/>
    <n v="0.75"/>
    <n v="130"/>
    <n v="1700"/>
    <n v="490"/>
    <n v="4900"/>
    <m/>
    <m/>
  </r>
  <r>
    <n v="2415"/>
    <s v="RIVER BRAHMANI AT TALCHER FU/S (INTAKE WELL OF_x000a_MCL, TALCHER)"/>
    <x v="22"/>
    <n v="23"/>
    <n v="30"/>
    <n v="6.4"/>
    <n v="9.8000000000000007"/>
    <n v="7.1"/>
    <n v="8.3000000000000007"/>
    <n v="113"/>
    <n v="176"/>
    <n v="1.2"/>
    <n v="1.5"/>
    <n v="0.32"/>
    <n v="0.57999999999999996"/>
    <n v="45"/>
    <n v="790"/>
    <n v="330"/>
    <n v="2400"/>
    <m/>
    <m/>
  </r>
  <r>
    <n v="2416"/>
    <s v="RIVER BRAHMANI AT TALCHER FD/S"/>
    <x v="22"/>
    <n v="23"/>
    <n v="28"/>
    <n v="5.6"/>
    <n v="9.1999999999999993"/>
    <n v="6.9"/>
    <n v="8.1"/>
    <n v="126"/>
    <n v="233"/>
    <n v="1.3"/>
    <n v="1.7"/>
    <n v="0.32"/>
    <n v="0.59"/>
    <n v="78"/>
    <n v="330"/>
    <n v="290"/>
    <n v="1300"/>
    <m/>
    <m/>
  </r>
  <r>
    <n v="1042"/>
    <s v="RIVER BRAHMANI AT KAMALANGA (TALCHER D/S)"/>
    <x v="22"/>
    <n v="22"/>
    <n v="28"/>
    <n v="6.2"/>
    <n v="8.6"/>
    <n v="7.1"/>
    <n v="8.1"/>
    <n v="143"/>
    <n v="224"/>
    <n v="1.2"/>
    <n v="2.1"/>
    <n v="0.32"/>
    <n v="1.28"/>
    <n v="330"/>
    <n v="1700"/>
    <n v="940"/>
    <n v="3500"/>
    <m/>
    <m/>
  </r>
  <r>
    <n v="2417"/>
    <s v="RIVER BRAHAMNI AT DHENKANAL D/S, DHENKANAL_x000a_TOWN"/>
    <x v="22"/>
    <n v="23"/>
    <n v="29"/>
    <n v="6.8"/>
    <n v="9"/>
    <n v="6.9"/>
    <n v="7.5"/>
    <n v="134"/>
    <n v="227"/>
    <n v="1.4"/>
    <n v="1.8"/>
    <n v="0.32"/>
    <n v="1.62"/>
    <n v="330"/>
    <n v="2400"/>
    <n v="1700"/>
    <n v="4900"/>
    <m/>
    <m/>
  </r>
  <r>
    <n v="1303"/>
    <s v="RIVER BRAHMANI AT TALCHER U/S"/>
    <x v="22"/>
    <n v="22"/>
    <n v="28"/>
    <n v="6.8"/>
    <n v="9"/>
    <n v="7.1"/>
    <n v="8.1999999999999993"/>
    <n v="136"/>
    <n v="187"/>
    <n v="1.1000000000000001"/>
    <n v="2.4"/>
    <n v="0.32"/>
    <n v="0.67"/>
    <n v="130"/>
    <n v="1300"/>
    <n v="490"/>
    <n v="2800"/>
    <m/>
    <m/>
  </r>
  <r>
    <n v="1043"/>
    <s v="RIVER BRAHMANI AT BHUBAN"/>
    <x v="22"/>
    <n v="24"/>
    <n v="29"/>
    <n v="6"/>
    <n v="9"/>
    <n v="6.5"/>
    <n v="7.6"/>
    <n v="133"/>
    <n v="386"/>
    <n v="1.1000000000000001"/>
    <n v="1.6"/>
    <n v="0.32"/>
    <n v="2.82"/>
    <n v="78"/>
    <n v="2300"/>
    <n v="490"/>
    <n v="4600"/>
    <m/>
    <m/>
  </r>
  <r>
    <n v="2418"/>
    <s v="RIVER BRAHMANI AT KABATABANDHA (BEFORE IMPACT_x000a_OF INDUSTRIAL ACTIVITY IN KALINGANAGAR AREA)"/>
    <x v="22"/>
    <n v="21"/>
    <n v="23"/>
    <n v="6"/>
    <n v="8.9"/>
    <n v="6.6"/>
    <n v="8.1"/>
    <n v="110"/>
    <n v="325"/>
    <n v="1.1000000000000001"/>
    <n v="1.6"/>
    <n v="0.32"/>
    <n v="1.33"/>
    <n v="78"/>
    <n v="1700"/>
    <n v="330"/>
    <n v="3300"/>
    <m/>
    <m/>
  </r>
  <r>
    <n v="10019"/>
    <s v="RIVER BRAHMANI AT DHARAMSHALA U/S"/>
    <x v="22"/>
    <n v="21"/>
    <n v="24"/>
    <n v="6.2"/>
    <n v="8.6"/>
    <n v="6.9"/>
    <n v="8.1999999999999993"/>
    <n v="135"/>
    <n v="178"/>
    <n v="1.3"/>
    <n v="1.6"/>
    <n v="0.32"/>
    <n v="1.66"/>
    <n v="130"/>
    <n v="24000"/>
    <n v="790"/>
    <n v="54000"/>
    <m/>
    <m/>
  </r>
  <r>
    <n v="1044"/>
    <s v="RIVER BRAHMANI AT DHARMASHALA U/S"/>
    <x v="22"/>
    <n v="21"/>
    <n v="24"/>
    <n v="6.4"/>
    <n v="8.6999999999999993"/>
    <n v="6.5"/>
    <n v="8.4"/>
    <n v="131"/>
    <n v="186"/>
    <n v="1.1000000000000001"/>
    <n v="1.9"/>
    <n v="0.32"/>
    <n v="1.2"/>
    <n v="110"/>
    <n v="2200"/>
    <n v="490"/>
    <n v="9400"/>
    <m/>
    <m/>
  </r>
  <r>
    <n v="1045"/>
    <s v="RIVER BRAHMANI AT PATTAMUNDAI"/>
    <x v="22"/>
    <n v="24.1"/>
    <n v="33.5"/>
    <n v="5.8"/>
    <n v="8.6"/>
    <n v="7.3"/>
    <n v="8.1999999999999993"/>
    <n v="165"/>
    <n v="233"/>
    <n v="1.1000000000000001"/>
    <n v="1.4"/>
    <n v="0.32"/>
    <n v="0.88"/>
    <n v="330"/>
    <n v="1700"/>
    <n v="1300"/>
    <n v="4000"/>
    <m/>
    <m/>
  </r>
  <r>
    <n v="3916"/>
    <s v="RIVER BRAHMANI AT ROURKELA FD/S AT ATTAGHAT"/>
    <x v="22"/>
    <n v="23"/>
    <n v="32"/>
    <n v="3.2"/>
    <n v="9"/>
    <n v="6.5"/>
    <n v="8.5"/>
    <n v="140"/>
    <n v="345"/>
    <n v="1.8"/>
    <n v="4.8"/>
    <n v="0.52"/>
    <n v="7.32"/>
    <n v="78"/>
    <n v="2300"/>
    <n v="330"/>
    <n v="7900"/>
    <n v="2"/>
    <n v="23"/>
  </r>
  <r>
    <n v="3917"/>
    <s v="RIVER BRAHMANI AT MANDAPAL"/>
    <x v="22"/>
    <n v="23"/>
    <n v="29"/>
    <n v="6.4"/>
    <n v="8.6"/>
    <n v="6.5"/>
    <n v="7.6"/>
    <n v="124"/>
    <n v="187"/>
    <n v="1.1000000000000001"/>
    <n v="1.9"/>
    <n v="0.32"/>
    <n v="0.7"/>
    <n v="1700"/>
    <n v="17000"/>
    <n v="3500"/>
    <n v="35000"/>
    <n v="14"/>
    <n v="79"/>
  </r>
  <r>
    <n v="3918"/>
    <s v="RIVER BRAHMANI AT DHENKANAL U/S"/>
    <x v="22"/>
    <n v="24"/>
    <n v="29"/>
    <n v="6.4"/>
    <n v="9.4"/>
    <n v="6.8"/>
    <n v="7.5"/>
    <n v="126"/>
    <n v="220"/>
    <n v="1.1000000000000001"/>
    <n v="1.6"/>
    <n v="0.32"/>
    <n v="0.88"/>
    <n v="110"/>
    <n v="1400"/>
    <n v="490"/>
    <n v="3500"/>
    <m/>
    <m/>
  </r>
  <r>
    <n v="2419"/>
    <s v="RIVER KHARASROTA AT KHANDITARA (D/S OF_x000a_INDUSTRIAL ACTIVITIES AT KALINGA NAGAR)"/>
    <x v="22"/>
    <n v="20"/>
    <n v="23"/>
    <n v="6.2"/>
    <n v="8.6"/>
    <n v="6.9"/>
    <n v="8.1999999999999993"/>
    <n v="125"/>
    <n v="162"/>
    <n v="1.1000000000000001"/>
    <n v="1.6"/>
    <n v="0.32"/>
    <n v="1.2"/>
    <n v="45"/>
    <n v="2300"/>
    <n v="330"/>
    <n v="4900"/>
    <m/>
    <m/>
  </r>
  <r>
    <n v="2420"/>
    <s v="RIVER KHARASROTA AT AUL"/>
    <x v="22"/>
    <n v="23.6"/>
    <n v="33.1"/>
    <n v="5.5"/>
    <n v="8.6"/>
    <n v="7.3"/>
    <n v="8.4"/>
    <n v="140"/>
    <n v="371"/>
    <n v="1.1000000000000001"/>
    <n v="1.5"/>
    <n v="0.32"/>
    <n v="0.6"/>
    <n v="220"/>
    <n v="2300"/>
    <n v="700"/>
    <n v="4900"/>
    <m/>
    <m/>
  </r>
  <r>
    <n v="3922"/>
    <s v="RIVER KHARASROTA AT BINJHARPUR"/>
    <x v="22"/>
    <n v="21"/>
    <n v="23"/>
    <n v="6.3"/>
    <n v="8.9"/>
    <n v="6.8"/>
    <n v="8.5"/>
    <n v="108"/>
    <n v="236"/>
    <n v="1.1000000000000001"/>
    <n v="1.9"/>
    <n v="0.32"/>
    <n v="4.34"/>
    <n v="110"/>
    <n v="2300"/>
    <n v="790"/>
    <n v="5600"/>
    <m/>
    <m/>
  </r>
  <r>
    <n v="3921"/>
    <s v="RIVER KISINDAJHOR AT KHARAGPRASAD"/>
    <x v="22"/>
    <n v="23"/>
    <n v="28"/>
    <n v="3.8"/>
    <n v="7.8"/>
    <n v="6.9"/>
    <n v="7.9"/>
    <n v="302"/>
    <n v="710"/>
    <n v="1.1000000000000001"/>
    <n v="1.9"/>
    <n v="0.32"/>
    <n v="3.13"/>
    <n v="230"/>
    <n v="2300"/>
    <n v="790"/>
    <n v="4900"/>
    <m/>
    <m/>
  </r>
  <r>
    <n v="3931"/>
    <s v="RIVER BANGURUSINGADA JHOR"/>
    <x v="22"/>
    <n v="22"/>
    <n v="29"/>
    <n v="4.5999999999999996"/>
    <n v="9.6"/>
    <n v="7.5"/>
    <n v="7.9"/>
    <n v="260"/>
    <n v="455"/>
    <n v="1.1000000000000001"/>
    <n v="1.8"/>
    <n v="0.32"/>
    <n v="1"/>
    <n v="110"/>
    <n v="1700"/>
    <n v="490"/>
    <n v="4900"/>
    <n v="17"/>
    <n v="17"/>
  </r>
  <r>
    <n v="2412"/>
    <s v="RIVER SANKHA U/S ( D/S OF MANDIRA DAM)"/>
    <x v="22"/>
    <n v="23"/>
    <n v="30"/>
    <n v="5.4"/>
    <n v="8.4"/>
    <n v="6.7"/>
    <n v="7.9"/>
    <n v="100"/>
    <n v="198"/>
    <n v="1.1000000000000001"/>
    <n v="1.5"/>
    <n v="0.32"/>
    <n v="0.56999999999999995"/>
    <n v="78"/>
    <n v="1300"/>
    <n v="490"/>
    <n v="4900"/>
    <m/>
    <m/>
  </r>
  <r>
    <n v="3915"/>
    <s v="RIVER KARO AT BADBIL"/>
    <x v="22"/>
    <n v="20"/>
    <n v="31"/>
    <n v="6.2"/>
    <n v="8.1"/>
    <n v="6.7"/>
    <n v="8.1999999999999993"/>
    <n v="115"/>
    <n v="178"/>
    <n v="1.1000000000000001"/>
    <n v="1.6"/>
    <n v="0.32"/>
    <n v="0.81"/>
    <n v="78"/>
    <n v="1300"/>
    <n v="330"/>
    <n v="3900"/>
    <m/>
    <m/>
  </r>
  <r>
    <n v="3924"/>
    <s v="RIVER BADAJHOR (AT DHENKANAL)"/>
    <x v="22"/>
    <n v="22"/>
    <n v="28"/>
    <n v="6"/>
    <n v="10.4"/>
    <n v="7.1"/>
    <n v="8.1"/>
    <n v="185"/>
    <n v="386"/>
    <n v="1.1000000000000001"/>
    <n v="1.9"/>
    <n v="0.32"/>
    <n v="0.97"/>
    <n v="230"/>
    <n v="4900"/>
    <n v="1300"/>
    <n v="24000"/>
    <m/>
    <m/>
  </r>
  <r>
    <n v="3933"/>
    <s v="RIVER DAMASALA AT DAYANABIL"/>
    <x v="22"/>
    <n v="21"/>
    <n v="23"/>
    <n v="6"/>
    <n v="8.4"/>
    <n v="6.8"/>
    <n v="8"/>
    <n v="83"/>
    <n v="205"/>
    <n v="1.1000000000000001"/>
    <n v="2"/>
    <n v="0.32"/>
    <n v="1.05"/>
    <n v="130"/>
    <n v="2200"/>
    <n v="330"/>
    <n v="3500"/>
    <m/>
    <m/>
  </r>
  <r>
    <n v="3927"/>
    <s v="RIVER TIKIRA AT KANIHA U/S"/>
    <x v="22"/>
    <n v="22"/>
    <n v="29"/>
    <n v="6.2"/>
    <n v="9"/>
    <n v="7.5"/>
    <n v="8.1999999999999993"/>
    <n v="163"/>
    <n v="366"/>
    <n v="1.1000000000000001"/>
    <n v="1.4"/>
    <n v="0.32"/>
    <n v="92.02"/>
    <n v="78"/>
    <n v="2100"/>
    <n v="330"/>
    <n v="4000"/>
    <m/>
    <m/>
  </r>
  <r>
    <n v="3928"/>
    <s v="RIVER TIKIRA AT KANIHA D/S"/>
    <x v="22"/>
    <n v="23"/>
    <n v="29"/>
    <n v="6.8"/>
    <n v="10.8"/>
    <n v="7.5"/>
    <n v="8.4"/>
    <n v="174"/>
    <n v="416"/>
    <n v="1.4"/>
    <n v="2"/>
    <n v="0.32"/>
    <n v="1.18"/>
    <n v="170"/>
    <n v="2200"/>
    <n v="490"/>
    <n v="4900"/>
    <m/>
    <m/>
  </r>
  <r>
    <n v="3932"/>
    <s v="RIVER RAMIALA NEAR KAMAKHYANAGAR"/>
    <x v="22"/>
    <n v="24"/>
    <n v="29"/>
    <n v="5.2"/>
    <n v="8.6"/>
    <n v="7.2"/>
    <n v="8.1"/>
    <n v="101"/>
    <n v="272"/>
    <n v="1.1000000000000001"/>
    <n v="1.9"/>
    <n v="0.32"/>
    <n v="0.65"/>
    <n v="130"/>
    <n v="790"/>
    <n v="490"/>
    <n v="2800"/>
    <m/>
    <m/>
  </r>
  <r>
    <n v="1036"/>
    <s v="RIVER KOEL AT MANOHARPUR AFTER MEETING KOINA_x000a_RIVER D/S, JHARKAND"/>
    <x v="6"/>
    <n v="19.2"/>
    <n v="36"/>
    <n v="6.7"/>
    <n v="8.6999999999999993"/>
    <n v="6.8"/>
    <n v="8.3000000000000007"/>
    <n v="198"/>
    <n v="424"/>
    <n v="1.2"/>
    <n v="3.2"/>
    <n v="0"/>
    <n v="0"/>
    <m/>
    <m/>
    <m/>
    <m/>
    <m/>
    <m/>
  </r>
  <r>
    <n v="2413"/>
    <s v="RIVER KOEL U/S (AFTER CONFLUENCE OF KARO)"/>
    <x v="22"/>
    <n v="22"/>
    <n v="32"/>
    <n v="5"/>
    <n v="8.3000000000000007"/>
    <n v="6.8"/>
    <n v="8.5"/>
    <n v="123"/>
    <n v="220"/>
    <n v="1.1000000000000001"/>
    <n v="1.8"/>
    <n v="0.32"/>
    <n v="1.31"/>
    <n v="330"/>
    <n v="2300"/>
    <n v="1700"/>
    <n v="4900"/>
    <m/>
    <m/>
  </r>
  <r>
    <n v="3919"/>
    <s v="RIVER NANDIRA U/S AT KUKUDANGA"/>
    <x v="22"/>
    <n v="21"/>
    <n v="27"/>
    <n v="4.8"/>
    <n v="12.4"/>
    <n v="6.8"/>
    <n v="8.4"/>
    <n v="325"/>
    <n v="595"/>
    <n v="1.1000000000000001"/>
    <n v="1.6"/>
    <n v="0.47"/>
    <n v="3.86"/>
    <n v="78"/>
    <n v="2300"/>
    <n v="330"/>
    <n v="4900"/>
    <m/>
    <m/>
  </r>
  <r>
    <n v="3920"/>
    <s v="RIVER NANDIRA D/S AT DASNALI"/>
    <x v="22"/>
    <n v="22"/>
    <n v="28"/>
    <n v="6.2"/>
    <n v="12.6"/>
    <n v="6.9"/>
    <n v="8.3000000000000007"/>
    <n v="410"/>
    <n v="721"/>
    <n v="1.3"/>
    <n v="2"/>
    <n v="0.32"/>
    <n v="2.34"/>
    <n v="130"/>
    <n v="2100"/>
    <n v="490"/>
    <n v="4900"/>
    <n v="2"/>
    <n v="17"/>
  </r>
  <r>
    <n v="3925"/>
    <s v="RIVER LINGIRA U/S OF ANGUL"/>
    <x v="22"/>
    <n v="23"/>
    <n v="28"/>
    <n v="6.2"/>
    <n v="12"/>
    <n v="7.4"/>
    <n v="8.4"/>
    <n v="290"/>
    <n v="523"/>
    <n v="1.1000000000000001"/>
    <n v="1.6"/>
    <n v="0.32"/>
    <n v="1.78"/>
    <n v="130"/>
    <n v="790"/>
    <n v="460"/>
    <n v="3500"/>
    <m/>
    <m/>
  </r>
  <r>
    <n v="3926"/>
    <s v="RIVER LINGIRA D/S OF ANGUL"/>
    <x v="22"/>
    <n v="23"/>
    <n v="28"/>
    <n v="4.8"/>
    <n v="10.8"/>
    <n v="7.5"/>
    <n v="8.3000000000000007"/>
    <n v="312"/>
    <n v="530"/>
    <n v="1.4"/>
    <n v="1.8"/>
    <n v="0.32"/>
    <n v="92.02"/>
    <n v="130"/>
    <n v="1300"/>
    <n v="700"/>
    <n v="4900"/>
    <m/>
    <m/>
  </r>
  <r>
    <n v="3929"/>
    <s v="RIVER SINGDA JHOR (TALCHER KANIHA ROAD BRIDGE,_x000a_BALANGI)"/>
    <x v="22"/>
    <n v="23"/>
    <n v="30"/>
    <n v="6.6"/>
    <n v="10"/>
    <n v="7.3"/>
    <n v="8.1999999999999993"/>
    <n v="280"/>
    <n v="520"/>
    <n v="1.1000000000000001"/>
    <n v="1.6"/>
    <n v="0.32"/>
    <n v="3.74"/>
    <n v="170"/>
    <n v="2300"/>
    <n v="700"/>
    <n v="4900"/>
    <m/>
    <m/>
  </r>
  <r>
    <n v="3930"/>
    <s v="BANGURU NALLAH (OVER BRIDGE TALCHER RENGALI_x000a_DAM ROAD, SARKISOREPAL)"/>
    <x v="22"/>
    <n v="21"/>
    <n v="28"/>
    <n v="5.8"/>
    <n v="9"/>
    <n v="7.2"/>
    <n v="7.9"/>
    <n v="471"/>
    <n v="1052"/>
    <n v="1.1000000000000001"/>
    <n v="2.5"/>
    <n v="0.32"/>
    <n v="2.98"/>
    <n v="130"/>
    <n v="1100"/>
    <n v="330"/>
    <n v="3500"/>
    <n v="2"/>
    <n v="34"/>
  </r>
  <r>
    <n v="1095"/>
    <s v="RIVER GODAVARI AT U/S OF GANGAPUR DAM, VILLAGE-GANGAPUR,TALUKA- NASHIK, DISTRICT- NASHIK."/>
    <x v="21"/>
    <n v="20"/>
    <n v="29"/>
    <n v="5.9"/>
    <n v="7.3"/>
    <n v="7.1"/>
    <n v="8"/>
    <n v="157"/>
    <n v="302"/>
    <n v="2.8"/>
    <n v="3.2"/>
    <n v="0.3"/>
    <n v="2.4"/>
    <n v="4"/>
    <n v="46"/>
    <n v="38"/>
    <n v="68"/>
    <n v="2"/>
    <n v="2"/>
  </r>
  <r>
    <n v="2177"/>
    <s v="RIVER GODAVARI NEAR SOMESHWAR TEMPLE,_x000a_VILLAGE- SOMESHWAR, TALUKA- NASHIK, DISTRICT-NASHIK."/>
    <x v="21"/>
    <n v="20"/>
    <n v="28"/>
    <n v="5.5"/>
    <n v="6.5"/>
    <n v="7.2"/>
    <n v="7.9"/>
    <n v="280"/>
    <n v="856"/>
    <n v="2.8"/>
    <n v="3.6"/>
    <n v="0.75"/>
    <n v="3.67"/>
    <n v="4"/>
    <n v="63"/>
    <n v="35"/>
    <n v="68"/>
    <n v="2"/>
    <n v="4"/>
  </r>
  <r>
    <n v="2179"/>
    <s v="RIVER GODAVARI AT HANUMAN GHAT, VILLAGE-NASHIK CITY, TALUKA- NASHIK, DISTRICT- NASHIK."/>
    <x v="21"/>
    <n v="20"/>
    <n v="28"/>
    <n v="4.8"/>
    <n v="7.2"/>
    <n v="7.2"/>
    <n v="7.9"/>
    <n v="308"/>
    <n v="3317"/>
    <n v="3"/>
    <n v="4.2"/>
    <n v="0.61"/>
    <n v="3.19"/>
    <n v="4"/>
    <n v="48"/>
    <n v="40"/>
    <n v="58"/>
    <n v="2"/>
    <n v="2"/>
  </r>
  <r>
    <n v="1096"/>
    <s v="RIVER GODAVARI AT RAMKUND, VILLAGE-PANCHAVATI, TALUKA- NASHIK, DISTRICT- NASHIK."/>
    <x v="21"/>
    <n v="20"/>
    <n v="29"/>
    <n v="3.5"/>
    <n v="6.9"/>
    <n v="7.3"/>
    <n v="8.1"/>
    <n v="272"/>
    <n v="578"/>
    <n v="3.4"/>
    <n v="4.2"/>
    <n v="0.3"/>
    <n v="3.03"/>
    <n v="4"/>
    <n v="63"/>
    <n v="48"/>
    <n v="110"/>
    <n v="2"/>
    <n v="2"/>
  </r>
  <r>
    <n v="1211"/>
    <s v="RIVER GODAVARI AT D/S OF NASHIK NEAR AMARDHAM,_x000a_VILLAGE- GADGEBABAMAHARAJ NAGAR, TALUKA -NASHIK, DISTRICT- NASHIK."/>
    <x v="21"/>
    <n v="20"/>
    <n v="28"/>
    <n v="3.8"/>
    <n v="6.8"/>
    <n v="6.8"/>
    <n v="8"/>
    <n v="272"/>
    <n v="588"/>
    <n v="3"/>
    <n v="4.2"/>
    <n v="0.59"/>
    <n v="4.0999999999999996"/>
    <n v="4"/>
    <n v="47"/>
    <n v="46"/>
    <n v="115"/>
    <n v="2"/>
    <n v="2"/>
  </r>
  <r>
    <n v="2180"/>
    <s v="RIVER GODAVARI AT TAPOVAN,VILLAGE- TAPOVAN,_x000a_TALUKA- NASHIK, DISTRICT- NASHIK."/>
    <x v="21"/>
    <n v="20"/>
    <n v="28"/>
    <n v="2.2999999999999998"/>
    <n v="6.4"/>
    <n v="7.3"/>
    <n v="7.9"/>
    <n v="239"/>
    <n v="545"/>
    <n v="3"/>
    <n v="8"/>
    <n v="0.61"/>
    <n v="4.0999999999999996"/>
    <n v="4"/>
    <n v="63"/>
    <n v="48"/>
    <n v="68"/>
    <n v="2"/>
    <n v="2"/>
  </r>
  <r>
    <n v="2181"/>
    <s v="RIVER GODAVARI AT KAPILA- GODAVARI CONFLUENCE_x000a_POINT, VILLAGE- TAPOVAN, TALUKA- NASHIK, DISTRICT-NASHIK."/>
    <x v="21"/>
    <n v="20"/>
    <n v="28"/>
    <n v="5.4"/>
    <n v="7.1"/>
    <n v="7.2"/>
    <n v="7.9"/>
    <n v="243"/>
    <n v="3288"/>
    <n v="3"/>
    <n v="3.8"/>
    <n v="0.57999999999999996"/>
    <n v="4.3600000000000003"/>
    <n v="4"/>
    <n v="43"/>
    <n v="43"/>
    <n v="55"/>
    <n v="2"/>
    <n v="4"/>
  </r>
  <r>
    <n v="2182"/>
    <s v="RIVER GODAVARI AT SAIKHEDA VILLAGE, VILLAGE-SAIKHEDA, TALUKA- NIPHAD, DISTRICT- NASHIK."/>
    <x v="21"/>
    <n v="20"/>
    <n v="28"/>
    <n v="5.5"/>
    <n v="6.4"/>
    <n v="7.2"/>
    <n v="8"/>
    <n v="238"/>
    <n v="761"/>
    <n v="2.8"/>
    <n v="3.8"/>
    <n v="0.63"/>
    <n v="5.4"/>
    <n v="4"/>
    <n v="48"/>
    <n v="40"/>
    <n v="58"/>
    <n v="2"/>
    <n v="2"/>
  </r>
  <r>
    <n v="2183"/>
    <s v="RIVER GODAVARI AT NANDUR-MADHMESHWAR DAM,_x000a_VILLAGE- NANDUR, TALUKA- NIPHAD, DISTRICT- NASHIK."/>
    <x v="21"/>
    <n v="20"/>
    <n v="28"/>
    <n v="5.4"/>
    <n v="6.8"/>
    <n v="7.1"/>
    <n v="8"/>
    <n v="217"/>
    <n v="812"/>
    <n v="3"/>
    <n v="3.8"/>
    <n v="0.5"/>
    <n v="3.53"/>
    <n v="4"/>
    <n v="58"/>
    <n v="40"/>
    <n v="58"/>
    <n v="2"/>
    <n v="2"/>
  </r>
  <r>
    <n v="2160"/>
    <s v="RIVER GODAVARI AT U/S OF AURANGABAD_x000a_RESERVOIR,KAIGAON TOKKA NEAR KAIGAON_x000a_BRIDGE,VILLAGE- KAIGAON,TALUKA- GANGAPUR,_x000a_DISTRICT- AURANGABAD."/>
    <x v="21"/>
    <n v="22"/>
    <n v="36"/>
    <n v="4.4000000000000004"/>
    <n v="7.3"/>
    <n v="7.9"/>
    <n v="9"/>
    <n v="630"/>
    <n v="2614"/>
    <n v="3"/>
    <n v="8"/>
    <n v="0.3"/>
    <n v="7.5"/>
    <n v="2"/>
    <n v="35"/>
    <n v="2"/>
    <n v="240"/>
    <n v="2"/>
    <n v="2"/>
  </r>
  <r>
    <n v="2158"/>
    <s v="RIVER GODAVARI AT U/S OF PAITHAN AT PAITHAN_x000a_INTAKE PUMP HOUSE, VILLAGE- JAYAKWADI, TALUKA-PAITHAN, DISTRICT- AURANGABAD."/>
    <x v="21"/>
    <n v="22"/>
    <n v="36"/>
    <n v="6"/>
    <n v="7.3"/>
    <n v="8.5"/>
    <n v="9"/>
    <n v="612"/>
    <n v="1273"/>
    <n v="2.4"/>
    <n v="7.5"/>
    <n v="0.3"/>
    <n v="1.45"/>
    <n v="2"/>
    <n v="17"/>
    <n v="2"/>
    <n v="47"/>
    <n v="2"/>
    <n v="2"/>
  </r>
  <r>
    <n v="1312"/>
    <s v="RIVER GODAVARI AT JAIKWADI DAM, VILLAGE-PAITHAN, TALUKA- PAITHAN, DISTRICT-AURANGABAD."/>
    <x v="21"/>
    <n v="22"/>
    <n v="36"/>
    <n v="5.8"/>
    <n v="7.2"/>
    <n v="8.1999999999999993"/>
    <n v="8.9"/>
    <n v="630"/>
    <n v="1250"/>
    <n v="2.4"/>
    <n v="6"/>
    <n v="0.3"/>
    <n v="1.36"/>
    <n v="2"/>
    <n v="9"/>
    <n v="2"/>
    <n v="47"/>
    <n v="2"/>
    <n v="2"/>
  </r>
  <r>
    <n v="2159"/>
    <s v="RIVER GODAVARI AT D/S OF PAITHAN AT PATHEGAON_x000a_BRIDGE, VILLAGE- PATHEGAON, TALUKA- PAITHAN,_x000a_DISTRICT- AURANGABAD."/>
    <x v="21"/>
    <n v="22"/>
    <n v="36"/>
    <n v="6"/>
    <n v="7.3"/>
    <n v="8.5"/>
    <n v="9"/>
    <n v="652"/>
    <n v="1232"/>
    <n v="2.6"/>
    <n v="8.5"/>
    <n v="0.3"/>
    <n v="2.4700000000000002"/>
    <n v="2"/>
    <n v="14"/>
    <n v="2"/>
    <n v="140"/>
    <n v="2"/>
    <n v="2"/>
  </r>
  <r>
    <n v="2161"/>
    <s v="RIVER GODAVARI AT JALNA INTAKE WATER PUMP_x000a_HOUSE, VILLAGE- SHAHABAD, TALUKA- AMBAD,_x000a_DISTRICT- JALNA."/>
    <x v="21"/>
    <n v="23"/>
    <n v="30"/>
    <n v="3"/>
    <n v="7.1"/>
    <n v="8"/>
    <n v="8.6999999999999993"/>
    <n v="456"/>
    <n v="9153"/>
    <n v="3"/>
    <n v="12"/>
    <n v="0.45"/>
    <n v="7.12"/>
    <n v="2"/>
    <n v="25"/>
    <n v="2"/>
    <n v="170"/>
    <n v="2"/>
    <n v="2"/>
  </r>
  <r>
    <n v="2157"/>
    <s v="RIVER GODAVARI AT LATUR WATER INTAKE NEAR PUMP_x000a_HOUSE. VILLAGE. DHAMEGAON, TALUKA. KALUMB,_x000a_DISTRICT. OSMANABAD."/>
    <x v="21"/>
    <n v="19"/>
    <n v="23"/>
    <n v="4.0999999999999996"/>
    <n v="7.2"/>
    <n v="7.9"/>
    <n v="8"/>
    <n v="419"/>
    <n v="546"/>
    <n v="3"/>
    <n v="6"/>
    <n v="0.35"/>
    <n v="3.17"/>
    <n v="2"/>
    <n v="2"/>
    <n v="2"/>
    <n v="2"/>
    <n v="2"/>
    <n v="2"/>
  </r>
  <r>
    <n v="12"/>
    <s v="RIVER GODAVARI AT DHALEGAON, VILLAGE-DHALEGAON, TALUKA- PATHARI, DISTRICT- PARBHANI."/>
    <x v="21"/>
    <n v="18"/>
    <n v="24"/>
    <n v="2.9"/>
    <n v="7.4"/>
    <n v="7.4"/>
    <n v="8.8000000000000007"/>
    <n v="361"/>
    <n v="4548"/>
    <n v="2.4"/>
    <n v="11"/>
    <n v="0.41"/>
    <n v="3.48"/>
    <n v="2"/>
    <n v="26"/>
    <n v="2"/>
    <n v="280"/>
    <n v="2"/>
    <n v="2"/>
  </r>
  <r>
    <n v="1209"/>
    <s v="RIVER GODAVARI AT RAHER, VILLAGE.RAHER, TALUKA._x000a_NAYAGAON, DISTRICT. NANDED."/>
    <x v="21"/>
    <n v="18"/>
    <n v="34"/>
    <n v="5.5"/>
    <n v="7.2"/>
    <n v="8.1"/>
    <n v="8.6999999999999993"/>
    <n v="376"/>
    <n v="7952"/>
    <n v="2.6"/>
    <n v="6.5"/>
    <n v="0.31"/>
    <n v="4.32"/>
    <n v="2"/>
    <n v="33"/>
    <n v="2"/>
    <n v="170"/>
    <n v="2"/>
    <n v="2"/>
  </r>
  <r>
    <n v="1210"/>
    <s v="RIVER GODAVARI NEAR INTAKE WATER PUMP HOUSE,_x000a_VILLAGE- VISHNUPURI, TALUKA- NANDED, DISTRICT-NANDED."/>
    <x v="21"/>
    <n v="19"/>
    <n v="35"/>
    <n v="6.4"/>
    <n v="7.2"/>
    <n v="8.1"/>
    <n v="8.6999999999999993"/>
    <n v="375"/>
    <n v="7229"/>
    <n v="2.8"/>
    <n v="5"/>
    <n v="0.3"/>
    <n v="16.100000000000001"/>
    <n v="2"/>
    <n v="22"/>
    <n v="2"/>
    <n v="170"/>
    <n v="2"/>
    <n v="2"/>
  </r>
  <r>
    <n v="30049"/>
    <s v="RIVER GODAVARI AT BELUR,DHARMADABAD, NANDED_x000a_(MAHARSHTRA)"/>
    <x v="21"/>
    <n v="21"/>
    <n v="21"/>
    <n v="5.3"/>
    <n v="5.3"/>
    <n v="8.3000000000000007"/>
    <n v="8.3000000000000007"/>
    <n v="530"/>
    <n v="530"/>
    <n v="4.8"/>
    <n v="4.8"/>
    <n v="1.17"/>
    <n v="1.17"/>
    <n v="25"/>
    <n v="25"/>
    <n v="275"/>
    <n v="275"/>
    <n v="7"/>
    <n v="7"/>
  </r>
  <r>
    <n v="2360"/>
    <s v="RIVER GODAVARI AT BASARA (V &amp; M), NIRMAL (D)"/>
    <x v="24"/>
    <n v="22"/>
    <n v="24"/>
    <n v="6.5"/>
    <n v="7.9"/>
    <n v="7.1"/>
    <n v="8.3000000000000007"/>
    <n v="574"/>
    <n v="1054"/>
    <n v="2"/>
    <n v="4.2"/>
    <n v="12.07"/>
    <n v="28.06"/>
    <n v="5"/>
    <n v="6"/>
    <n v="18"/>
    <n v="23"/>
    <n v="4"/>
    <n v="5"/>
  </r>
  <r>
    <n v="4227"/>
    <s v="RIVER GODAVARI- POCHERA WATER FALLS, POCHERA_x000a_(V), BOATH (M), ADILABAD (D)"/>
    <x v="24"/>
    <n v="20"/>
    <n v="27"/>
    <n v="6.2"/>
    <n v="7.8"/>
    <n v="7.1"/>
    <n v="8.4"/>
    <n v="406"/>
    <n v="913"/>
    <n v="2.8"/>
    <n v="4.2"/>
    <n v="10.06"/>
    <n v="26.08"/>
    <n v="6"/>
    <n v="6"/>
    <n v="17"/>
    <n v="25"/>
    <n v="2"/>
    <n v="6"/>
  </r>
  <r>
    <n v="5105"/>
    <s v="RIVER GODAVARI PUSHKAR GHAT , MANCHERIAL (V&amp;M),_x000a_MANCHERIAL (D)"/>
    <x v="24"/>
    <n v="22"/>
    <n v="25"/>
    <n v="6.1"/>
    <n v="7.5"/>
    <n v="7.2"/>
    <n v="8.3000000000000007"/>
    <n v="610"/>
    <n v="1225"/>
    <n v="2.6"/>
    <n v="4.2"/>
    <n v="11.07"/>
    <n v="36.15"/>
    <n v="6"/>
    <n v="6"/>
    <n v="20"/>
    <n v="27"/>
    <n v="3"/>
    <n v="4"/>
  </r>
  <r>
    <n v="13"/>
    <s v="RIVER GODAVARI AT MANCHERIAL (V&amp;M),_x000a_MANCHERIAL(D)"/>
    <x v="24"/>
    <n v="25"/>
    <n v="27"/>
    <n v="0.3"/>
    <n v="6.2"/>
    <n v="7.4"/>
    <n v="8.1999999999999993"/>
    <n v="360"/>
    <n v="1309"/>
    <n v="1"/>
    <n v="8"/>
    <n v="0.72"/>
    <n v="4.4000000000000004"/>
    <n v="2"/>
    <n v="17"/>
    <n v="14"/>
    <n v="540"/>
    <n v="2"/>
    <n v="4"/>
  </r>
  <r>
    <n v="2361"/>
    <s v="RIVER GODAVARI-RIVER GODAVARI AT MANCHERIAL,_x000a_NEAR RAIL WAY BRIDGE B/C OF RALLAVAGU,_x000a_MANCHERIAL (D)"/>
    <x v="24"/>
    <n v="24"/>
    <n v="26"/>
    <n v="5.4"/>
    <n v="6.2"/>
    <n v="7.2"/>
    <n v="8.1999999999999993"/>
    <n v="364"/>
    <n v="1398"/>
    <n v="1"/>
    <n v="2.4"/>
    <n v="0.62"/>
    <n v="2.6"/>
    <n v="2"/>
    <n v="2"/>
    <n v="24"/>
    <n v="43"/>
    <n v="2"/>
    <n v="2"/>
  </r>
  <r>
    <n v="2362"/>
    <s v="RIVER GODAVARI-D/S AT RAMAGUNDAM NEAR FCI_x000a_INTAKE WELL, PEDDAPALLI"/>
    <x v="24"/>
    <n v="24"/>
    <n v="28"/>
    <n v="5.2"/>
    <n v="6.1"/>
    <n v="7.3"/>
    <n v="8.4"/>
    <n v="365"/>
    <n v="597"/>
    <n v="1"/>
    <n v="3.4"/>
    <n v="0.62"/>
    <n v="2.6"/>
    <n v="2"/>
    <n v="2"/>
    <n v="14"/>
    <n v="48"/>
    <n v="2"/>
    <n v="2"/>
  </r>
  <r>
    <n v="2363"/>
    <s v="RIVER GODAVARI AT GODAVARIKHANI NEAR BATHING_x000a_GHAT , PEDDAPALLI"/>
    <x v="24"/>
    <n v="25"/>
    <n v="26"/>
    <n v="4.8"/>
    <n v="6.1"/>
    <n v="7"/>
    <n v="8.1999999999999993"/>
    <n v="401"/>
    <n v="595"/>
    <n v="1.4"/>
    <n v="4"/>
    <n v="0.78"/>
    <n v="2.2000000000000002"/>
    <n v="2"/>
    <n v="2"/>
    <n v="21"/>
    <n v="40"/>
    <n v="2"/>
    <n v="2"/>
  </r>
  <r>
    <n v="2364"/>
    <s v="RIVER GODAVARI AT RAMAGUNDAM UPSTREAM NEAR_x000a_DAM, PEDDAPALLI"/>
    <x v="24"/>
    <n v="24.5"/>
    <n v="27"/>
    <n v="5"/>
    <n v="6.2"/>
    <n v="7.2"/>
    <n v="8.1999999999999993"/>
    <n v="380"/>
    <n v="744"/>
    <n v="1"/>
    <n v="4"/>
    <n v="0.42"/>
    <n v="2.4"/>
    <n v="2"/>
    <n v="2"/>
    <n v="24"/>
    <n v="58"/>
    <n v="2"/>
    <n v="2"/>
  </r>
  <r>
    <n v="5497"/>
    <s v="RIVER GODAVARI D/S AFTER CONFLUENCE OF_x000a_RAMAGUNDAM FERTILIZE AND CHEMICALS LTD_x000a_(RFCL),DISCHARGE INTO RIVER"/>
    <x v="24"/>
    <n v="25.8"/>
    <n v="28"/>
    <n v="2.8"/>
    <n v="6.2"/>
    <n v="6.7"/>
    <n v="7.8"/>
    <n v="424"/>
    <n v="1040"/>
    <n v="1"/>
    <n v="2.6"/>
    <n v="0.8"/>
    <n v="3.8"/>
    <n v="2"/>
    <n v="2"/>
    <n v="17"/>
    <n v="120"/>
    <n v="2"/>
    <n v="2"/>
  </r>
  <r>
    <n v="2356"/>
    <s v="RIVER GODAVARI D/S OF RAMAGUNDAM AT MANTHANI,_x000a_PEDDAPALLI"/>
    <x v="24"/>
    <n v="25"/>
    <n v="27"/>
    <n v="5"/>
    <n v="6.2"/>
    <n v="7.3"/>
    <n v="8.1"/>
    <n v="412"/>
    <n v="744"/>
    <n v="1"/>
    <n v="2.4"/>
    <n v="0.82"/>
    <n v="2.4"/>
    <n v="2"/>
    <n v="2"/>
    <n v="21"/>
    <n v="94"/>
    <n v="2"/>
    <n v="2"/>
  </r>
  <r>
    <n v="4662"/>
    <s v="RIVER GODAVARI AT KALESHWARAM, 500 MTS. BEFORE_x000a_BATHING GHAT, KALESHWARAM (V), MAHADEVPUR_x000a_(M),JAYASHANKAR BHUPALAPALLY"/>
    <x v="24"/>
    <n v="24"/>
    <n v="28"/>
    <n v="5.6"/>
    <n v="6.3"/>
    <n v="7"/>
    <n v="8.4"/>
    <n v="322"/>
    <n v="1128"/>
    <n v="1"/>
    <n v="4"/>
    <n v="0.3"/>
    <n v="4.5999999999999996"/>
    <n v="2"/>
    <n v="2"/>
    <n v="21"/>
    <n v="34"/>
    <n v="2"/>
    <n v="2"/>
  </r>
  <r>
    <n v="2365"/>
    <s v="RIVER GODAVARI - U/S AT KAMALAPUR ,AT M/S.AP_x000a_RAYONS LTD., INTAKE WELL , KAMALAPUR (V),_x000a_MANGAPET (M), MULUGU (D)"/>
    <x v="24"/>
    <n v="25"/>
    <n v="30"/>
    <n v="5.4"/>
    <n v="6.2"/>
    <n v="7.1"/>
    <n v="8.4"/>
    <n v="251"/>
    <n v="588"/>
    <n v="1"/>
    <n v="2"/>
    <n v="0.3"/>
    <n v="2.6"/>
    <n v="2"/>
    <n v="2"/>
    <n v="17"/>
    <n v="40"/>
    <n v="2"/>
    <n v="2"/>
  </r>
  <r>
    <n v="2366"/>
    <s v="RIVER GODAVARI - D/S AT KAMALAPUR ,AT M/S.AP_x000a_RAYONS LTD., DISCHARGE POINT , MANGAPET (V&amp;M),_x000a_MULUGU (D)"/>
    <x v="24"/>
    <n v="26"/>
    <n v="30"/>
    <n v="5.4"/>
    <n v="6.2"/>
    <n v="7"/>
    <n v="8.4"/>
    <n v="225"/>
    <n v="517"/>
    <n v="1"/>
    <n v="2.2000000000000002"/>
    <n v="0.3"/>
    <n v="3.2"/>
    <n v="2"/>
    <n v="2"/>
    <n v="20"/>
    <n v="58"/>
    <n v="2"/>
    <n v="2"/>
  </r>
  <r>
    <n v="2367"/>
    <s v="RIVER GODAVARI - U/S AT BHADRACHALAM BATHING_x000a_GHAT, BHADRADRI KOTHAGUDEM"/>
    <x v="24"/>
    <n v="25"/>
    <n v="31.1"/>
    <n v="5"/>
    <n v="6.2"/>
    <n v="7.3"/>
    <n v="8.4"/>
    <n v="254"/>
    <n v="762"/>
    <n v="1"/>
    <n v="2.5"/>
    <n v="0.43"/>
    <n v="2.8"/>
    <n v="2"/>
    <n v="2"/>
    <n v="17"/>
    <n v="47"/>
    <n v="2"/>
    <n v="2"/>
  </r>
  <r>
    <n v="2368"/>
    <s v="RIVER GODAVARI - D/S AT BHADRACHALAM BATHING_x000a_GHAT , BHADRADRI KOTHAGUDEM"/>
    <x v="24"/>
    <n v="26"/>
    <n v="31"/>
    <n v="5.0999999999999996"/>
    <n v="6.1"/>
    <n v="7"/>
    <n v="8.1999999999999993"/>
    <n v="223"/>
    <n v="512"/>
    <n v="1.2"/>
    <n v="2.2000000000000002"/>
    <n v="0.55000000000000004"/>
    <n v="3.16"/>
    <n v="2"/>
    <n v="2"/>
    <n v="17"/>
    <n v="47"/>
    <n v="2"/>
    <n v="2"/>
  </r>
  <r>
    <n v="2369"/>
    <s v="RIVER GODAVARI AT BURGAMPAHAD , BHADRADRI_x000a_KOTHAGUDEM"/>
    <x v="24"/>
    <n v="24.8"/>
    <n v="31.3"/>
    <n v="4.8"/>
    <n v="6.2"/>
    <n v="7.1"/>
    <n v="8.1999999999999993"/>
    <n v="247"/>
    <n v="687"/>
    <n v="1"/>
    <n v="3.2"/>
    <n v="0.88"/>
    <n v="20.3"/>
    <n v="2"/>
    <n v="2"/>
    <n v="24"/>
    <n v="220"/>
    <n v="2"/>
    <n v="2"/>
  </r>
  <r>
    <n v="4367"/>
    <s v="RIVER GODAVARI KOUNDINYA MUKTHI (V), KUKUNUR_x000a_(M), BORDER POINT BETWEEN ANDHRA PRADESH &amp;_x000a_TELANGANA STATES"/>
    <x v="25"/>
    <n v="22"/>
    <n v="32"/>
    <n v="6.2"/>
    <n v="7.5"/>
    <n v="7.8"/>
    <n v="8.4"/>
    <n v="130"/>
    <n v="2133"/>
    <n v="1.1000000000000001"/>
    <n v="2.2000000000000002"/>
    <n v="0.32"/>
    <n v="2.3199999999999998"/>
    <n v="3"/>
    <n v="9"/>
    <n v="64"/>
    <n v="210"/>
    <n v="2"/>
    <n v="3"/>
  </r>
  <r>
    <n v="4359"/>
    <s v="RIVER GODAVARI AFTER CONFLUENCE WITH SABARI_x000a_TRIBUTARY (KUNAVARAM) AT WADDIGUDEM(V) V.R._x000a_PURAM (M)"/>
    <x v="25"/>
    <n v="23"/>
    <n v="27"/>
    <n v="6.2"/>
    <n v="7.8"/>
    <n v="7.2"/>
    <n v="8.5"/>
    <n v="64"/>
    <n v="762"/>
    <n v="1.3"/>
    <n v="2.2999999999999998"/>
    <n v="0.32"/>
    <n v="1.06"/>
    <n v="2"/>
    <n v="9"/>
    <n v="21"/>
    <n v="120"/>
    <n v="2"/>
    <n v="2"/>
  </r>
  <r>
    <n v="14"/>
    <s v="RIVER GODAVARI AT POLAVARAM (V &amp; M)"/>
    <x v="25"/>
    <n v="22"/>
    <n v="34"/>
    <n v="6"/>
    <n v="7.5"/>
    <n v="7.4"/>
    <n v="8.4"/>
    <n v="130"/>
    <n v="284"/>
    <n v="1.2"/>
    <n v="2.6"/>
    <n v="0.3"/>
    <n v="3.87"/>
    <n v="3"/>
    <n v="14"/>
    <n v="64"/>
    <n v="240"/>
    <n v="2"/>
    <n v="3"/>
  </r>
  <r>
    <n v="1218"/>
    <s v="RIVER GODAVARI AT RAJAHMUNDRY U/S,_x000a_KUMARADEVAM (V), KOVVUR (M)"/>
    <x v="25"/>
    <n v="25"/>
    <n v="32"/>
    <n v="6.9"/>
    <n v="7.6"/>
    <n v="6.6"/>
    <n v="8.3000000000000007"/>
    <n v="155"/>
    <n v="630"/>
    <n v="1.6"/>
    <n v="2.2000000000000002"/>
    <n v="0.3"/>
    <n v="1.82"/>
    <n v="4"/>
    <n v="9"/>
    <n v="75"/>
    <n v="150"/>
    <n v="2"/>
    <n v="3"/>
  </r>
  <r>
    <n v="2370"/>
    <s v="RIVER GODAVARI AT RAJAMUNDRY U/S OF NALLA_x000a_CHANNEL,RAJAMUNDRY"/>
    <x v="25"/>
    <n v="25"/>
    <n v="27"/>
    <n v="6.7"/>
    <n v="7.5"/>
    <n v="6.3"/>
    <n v="8.3000000000000007"/>
    <n v="180"/>
    <n v="361"/>
    <n v="1.8"/>
    <n v="2.4"/>
    <n v="0.3"/>
    <n v="2.64"/>
    <n v="3"/>
    <n v="11"/>
    <n v="75"/>
    <n v="210"/>
    <n v="2"/>
    <n v="3"/>
  </r>
  <r>
    <n v="2371"/>
    <s v="RIVER GODAVARI AT RAJAMUNDRY D/S OF NALLA_x000a_CHANNEL, RAJAMUNDRY"/>
    <x v="25"/>
    <n v="25"/>
    <n v="27"/>
    <n v="6.1"/>
    <n v="7.2"/>
    <n v="6.4"/>
    <n v="8.4"/>
    <n v="141"/>
    <n v="296"/>
    <n v="2"/>
    <n v="2.4"/>
    <n v="0.32"/>
    <n v="2.4300000000000002"/>
    <n v="4"/>
    <n v="20"/>
    <n v="150"/>
    <n v="240"/>
    <n v="2"/>
    <n v="3"/>
  </r>
  <r>
    <n v="3067"/>
    <s v="RIVER GODAVARI D/S DOWLEISWARAM AFTER_x000a_CONFLUENCE OF STP OUTLET, DOWLEISWARAM (V)"/>
    <x v="25"/>
    <n v="26"/>
    <n v="28"/>
    <n v="6.4"/>
    <n v="7.4"/>
    <n v="6.5"/>
    <n v="8.4"/>
    <n v="129"/>
    <n v="297"/>
    <n v="1.8"/>
    <n v="2.4"/>
    <n v="0.32"/>
    <n v="2.42"/>
    <n v="4"/>
    <n v="15"/>
    <n v="39"/>
    <n v="240"/>
    <n v="2"/>
    <n v="3"/>
  </r>
  <r>
    <n v="1219"/>
    <s v="RIVER GODAVARI AT RAJAHMUNDRY D/S,_x000a_DOWLESWARAM (V), RAJAHMUNDRY (M)"/>
    <x v="25"/>
    <n v="25"/>
    <n v="29"/>
    <n v="6.4"/>
    <n v="7.4"/>
    <n v="6.6"/>
    <n v="8.5"/>
    <n v="125"/>
    <n v="285"/>
    <n v="2"/>
    <n v="2.4"/>
    <n v="0.32"/>
    <n v="1.02"/>
    <n v="4"/>
    <n v="15"/>
    <n v="93"/>
    <n v="460"/>
    <n v="2"/>
    <n v="3"/>
  </r>
  <r>
    <n v="3948"/>
    <s v="RIVER INDRAVATI AT NAWARANGPUR"/>
    <x v="22"/>
    <n v="13"/>
    <n v="30"/>
    <n v="4.5"/>
    <n v="8.1999999999999993"/>
    <n v="6.7"/>
    <n v="7.8"/>
    <n v="90"/>
    <n v="192"/>
    <n v="1.1000000000000001"/>
    <n v="1.8"/>
    <n v="0.32"/>
    <n v="3.77"/>
    <n v="78"/>
    <n v="13000"/>
    <n v="490"/>
    <n v="28000"/>
    <m/>
    <m/>
  </r>
  <r>
    <n v="30062"/>
    <s v="RIVER INDRAWATI AT NOWRANGPUR (ODISHA)"/>
    <x v="22"/>
    <n v="26"/>
    <n v="30"/>
    <n v="7.5"/>
    <n v="7.6"/>
    <n v="7"/>
    <n v="7"/>
    <n v="102"/>
    <n v="110"/>
    <n v="1"/>
    <n v="1"/>
    <n v="0.32"/>
    <n v="0.32"/>
    <n v="1300"/>
    <n v="1300"/>
    <n v="2200"/>
    <n v="2200"/>
    <n v="20"/>
    <n v="20"/>
  </r>
  <r>
    <n v="3312"/>
    <s v="RIVER KANHAN AT CHINDWARA BEFORE MIXING_x000a_BOREGAON GROWTHCENTRE NALLA, JABALPUR"/>
    <x v="10"/>
    <n v="20"/>
    <n v="31"/>
    <n v="7.1"/>
    <n v="7.2"/>
    <n v="7.4"/>
    <n v="8.1999999999999993"/>
    <n v="611"/>
    <n v="816"/>
    <n v="1.8"/>
    <n v="2.2000000000000002"/>
    <n v="1.6"/>
    <n v="2.44"/>
    <n v="3"/>
    <n v="4"/>
    <n v="15"/>
    <n v="39"/>
    <m/>
    <m/>
  </r>
  <r>
    <n v="5537"/>
    <s v="RIVER KANHAN NEAR MANDIR MAIN GHAT_x000a_KHAPPADIWAR, CHHINDWARA"/>
    <x v="10"/>
    <n v="19"/>
    <n v="31"/>
    <n v="7.1"/>
    <n v="7.8"/>
    <n v="7.1"/>
    <n v="8.1"/>
    <n v="288"/>
    <n v="816"/>
    <n v="1"/>
    <n v="2.2000000000000002"/>
    <n v="0"/>
    <n v="3.38"/>
    <n v="2"/>
    <n v="7"/>
    <n v="10"/>
    <n v="120"/>
    <m/>
    <m/>
  </r>
  <r>
    <n v="2170"/>
    <s v="RIVER KANHAN AT U/S OF M/S VIDARBHA PAPER MILLS,_x000a_VILLAGE- SINORA, TALUKA- PARSEONI, DISTRICT-NAGPUR."/>
    <x v="21"/>
    <n v="19"/>
    <n v="30"/>
    <n v="5.4"/>
    <n v="6.8"/>
    <n v="7.2"/>
    <n v="8.6"/>
    <n v="906"/>
    <n v="1411"/>
    <n v="3"/>
    <n v="3.5"/>
    <n v="0.3"/>
    <n v="2.73"/>
    <n v="14"/>
    <n v="43"/>
    <n v="110"/>
    <n v="350"/>
    <n v="2"/>
    <n v="2"/>
  </r>
  <r>
    <n v="2171"/>
    <s v="RIVER KANHAN AT D/S OF M/S VIDARBHA PAPER MILLS,_x000a_VILLAGE- SINORA, TALUKA- PARSEONI, DISTRICT-NAGPUR."/>
    <x v="21"/>
    <n v="19"/>
    <n v="30"/>
    <n v="5.0999999999999996"/>
    <n v="6.6"/>
    <n v="7.6"/>
    <n v="8.6"/>
    <n v="819"/>
    <n v="1316"/>
    <n v="3"/>
    <n v="4"/>
    <n v="0.3"/>
    <n v="2.98"/>
    <n v="11"/>
    <n v="48"/>
    <n v="140"/>
    <n v="430"/>
    <n v="2"/>
    <n v="2"/>
  </r>
  <r>
    <n v="1909"/>
    <s v="RIVER KANHAN AT D/S OF NAGPUR, VILLAGE-AGARGAON, TALUKA- KUHI, DISTRICT- NAGPUR."/>
    <x v="21"/>
    <n v="16"/>
    <n v="21"/>
    <n v="2"/>
    <n v="6.2"/>
    <n v="7.5"/>
    <n v="8.4"/>
    <n v="730"/>
    <n v="1756"/>
    <n v="3"/>
    <n v="9.8000000000000007"/>
    <n v="0.3"/>
    <n v="2.93"/>
    <n v="14"/>
    <n v="43"/>
    <n v="110"/>
    <n v="280"/>
    <n v="2"/>
    <n v="2"/>
  </r>
  <r>
    <n v="3080"/>
    <s v="RIVER KINNERASANI (TRIBUTRARY OF GODAVARI) - U/S_x000a_OF KARAKAVAGU AT PALONCHA , BHADRADRI_x000a_KOTHAGUDEM"/>
    <x v="24"/>
    <n v="24"/>
    <n v="28.6"/>
    <n v="5"/>
    <n v="6.2"/>
    <n v="7.2"/>
    <n v="8.3000000000000007"/>
    <n v="412"/>
    <n v="835"/>
    <n v="1"/>
    <n v="2.2000000000000002"/>
    <n v="0.3"/>
    <n v="2.4"/>
    <n v="2"/>
    <n v="2"/>
    <n v="24"/>
    <n v="39"/>
    <n v="2"/>
    <n v="2"/>
  </r>
  <r>
    <n v="3081"/>
    <s v="RIVER KINNERASANI (TRIBUTRARY OF GODAVARI) - D/S_x000a_OF KARAKAVAGU AT PALONCHA, BHADRADRI_x000a_KOTHAGUDEM"/>
    <x v="24"/>
    <n v="25.8"/>
    <n v="29.1"/>
    <n v="4.5999999999999996"/>
    <n v="6.1"/>
    <n v="7.5"/>
    <n v="8.1999999999999993"/>
    <n v="408"/>
    <n v="596"/>
    <n v="1"/>
    <n v="2.4"/>
    <n v="0.3"/>
    <n v="2.8"/>
    <n v="2"/>
    <n v="2"/>
    <n v="20"/>
    <n v="39"/>
    <n v="2"/>
    <n v="2"/>
  </r>
  <r>
    <n v="2372"/>
    <s v="RIVER KINNERASANI (TRIBUTRARY OF GODAVARI) -KINNERASANI AFTER CONFLUENCE OF KTPS ASH POND_x000a_EFFLUENTS ,BHADRADRI KOTHAGUDEM"/>
    <x v="24"/>
    <n v="25"/>
    <n v="29.1"/>
    <n v="4.8"/>
    <n v="6.2"/>
    <n v="7.5"/>
    <n v="8.1999999999999993"/>
    <n v="179"/>
    <n v="612"/>
    <n v="1"/>
    <n v="2.8"/>
    <n v="0.78"/>
    <n v="2.5"/>
    <n v="2"/>
    <n v="2"/>
    <n v="17"/>
    <n v="120"/>
    <n v="2"/>
    <n v="2"/>
  </r>
  <r>
    <n v="1908"/>
    <s v="RIVER KOLAR BEFORE CONFLUENCE WITH KANHAN_x000a_RIVER AT WAREGAON BRIDGE, VILLAGE- WAREGAON,_x000a_TALUKA-KAMPTEE, DISTRICT -NAGPUR."/>
    <x v="21"/>
    <n v="19"/>
    <n v="30"/>
    <n v="5.0999999999999996"/>
    <n v="6.8"/>
    <n v="7.2"/>
    <n v="8.6999999999999993"/>
    <n v="870"/>
    <n v="1740"/>
    <n v="3"/>
    <n v="4"/>
    <n v="0.3"/>
    <n v="2.9"/>
    <n v="11"/>
    <n v="40"/>
    <n v="110"/>
    <n v="220"/>
    <n v="2"/>
    <n v="2"/>
  </r>
  <r>
    <n v="4257"/>
    <s v="RIVER MANERU (TRIBUTARY OF GODAVARI) - AT D/S OF_x000a_MUNICIPAL DUMP SITE, KARIMNAGAR"/>
    <x v="24"/>
    <n v="26"/>
    <n v="27"/>
    <n v="0.3"/>
    <n v="5.9"/>
    <n v="6.9"/>
    <n v="8.4"/>
    <n v="438"/>
    <n v="2143"/>
    <n v="1.8"/>
    <n v="13"/>
    <n v="1.1200000000000001"/>
    <n v="6.6"/>
    <n v="2"/>
    <n v="24"/>
    <n v="32"/>
    <n v="430"/>
    <n v="2"/>
    <n v="4"/>
  </r>
  <r>
    <n v="4664"/>
    <s v="RIVER MANERU (TRIBUTARY OF GODAVARI) - AT_x000a_GHATTEPALLI (V) NEAR SULTHANABAD, KARIMNAGAR"/>
    <x v="24"/>
    <n v="25"/>
    <n v="26"/>
    <n v="4"/>
    <n v="6"/>
    <n v="6.9"/>
    <n v="8.1"/>
    <n v="424"/>
    <n v="872"/>
    <n v="1.6"/>
    <n v="3.8"/>
    <n v="2.2000000000000002"/>
    <n v="3.28"/>
    <n v="2"/>
    <n v="2"/>
    <n v="27"/>
    <n v="84"/>
    <n v="2"/>
    <n v="2"/>
  </r>
  <r>
    <n v="1158"/>
    <s v="RIVER MANERU (TRIBUTARY OF GODAVARI) - AT_x000a_SOMANPALLY , PEDDAPALLI"/>
    <x v="24"/>
    <n v="25"/>
    <n v="27"/>
    <n v="5.2"/>
    <n v="6.2"/>
    <n v="6.6"/>
    <n v="8.4"/>
    <n v="436"/>
    <n v="811"/>
    <n v="1"/>
    <n v="2.9"/>
    <n v="0.57999999999999996"/>
    <n v="3.24"/>
    <n v="2"/>
    <n v="2"/>
    <n v="21"/>
    <n v="70"/>
    <n v="2"/>
    <n v="2"/>
  </r>
  <r>
    <n v="1891"/>
    <s v="RIVER MANJEERA AT D/S INTAKE POINT TO BIDAR CITY"/>
    <x v="26"/>
    <n v="24"/>
    <n v="30"/>
    <n v="6.9"/>
    <n v="7.9"/>
    <n v="7.4"/>
    <n v="8.3000000000000007"/>
    <n v="390"/>
    <n v="582"/>
    <n v="2"/>
    <n v="3"/>
    <n v="0.57999999999999996"/>
    <n v="4"/>
    <n v="33"/>
    <n v="540"/>
    <n v="140"/>
    <n v="2800"/>
    <m/>
    <m/>
  </r>
  <r>
    <n v="1157"/>
    <s v="RIVER MANJEERA (TRIBUTARY OF GODAVARI) - AT_x000a_RAIPALLY, SANGAREEDY"/>
    <x v="24"/>
    <n v="22"/>
    <n v="34"/>
    <n v="6.1"/>
    <n v="7.6"/>
    <n v="7.5"/>
    <n v="8.4"/>
    <n v="575"/>
    <n v="676"/>
    <n v="2.1"/>
    <n v="3.3"/>
    <n v="6.02"/>
    <n v="28.04"/>
    <n v="4"/>
    <n v="6"/>
    <n v="27"/>
    <n v="39"/>
    <n v="4"/>
    <n v="5"/>
  </r>
  <r>
    <n v="1781"/>
    <s v="RIVER MANJEERA (TRIBUTARY OF GODAVARI) - AT_x000a_GANAPATHI SUGARS, SANGAREDDY"/>
    <x v="24"/>
    <n v="20"/>
    <n v="29"/>
    <n v="5.8"/>
    <n v="6.6"/>
    <n v="7"/>
    <n v="8.3000000000000007"/>
    <n v="605"/>
    <n v="758"/>
    <n v="2"/>
    <n v="3.2"/>
    <n v="5.03"/>
    <n v="123"/>
    <n v="8"/>
    <n v="8"/>
    <n v="39"/>
    <n v="52"/>
    <n v="4"/>
    <n v="6"/>
  </r>
  <r>
    <n v="2374"/>
    <s v="RIVER MANJEERA (TRIBUTARY OF GODAVARI) - U/S OF_x000a_RIVER MANJEERA AT GOWDICHERLA BEFORE_x000a_CONFLUENCE WITH NAKKAVAGU, SANGAREDY"/>
    <x v="24"/>
    <n v="19"/>
    <n v="27"/>
    <n v="5.9"/>
    <n v="6.9"/>
    <n v="7.1"/>
    <n v="7.9"/>
    <n v="850"/>
    <n v="1020"/>
    <n v="2"/>
    <n v="3.2"/>
    <n v="10.06"/>
    <n v="29.04"/>
    <n v="7"/>
    <n v="8"/>
    <n v="27"/>
    <n v="34"/>
    <n v="6"/>
    <n v="6"/>
  </r>
  <r>
    <n v="2375"/>
    <s v="RIVER MANJEERA (TRIBUTARY OF GODAVARI) - D/S OF_x000a_RIVER MANJEERA AT GOWDICHERLA ATFTER_x000a_CONFLUENCE WITH NAKKAVAGU, SANGAREDDY"/>
    <x v="24"/>
    <n v="19"/>
    <n v="28"/>
    <n v="5.9"/>
    <n v="7"/>
    <n v="7.2"/>
    <n v="7.8"/>
    <n v="1203"/>
    <n v="1489"/>
    <n v="2.2999999999999998"/>
    <n v="3.9"/>
    <n v="14.13"/>
    <n v="26.12"/>
    <n v="6"/>
    <n v="7"/>
    <n v="34"/>
    <n v="41"/>
    <n v="4"/>
    <n v="5"/>
  </r>
  <r>
    <n v="4226"/>
    <s v="RIVER MANJEERA (TRIBUTARY OF GODAVARI) - RIVER_x000a_MANJEERA AT YEDU PAYALA TEMPLE, NAGSAMPALLI_x000a_(V), PAPANNAPET (M), MEDAK DISTRICT"/>
    <x v="24"/>
    <n v="16"/>
    <n v="28"/>
    <n v="6.2"/>
    <n v="7.3"/>
    <n v="7.1"/>
    <n v="8.3000000000000007"/>
    <n v="592"/>
    <n v="1195"/>
    <n v="2.2000000000000002"/>
    <n v="4"/>
    <n v="9.16"/>
    <n v="41.13"/>
    <n v="4"/>
    <n v="6"/>
    <n v="18"/>
    <n v="84"/>
    <n v="2"/>
    <n v="2"/>
  </r>
  <r>
    <n v="2673"/>
    <s v="RIVER MANJRA AT D/S OF LATUR, NEAR LATUR-NANDED BRIDGE, VILLAGE- BHATKHEDA, TALUKA-LATUR, DISTRICT- LATUR."/>
    <x v="21"/>
    <n v="18"/>
    <n v="20"/>
    <n v="6"/>
    <n v="6.5"/>
    <n v="8"/>
    <n v="8.5"/>
    <n v="641"/>
    <n v="792"/>
    <n v="5.2"/>
    <n v="5.2"/>
    <n v="0.59"/>
    <n v="0.62"/>
    <n v="2"/>
    <n v="2"/>
    <n v="5"/>
    <n v="32"/>
    <n v="2"/>
    <n v="5"/>
  </r>
  <r>
    <n v="30055"/>
    <s v="RIVER MANJEERA AT JANWADA(BANGALORE)"/>
    <x v="26"/>
    <n v="24"/>
    <n v="28"/>
    <n v="7.7"/>
    <n v="9.3000000000000007"/>
    <n v="8.4"/>
    <n v="8.5"/>
    <n v="461"/>
    <n v="604"/>
    <n v="1"/>
    <n v="7"/>
    <n v="0"/>
    <n v="4.8"/>
    <n v="470"/>
    <n v="1400"/>
    <n v="3500"/>
    <n v="7000"/>
    <m/>
    <m/>
  </r>
  <r>
    <n v="2675"/>
    <s v="RIVER MORNA D/S OF RAILWAY BRIDGE AKOLA"/>
    <x v="21"/>
    <n v="23"/>
    <n v="27"/>
    <n v="3.1"/>
    <n v="5.9"/>
    <n v="7.4"/>
    <n v="8.3000000000000007"/>
    <n v="891"/>
    <n v="1989"/>
    <n v="3"/>
    <n v="5.8"/>
    <n v="0.32"/>
    <n v="9.43"/>
    <n v="12"/>
    <n v="48"/>
    <n v="120"/>
    <n v="210"/>
    <n v="2"/>
    <n v="2"/>
  </r>
  <r>
    <n v="2349"/>
    <s v="RIVER MANJEERA (TRIBUTARY OF GODAVARI) - NAKKA_x000a_VAGU AT BACHUGUDEM, SANGAREEDY"/>
    <x v="24"/>
    <n v="18"/>
    <n v="21"/>
    <n v="4.2"/>
    <n v="5.4"/>
    <n v="6.8"/>
    <n v="7.3"/>
    <n v="1206"/>
    <n v="1555"/>
    <n v="3.5"/>
    <n v="4.8"/>
    <n v="20.12"/>
    <n v="40.130000000000003"/>
    <n v="8"/>
    <n v="8"/>
    <n v="79"/>
    <n v="94"/>
    <n v="7"/>
    <n v="8"/>
  </r>
  <r>
    <n v="1214"/>
    <s v="RIVER PENCH AT CHHINDWARA ,NEAR SINGORI ROAD_x000a_BRIDGE, CHHINDWARA"/>
    <x v="10"/>
    <n v="19"/>
    <n v="30"/>
    <n v="7.1"/>
    <n v="7.7"/>
    <n v="7.2"/>
    <n v="8.1"/>
    <n v="264"/>
    <n v="716"/>
    <n v="1.4"/>
    <n v="2"/>
    <n v="0.47"/>
    <n v="5.04"/>
    <n v="2"/>
    <n v="10"/>
    <n v="15"/>
    <n v="120"/>
    <m/>
    <m/>
  </r>
  <r>
    <n v="5541"/>
    <s v="RIVER PENCHÂ NEAR ROAD BRIDGE_x000a_HALLAKHURD,CHHINDWARA"/>
    <x v="10"/>
    <n v="19"/>
    <n v="31"/>
    <n v="7.1"/>
    <n v="7.8"/>
    <n v="7.1"/>
    <n v="8.1"/>
    <n v="322"/>
    <n v="716"/>
    <n v="1"/>
    <n v="2"/>
    <n v="0"/>
    <n v="5.0999999999999996"/>
    <n v="2"/>
    <n v="7"/>
    <n v="15"/>
    <n v="120"/>
    <m/>
    <m/>
  </r>
  <r>
    <n v="2699"/>
    <s v="RIVER PENGANGA AT MEHKAR -BULDANA ROAD_x000a_BRIDGE, VILLAGE-MEHKAR, TALUKA-MEHKAR,DISTRICT-AKOLA."/>
    <x v="21"/>
    <n v="23"/>
    <n v="28"/>
    <n v="5.2"/>
    <n v="6.1"/>
    <n v="7.8"/>
    <n v="8.4"/>
    <n v="780"/>
    <n v="1214"/>
    <n v="3"/>
    <n v="4"/>
    <n v="0.32"/>
    <n v="7.08"/>
    <n v="12"/>
    <n v="41"/>
    <n v="110"/>
    <n v="170"/>
    <n v="2"/>
    <n v="2"/>
  </r>
  <r>
    <n v="2698"/>
    <s v="RIVER PENGANGA D/S OF ISAPUR DAM, VILLAGE-ISAPUR,TALUKA- PUSAD, DISTRICT- YAVATMAL."/>
    <x v="21"/>
    <n v="19"/>
    <n v="23"/>
    <n v="5.6"/>
    <n v="5.9"/>
    <n v="7.7"/>
    <n v="8.6999999999999993"/>
    <n v="665"/>
    <n v="1226"/>
    <n v="3.2"/>
    <n v="3.8"/>
    <n v="0.3"/>
    <n v="3.75"/>
    <n v="12"/>
    <n v="46"/>
    <n v="110"/>
    <n v="220"/>
    <n v="2"/>
    <n v="2"/>
  </r>
  <r>
    <n v="2697"/>
    <s v="RIVER PENGANGA NEAR WATER SUPPLY SCHEME OF_x000a_UMARKHED M.C., VILLAGE. BELKHED, TALUKA._x000a_UMARKHED, DISTRICT. YAVATMAL."/>
    <x v="21"/>
    <n v="20"/>
    <n v="22"/>
    <n v="5.7"/>
    <n v="6.2"/>
    <n v="7.8"/>
    <n v="8.6999999999999993"/>
    <n v="650"/>
    <n v="1146"/>
    <n v="3"/>
    <n v="3.6"/>
    <n v="0.3"/>
    <n v="3.57"/>
    <n v="12"/>
    <n v="40"/>
    <n v="94"/>
    <n v="210"/>
    <n v="2"/>
    <n v="2"/>
  </r>
  <r>
    <n v="2373"/>
    <s v="RIVER SABARI AT KUNAVARAM, EAST GODAVARI DIST"/>
    <x v="25"/>
    <n v="23"/>
    <n v="28"/>
    <n v="6"/>
    <n v="7.6"/>
    <n v="7.4"/>
    <n v="8.5"/>
    <n v="70"/>
    <n v="1178"/>
    <n v="1.2"/>
    <n v="2.9"/>
    <n v="0.32"/>
    <n v="2.02"/>
    <n v="2"/>
    <n v="7"/>
    <n v="28"/>
    <n v="93"/>
    <n v="2"/>
    <n v="3"/>
  </r>
  <r>
    <n v="3330"/>
    <s v="RIVER RIVER WAINGANGA AT CHHAPARA , SEONI, NEAR_x000a_WSS INTAKE POINT"/>
    <x v="10"/>
    <n v="20.3"/>
    <n v="24.1"/>
    <n v="6.9"/>
    <n v="7.8"/>
    <n v="7.2"/>
    <n v="7.9"/>
    <n v="238"/>
    <n v="368"/>
    <n v="1.2"/>
    <n v="1.6"/>
    <n v="0.19"/>
    <n v="1.6"/>
    <n v="2"/>
    <n v="7"/>
    <n v="23"/>
    <n v="48"/>
    <m/>
    <m/>
  </r>
  <r>
    <n v="3331"/>
    <s v="RIVER WAINGANGA AT CHHAPARA, NEAR ROAD BRIDGE_x000a_AFTER MIXING_x000a_MOTI &amp; CHAMARIYA NALLA, JABALPUR"/>
    <x v="10"/>
    <n v="20.7"/>
    <n v="24.2"/>
    <n v="5.4"/>
    <n v="7.8"/>
    <n v="7.1"/>
    <n v="7.9"/>
    <n v="257"/>
    <n v="421"/>
    <n v="1.6"/>
    <n v="2.4"/>
    <n v="0.23"/>
    <n v="1.34"/>
    <n v="2"/>
    <n v="10"/>
    <n v="39"/>
    <n v="150"/>
    <m/>
    <m/>
  </r>
  <r>
    <n v="1213"/>
    <s v="RIVER WAINGANGA AT BALAGHAT, M.P."/>
    <x v="10"/>
    <n v="20.2"/>
    <n v="24.2"/>
    <n v="7.2"/>
    <n v="7.7"/>
    <n v="7.2"/>
    <n v="7.8"/>
    <n v="270"/>
    <n v="519"/>
    <n v="1.6"/>
    <n v="1.9"/>
    <n v="0.03"/>
    <n v="1.6"/>
    <n v="2"/>
    <n v="17"/>
    <n v="15"/>
    <n v="170"/>
    <m/>
    <m/>
  </r>
  <r>
    <n v="30041"/>
    <s v="RIVER WAINGANGA AT BAPERA, BHANDARA,_x000a_(MAHARASHTRA)"/>
    <x v="21"/>
    <n v="21"/>
    <n v="21"/>
    <n v="6"/>
    <n v="6"/>
    <n v="8.6"/>
    <n v="8.6"/>
    <n v="736"/>
    <n v="736"/>
    <n v="3"/>
    <n v="3"/>
    <n v="0.68"/>
    <n v="0.68"/>
    <n v="22"/>
    <n v="22"/>
    <n v="120"/>
    <n v="120"/>
    <n v="2"/>
    <n v="2"/>
  </r>
  <r>
    <n v="2173"/>
    <s v="RIVER WAINGANGA AT U/S OF ELLORA PAPER MILLS,_x000a_VILLAGE. TUMSAR, TALUKA. TUMSAR, DISTRICT._x000a_BHANDARA."/>
    <x v="21"/>
    <n v="18"/>
    <n v="39"/>
    <n v="6"/>
    <n v="6.7"/>
    <n v="7.7"/>
    <n v="8.6999999999999993"/>
    <n v="667"/>
    <n v="1210"/>
    <n v="3"/>
    <n v="3.2"/>
    <n v="0.3"/>
    <n v="2.87"/>
    <n v="12"/>
    <n v="42"/>
    <n v="120"/>
    <n v="280"/>
    <n v="2"/>
    <n v="2"/>
  </r>
  <r>
    <n v="2172"/>
    <s v="RIVER WAINGANGA AT D/S OF ELLORA PAPER MILLS,_x000a_VILLAGE. TUMSAR, TALUKA. TUMSAR, DISTRICT._x000a_BHANDARA."/>
    <x v="21"/>
    <n v="18"/>
    <n v="39"/>
    <n v="5.5"/>
    <n v="6.8"/>
    <n v="7.8"/>
    <n v="8.8000000000000007"/>
    <n v="739"/>
    <n v="1290"/>
    <n v="3"/>
    <n v="3.5"/>
    <n v="0.3"/>
    <n v="1.1200000000000001"/>
    <n v="24"/>
    <n v="43"/>
    <n v="210"/>
    <n v="430"/>
    <n v="2"/>
    <n v="2"/>
  </r>
  <r>
    <n v="2175"/>
    <s v="RIVER WAINGANGA AT U/S OF GAURAV PAPER MILLS,_x000a_NEAR JACKWELL, VILLAGE. BRAMHPURI, TALUKA._x000a_CHANDRAPUR, DISTRICT. CHANDRAPUR."/>
    <x v="21"/>
    <n v="19"/>
    <n v="22"/>
    <n v="5.7"/>
    <n v="7"/>
    <n v="7.9"/>
    <n v="8.8000000000000007"/>
    <n v="654"/>
    <n v="1230"/>
    <n v="3"/>
    <n v="3.4"/>
    <n v="0.3"/>
    <n v="3.24"/>
    <n v="11"/>
    <n v="43"/>
    <n v="170"/>
    <n v="350"/>
    <n v="2"/>
    <n v="2"/>
  </r>
  <r>
    <n v="2176"/>
    <s v="RIVER WAINGANGA AT D/S OF GAURAV PAPER MILLS,_x000a_NEAR JACKWELL VILLAGE. BRAMHPURI, TALUKA._x000a_CHANDRAPUR, DISTRICT. CHANDRAPUR."/>
    <x v="21"/>
    <n v="19"/>
    <n v="22"/>
    <n v="5.5"/>
    <n v="6.7"/>
    <n v="7.8"/>
    <n v="8.8000000000000007"/>
    <n v="549"/>
    <n v="1375"/>
    <n v="3.2"/>
    <n v="4.5"/>
    <n v="0.3"/>
    <n v="3.22"/>
    <n v="17"/>
    <n v="47"/>
    <n v="110"/>
    <n v="430"/>
    <n v="2"/>
    <n v="2"/>
  </r>
  <r>
    <n v="1910"/>
    <s v="RIVER WAINGANGA AFTER CONFLUENCE WITH_x000a_KANHAN RIVER, VILLAGE- AMBHORA,TALUKA- KUHI,_x000a_DISTRICT- NAGPUR."/>
    <x v="21"/>
    <n v="16"/>
    <n v="21"/>
    <n v="3.9"/>
    <n v="6.1"/>
    <n v="7.6"/>
    <n v="9"/>
    <n v="789"/>
    <n v="1126"/>
    <n v="3.1"/>
    <n v="5"/>
    <n v="0.3"/>
    <n v="1.1399999999999999"/>
    <n v="12"/>
    <n v="38"/>
    <n v="110"/>
    <n v="280"/>
    <n v="2"/>
    <n v="2"/>
  </r>
  <r>
    <n v="11"/>
    <s v="RIVER WAINGANGA AT ASHTI, VILLAGE. ASHTI, TALUKA._x000a_GONDPIPRI, DISTRICT.CHANDRAPUR."/>
    <x v="21"/>
    <n v="19"/>
    <n v="23"/>
    <n v="2.5"/>
    <n v="6.1"/>
    <n v="7.9"/>
    <n v="8.8000000000000007"/>
    <n v="674"/>
    <n v="1251"/>
    <n v="3.2"/>
    <n v="8.4"/>
    <n v="0.3"/>
    <n v="3.24"/>
    <n v="14"/>
    <n v="34"/>
    <n v="94"/>
    <n v="220"/>
    <n v="2"/>
    <n v="2"/>
  </r>
  <r>
    <n v="30059"/>
    <s v="RIVER WARDHA AT VILLAGE BANGAON NEAR_x000a_PANDHURNA (MP &amp; MAHARASHTRA)"/>
    <x v="10"/>
    <n v="26"/>
    <n v="31"/>
    <n v="8"/>
    <n v="8.4"/>
    <n v="8.1"/>
    <n v="8.3000000000000007"/>
    <n v="266"/>
    <n v="394"/>
    <n v="1.2"/>
    <n v="2.1"/>
    <n v="0.48"/>
    <n v="0.5"/>
    <n v="2"/>
    <n v="2"/>
    <n v="63"/>
    <n v="100"/>
    <n v="2"/>
    <n v="2"/>
  </r>
  <r>
    <n v="1315"/>
    <s v="RIVER WARDHA AT PULGAON RAILWAY BRIDGE,_x000a_VILLAGE- PULGAON,TALUKA - WARDHA, DISTRICT-WARDHA."/>
    <x v="21"/>
    <n v="16"/>
    <n v="18"/>
    <n v="5.8"/>
    <n v="6.7"/>
    <n v="7.9"/>
    <n v="8.8000000000000007"/>
    <n v="762"/>
    <n v="1080"/>
    <n v="3"/>
    <n v="3.6"/>
    <n v="0.3"/>
    <n v="2.87"/>
    <n v="24"/>
    <n v="43"/>
    <n v="110"/>
    <n v="220"/>
    <n v="2"/>
    <n v="2"/>
  </r>
  <r>
    <n v="2721"/>
    <s v="RIVER WARDHA AT U/S OF ACC LTD. GHUGGUS NEAR_x000a_WCL PUMP HOUSE, VILLAGE- GHUGGUS, TALUKA-CHANDRAPUR, DISTRICT- CHANDRAPUR."/>
    <x v="21"/>
    <n v="19"/>
    <n v="20"/>
    <n v="5.8"/>
    <n v="6.6"/>
    <n v="7.8"/>
    <n v="8.6999999999999993"/>
    <n v="892"/>
    <n v="5473"/>
    <n v="3"/>
    <n v="3.2"/>
    <n v="0.3"/>
    <n v="3.01"/>
    <n v="6"/>
    <n v="41"/>
    <n v="130"/>
    <n v="350"/>
    <n v="2"/>
    <n v="2"/>
  </r>
  <r>
    <n v="2174"/>
    <s v="RIVER WARDHA AT D/S OF ACC LTD. GHUGGUS NEAR_x000a_WCL PUMP HOUSE, VILLAGE- GHUGGUS, TALUKA-CHANDRAPUR, DISTRICT- CHANDRAPUR."/>
    <x v="21"/>
    <n v="19"/>
    <n v="20"/>
    <n v="5.2"/>
    <n v="6.1"/>
    <n v="7.8"/>
    <n v="8.8000000000000007"/>
    <n v="549"/>
    <n v="1370"/>
    <n v="3"/>
    <n v="4.5999999999999996"/>
    <n v="0.3"/>
    <n v="3.33"/>
    <n v="11"/>
    <n v="40"/>
    <n v="120"/>
    <n v="430"/>
    <n v="2"/>
    <n v="2"/>
  </r>
  <r>
    <n v="2156"/>
    <s v="RIVER WARDHA AT CONFLUENCE POINT OF PENGANGA_x000a_&amp; WARDHA. VILLAGE. JUGAD, TALUKA. WANI, DISTRICT._x000a_YAVATMAL."/>
    <x v="21"/>
    <n v="19"/>
    <n v="20"/>
    <n v="5.3"/>
    <n v="6"/>
    <n v="7.8"/>
    <n v="8.6999999999999993"/>
    <n v="750"/>
    <n v="1210"/>
    <n v="3"/>
    <n v="4"/>
    <n v="0.3"/>
    <n v="4.07"/>
    <n v="12"/>
    <n v="38"/>
    <n v="110"/>
    <n v="280"/>
    <n v="2"/>
    <n v="2"/>
  </r>
  <r>
    <n v="2720"/>
    <s v="RIVER WARDHA AT U/S OF ERAI RIVER AT HADASTI_x000a_NEAR ARUN ENGG. WORKS, VILLAGE- HADASTI,_x000a_TALUKA- CHANDRAPUR, DISTRICT- CHANDRAPUR."/>
    <x v="21"/>
    <n v="19"/>
    <n v="23"/>
    <n v="5.6"/>
    <n v="6.5"/>
    <n v="7.9"/>
    <n v="8.8000000000000007"/>
    <n v="698"/>
    <n v="1290"/>
    <n v="3"/>
    <n v="3.9"/>
    <n v="0.3"/>
    <n v="3.18"/>
    <n v="13"/>
    <n v="41"/>
    <n v="110"/>
    <n v="350"/>
    <n v="2"/>
    <n v="2"/>
  </r>
  <r>
    <n v="2719"/>
    <s v="RIVER WARDHA AT D/S OF ERAI RIVER AT HADASTI_x000a_NEAR ARUN ENGG. WORKS, VILLAGE- HADASTI,_x000a_TALUKA- CHANDRAPUR, DISTRICT- CHANDRAPUR."/>
    <x v="21"/>
    <n v="19"/>
    <n v="23"/>
    <n v="5.4"/>
    <n v="6.2"/>
    <n v="7.7"/>
    <n v="8.8000000000000007"/>
    <n v="722"/>
    <n v="1390"/>
    <n v="3.2"/>
    <n v="4.2"/>
    <n v="0.3"/>
    <n v="3.22"/>
    <n v="20"/>
    <n v="47"/>
    <n v="170"/>
    <n v="430"/>
    <n v="2"/>
    <n v="2"/>
  </r>
  <r>
    <n v="1212"/>
    <s v="RIVER WARDHA AT RAJURA BRIDGE, VILLAGE- RAJURA,_x000a_TALUKA- CHANDRAPUR, DISTRICT- CHANDRAPUR."/>
    <x v="21"/>
    <n v="19"/>
    <n v="23"/>
    <n v="5.2"/>
    <n v="6.5"/>
    <n v="7.9"/>
    <n v="8.6999999999999993"/>
    <n v="660"/>
    <n v="1162"/>
    <n v="3"/>
    <n v="3.8"/>
    <n v="0.3"/>
    <n v="3.31"/>
    <n v="14"/>
    <n v="43"/>
    <n v="120"/>
    <n v="280"/>
    <n v="2"/>
    <n v="2"/>
  </r>
  <r>
    <n v="2722"/>
    <s v="RIVER WENA AT U/S OF MOHATA MILLS, NEAR RAILWAY_x000a_BRIDGE ON WARDHA, CHANDRAPUR RAILWAY LINE,_x000a_VILLAGE- HINGANGHAT, TALUKA- HINGANGHAT,_x000a_DISTRICT- WARDHA."/>
    <x v="21"/>
    <n v="16"/>
    <n v="20"/>
    <n v="5.8"/>
    <n v="6.8"/>
    <n v="8.1"/>
    <n v="8.8000000000000007"/>
    <n v="936"/>
    <n v="1142"/>
    <n v="3"/>
    <n v="3.4"/>
    <n v="0.3"/>
    <n v="3.36"/>
    <n v="17"/>
    <n v="43"/>
    <n v="210"/>
    <n v="350"/>
    <n v="2"/>
    <n v="2"/>
  </r>
  <r>
    <n v="2723"/>
    <s v="RIVER WENA AT D/S OF MOHATA MILLS, NEAR BRIDGE_x000a_ON HINGANGHAT- WADNER ROAD, VILLAGE-HINGANGHAT, TALUKA- HINGANGHAT, DISTRICT-WARDHA."/>
    <x v="21"/>
    <n v="16"/>
    <n v="20"/>
    <n v="5.0999999999999996"/>
    <n v="6.7"/>
    <n v="8"/>
    <n v="8.8000000000000007"/>
    <n v="976"/>
    <n v="1236"/>
    <n v="3"/>
    <n v="3.8"/>
    <n v="0.3"/>
    <n v="2.89"/>
    <n v="20"/>
    <n v="48"/>
    <n v="280"/>
    <n v="540"/>
    <n v="2"/>
    <n v="2"/>
  </r>
  <r>
    <n v="1194"/>
    <s v="RIVER KRISHNA AT DHOM DAM, VILLAGE- WAI, TALUKA-MAHABALESHWAR, DISTRICT-SATARA."/>
    <x v="21"/>
    <n v="22"/>
    <n v="30"/>
    <n v="0.3"/>
    <n v="6.6"/>
    <n v="2"/>
    <n v="8"/>
    <n v="5"/>
    <n v="137"/>
    <n v="1"/>
    <n v="3"/>
    <n v="0.3"/>
    <n v="1.65"/>
    <n v="2"/>
    <n v="20"/>
    <n v="2"/>
    <n v="250"/>
    <n v="2"/>
    <n v="14"/>
  </r>
  <r>
    <n v="2190"/>
    <s v="RIEVR KRISHNA AT GANPATI GHAT, WAI, VILLAGE-WAI,TALUKA- WAI,DISTRICT- SATARA."/>
    <x v="21"/>
    <n v="25"/>
    <n v="31"/>
    <n v="5.0999999999999996"/>
    <n v="6.3"/>
    <n v="7.4"/>
    <n v="8.1999999999999993"/>
    <n v="230"/>
    <n v="3504"/>
    <n v="2.8"/>
    <n v="5.8"/>
    <n v="0.3"/>
    <n v="1.56"/>
    <n v="8"/>
    <n v="30"/>
    <n v="85"/>
    <n v="250"/>
    <n v="2"/>
    <n v="14"/>
  </r>
  <r>
    <n v="2187"/>
    <s v="RIVER KRISHNA AT KSHETRA MAHULI, VILLAGE-KSHETRA-MAHULI,TALUKA- MAHULI, DISTRICT- SATARA."/>
    <x v="21"/>
    <n v="23"/>
    <n v="29"/>
    <n v="5.0999999999999996"/>
    <n v="6.3"/>
    <n v="7.9"/>
    <n v="8.5"/>
    <n v="342"/>
    <n v="620"/>
    <n v="2.5"/>
    <n v="5.4"/>
    <n v="0.3"/>
    <n v="3.62"/>
    <n v="9"/>
    <n v="110"/>
    <n v="170"/>
    <n v="425"/>
    <n v="4"/>
    <n v="20"/>
  </r>
  <r>
    <n v="2188"/>
    <s v="RIVER KRISHNA AT KRISHNA- VENNA SANGAM MAHULI ,_x000a_VILLAGE- MAHULI,TALUKA- MAHULI, DISTRICT- SATARA."/>
    <x v="21"/>
    <n v="25"/>
    <n v="30"/>
    <n v="4.7"/>
    <n v="6.4"/>
    <n v="7.1"/>
    <n v="8.1999999999999993"/>
    <n v="293"/>
    <n v="4553"/>
    <n v="3"/>
    <n v="8.4"/>
    <n v="0.3"/>
    <n v="2.88"/>
    <n v="9"/>
    <n v="45"/>
    <n v="150"/>
    <n v="425"/>
    <n v="4"/>
    <n v="17"/>
  </r>
  <r>
    <n v="36"/>
    <s v="RIVER KRISHNA AT OLD KRISHNA BRIDGE, KARAD_x000a_STATION ROAD , KARAD, TALUKA- KARAD, DISTRICT-SATARA."/>
    <x v="21"/>
    <n v="25"/>
    <n v="31.5"/>
    <n v="5.3"/>
    <n v="6.2"/>
    <n v="7.5"/>
    <n v="8.1"/>
    <n v="82"/>
    <n v="2086"/>
    <n v="2.8"/>
    <n v="5.2"/>
    <n v="0.3"/>
    <n v="1.74"/>
    <n v="8"/>
    <n v="30"/>
    <n v="140"/>
    <n v="250"/>
    <n v="4"/>
    <n v="14"/>
  </r>
  <r>
    <n v="1906"/>
    <s v="RIVER KRISHNA AT WALWA, D/S OF ISLAMPUR NEAR_x000a_VITHAL TEMPLE, VILLAGE- WALWA, TALUKA- WALWA,_x000a_DISTRICT- SANGLI."/>
    <x v="21"/>
    <n v="26"/>
    <n v="30"/>
    <n v="5.8"/>
    <n v="7.8"/>
    <n v="7.7"/>
    <n v="8.6999999999999993"/>
    <n v="50"/>
    <n v="4273"/>
    <n v="1.8"/>
    <n v="3"/>
    <n v="0.42"/>
    <n v="3.77"/>
    <n v="5"/>
    <n v="10"/>
    <n v="20"/>
    <n v="48"/>
    <n v="2"/>
    <n v="2"/>
  </r>
  <r>
    <n v="37"/>
    <s v="RIVER KRISHNA AT MAIGHAT, VILLAGE- GAWALI GALLY,_x000a_TALUKA- MIRAJ, DISTRICT- SANGLI."/>
    <x v="21"/>
    <n v="8.1"/>
    <n v="28"/>
    <n v="5.2"/>
    <n v="7.8"/>
    <n v="7.4"/>
    <n v="8.6999999999999993"/>
    <n v="221"/>
    <n v="4394"/>
    <n v="1.8"/>
    <n v="4"/>
    <n v="0.32"/>
    <n v="2.56"/>
    <n v="6"/>
    <n v="10"/>
    <n v="17"/>
    <n v="38"/>
    <n v="2"/>
    <n v="2"/>
  </r>
  <r>
    <n v="30047"/>
    <s v="RIVER KRISHNA AT KURUNDWAD, KOLHAPUR,_x000a_(MAHARASHTRA)"/>
    <x v="21"/>
    <n v="22"/>
    <n v="22"/>
    <n v="5.0999999999999996"/>
    <n v="5.0999999999999996"/>
    <n v="8.1"/>
    <n v="8.1"/>
    <n v="659"/>
    <n v="659"/>
    <n v="5.8"/>
    <n v="5.8"/>
    <n v="1.67"/>
    <n v="1.67"/>
    <n v="17"/>
    <n v="17"/>
    <n v="250"/>
    <n v="250"/>
    <n v="7"/>
    <n v="7"/>
  </r>
  <r>
    <n v="1310"/>
    <s v="RIVER KRISHNA AT KURUNDWAD NEAR SANTAJI_x000a_GHORPADE GHAT, VILLAGE.NARSHINGWADI,_x000a_KURUNDWAD, TALUKA. SHIROL, DISTRICT. KOLHAPUR."/>
    <x v="21"/>
    <n v="24"/>
    <n v="28"/>
    <n v="5.3"/>
    <n v="7.7"/>
    <n v="7.7"/>
    <n v="8.6"/>
    <n v="156"/>
    <n v="735"/>
    <n v="1.8"/>
    <n v="3"/>
    <n v="0.49"/>
    <n v="4.5199999999999996"/>
    <n v="6"/>
    <n v="10"/>
    <n v="24"/>
    <n v="40"/>
    <n v="2"/>
    <n v="2"/>
  </r>
  <r>
    <n v="1153"/>
    <s v="RIVER KRISHNA AT RAJAPUR WEIR, VILLAGE. RAJAPUR,_x000a_TALUKA. SHIROL, DISTRICT. KOLHAPUR."/>
    <x v="21"/>
    <n v="24"/>
    <n v="28"/>
    <n v="5.3"/>
    <n v="7.6"/>
    <n v="7.6"/>
    <n v="8.6"/>
    <n v="157"/>
    <n v="1016"/>
    <n v="1.8"/>
    <n v="3"/>
    <n v="0.57999999999999996"/>
    <n v="3.6"/>
    <n v="6"/>
    <n v="9"/>
    <n v="21"/>
    <n v="46"/>
    <n v="2"/>
    <n v="2"/>
  </r>
  <r>
    <n v="1889"/>
    <s v="RIVER KRISHNA - ANKALI BRIDGE ALONG CHIKKODI_x000a_KAGWAD ROAD"/>
    <x v="26"/>
    <n v="24"/>
    <n v="31"/>
    <n v="6.3"/>
    <n v="8.5"/>
    <n v="6.3"/>
    <n v="9"/>
    <n v="274"/>
    <n v="956"/>
    <n v="1"/>
    <n v="3.9"/>
    <n v="5.61"/>
    <n v="23"/>
    <n v="350"/>
    <n v="920"/>
    <n v="920"/>
    <n v="1600"/>
    <n v="220"/>
    <n v="540"/>
  </r>
  <r>
    <n v="1182"/>
    <s v="RIVER KRISHNA AT U/S OF UGARKHURD BARRAGE"/>
    <x v="26"/>
    <n v="25"/>
    <n v="32"/>
    <n v="6.5"/>
    <n v="8.1"/>
    <n v="6.2"/>
    <n v="8.9"/>
    <n v="210"/>
    <n v="960"/>
    <n v="1"/>
    <n v="3.5"/>
    <n v="5.9"/>
    <n v="19.260000000000002"/>
    <n v="540"/>
    <n v="920"/>
    <n v="920"/>
    <n v="1600"/>
    <n v="240"/>
    <n v="540"/>
  </r>
  <r>
    <n v="2763"/>
    <s v="RIVER KRISHNA AT ASANGI VILLAGE (JAMAKANDI_x000a_VILLAGE)"/>
    <x v="26"/>
    <n v="18"/>
    <n v="21"/>
    <n v="5.9"/>
    <n v="11.7"/>
    <n v="6.3"/>
    <n v="8.8000000000000007"/>
    <n v="260"/>
    <n v="2080"/>
    <n v="1.2"/>
    <n v="17"/>
    <n v="1.36"/>
    <n v="32.35"/>
    <n v="350"/>
    <n v="920"/>
    <n v="920"/>
    <n v="1600"/>
    <n v="170"/>
    <n v="540"/>
  </r>
  <r>
    <n v="5597"/>
    <s v="RIVER KRISHNA AT ALMATTI DAM HAVELI , OLD_x000a_JACKWELL POINT, BAGALKOTE"/>
    <x v="26"/>
    <n v="18"/>
    <n v="21"/>
    <n v="6.4"/>
    <n v="11.8"/>
    <n v="8"/>
    <n v="8.5"/>
    <n v="396"/>
    <n v="948"/>
    <n v="1.1000000000000001"/>
    <n v="2.9"/>
    <n v="2.41"/>
    <n v="24.94"/>
    <n v="540"/>
    <n v="920"/>
    <n v="1600"/>
    <n v="1600"/>
    <n v="240"/>
    <n v="540"/>
  </r>
  <r>
    <n v="2781"/>
    <s v="RIVER KRISHNA AT D/S OF ALAMATTI DAM"/>
    <x v="26"/>
    <n v="28"/>
    <n v="32"/>
    <n v="5.6"/>
    <n v="8.6999999999999993"/>
    <n v="7"/>
    <n v="8.8000000000000007"/>
    <n v="280"/>
    <n v="1378"/>
    <n v="1"/>
    <n v="4.8"/>
    <n v="2"/>
    <n v="17.22"/>
    <n v="350"/>
    <n v="920"/>
    <n v="920"/>
    <n v="1600"/>
    <n v="240"/>
    <n v="540"/>
  </r>
  <r>
    <n v="1181"/>
    <s v="RIVER KRISHNA AT D/S OF NARAYANPURA DAM"/>
    <x v="26"/>
    <n v="28"/>
    <n v="32"/>
    <n v="6.3"/>
    <n v="8.6"/>
    <n v="7"/>
    <n v="8.8000000000000007"/>
    <n v="272"/>
    <n v="1388"/>
    <n v="1"/>
    <n v="4.3"/>
    <n v="1.1200000000000001"/>
    <n v="10.6"/>
    <n v="280"/>
    <n v="1840"/>
    <n v="920"/>
    <n v="3200"/>
    <n v="130"/>
    <n v="1080"/>
  </r>
  <r>
    <n v="1028"/>
    <s v="RIVER KRISHNA AT TINTINI BRIDGE"/>
    <x v="26"/>
    <n v="27"/>
    <n v="32"/>
    <n v="6.7"/>
    <n v="8"/>
    <n v="8.1999999999999993"/>
    <n v="8.6999999999999993"/>
    <n v="685"/>
    <n v="1961"/>
    <n v="2"/>
    <n v="3.2"/>
    <n v="0.5"/>
    <n v="3.6"/>
    <n v="170"/>
    <n v="460"/>
    <n v="920"/>
    <n v="2700"/>
    <m/>
    <m/>
  </r>
  <r>
    <n v="30056"/>
    <s v="RIVER KRISHNA AT DEODURGA (BANGALORE)"/>
    <x v="26"/>
    <n v="25"/>
    <n v="28"/>
    <n v="6.4"/>
    <n v="13.2"/>
    <n v="7.9"/>
    <n v="8.6999999999999993"/>
    <n v="1104"/>
    <n v="2060"/>
    <n v="1"/>
    <n v="1"/>
    <n v="0"/>
    <n v="1.42"/>
    <n v="79"/>
    <n v="2800"/>
    <n v="350"/>
    <n v="16000"/>
    <m/>
    <m/>
  </r>
  <r>
    <n v="1784"/>
    <s v="RIVER KRISHNA AT THANGADI, THANGADI(V),_x000a_KRISHNA(M), NARAYANAPET(D)"/>
    <x v="24"/>
    <n v="25"/>
    <n v="28.2"/>
    <n v="5.2"/>
    <n v="6.2"/>
    <n v="7.4"/>
    <n v="8.3000000000000007"/>
    <n v="312"/>
    <n v="1293"/>
    <n v="1.2"/>
    <n v="2.8"/>
    <n v="0.3"/>
    <n v="6"/>
    <n v="2"/>
    <n v="2"/>
    <n v="13"/>
    <n v="58"/>
    <n v="2"/>
    <n v="2"/>
  </r>
  <r>
    <n v="1170"/>
    <s v="RIVER KRISHNA AT D/S OF DEVASAGAR BDG."/>
    <x v="26"/>
    <n v="24"/>
    <n v="32"/>
    <n v="6.5"/>
    <n v="8.5"/>
    <n v="8.1"/>
    <n v="8.6"/>
    <n v="894"/>
    <n v="1750"/>
    <n v="2.2000000000000002"/>
    <n v="3.5"/>
    <n v="0.45"/>
    <n v="9.68"/>
    <n v="220"/>
    <n v="580"/>
    <n v="920"/>
    <n v="2800"/>
    <m/>
    <m/>
  </r>
  <r>
    <n v="39"/>
    <s v="RIVER KRISHNA AT GADWAL BRIDGE,NADHI_x000a_AGRAHARAM, GADWAL(MUNCI.), JOGULAMBA_x000a_GADWAL(D)"/>
    <x v="24"/>
    <n v="24"/>
    <n v="28.4"/>
    <n v="5.0999999999999996"/>
    <n v="6.2"/>
    <n v="7.3"/>
    <n v="8.4"/>
    <n v="344"/>
    <n v="1792"/>
    <n v="1.2"/>
    <n v="3.6"/>
    <n v="0.4"/>
    <n v="6"/>
    <n v="2"/>
    <n v="2"/>
    <n v="21"/>
    <n v="70"/>
    <n v="2"/>
    <n v="2"/>
  </r>
  <r>
    <n v="4225"/>
    <s v="RIVER KRISHNA AT JOGULAMBA TEMPLE,_x000a_ALAMPUR(V&amp;M), JOGULAMBA GADWAL(D)"/>
    <x v="24"/>
    <n v="25"/>
    <n v="28.9"/>
    <n v="4.4000000000000004"/>
    <n v="6.2"/>
    <n v="7"/>
    <n v="8.3000000000000007"/>
    <n v="512"/>
    <n v="1692"/>
    <n v="1.4"/>
    <n v="3.2"/>
    <n v="0.4"/>
    <n v="12"/>
    <n v="2"/>
    <n v="10"/>
    <n v="21"/>
    <n v="170"/>
    <n v="2"/>
    <n v="2"/>
  </r>
  <r>
    <n v="1175"/>
    <s v="RIVER KRISHNA A/C WITH TUNGABHADRA,_x000a_SANGAMESHWARAM (V), KOTTAPALLE (M)"/>
    <x v="25"/>
    <n v="20"/>
    <n v="28"/>
    <n v="5.3"/>
    <n v="6.2"/>
    <n v="6.9"/>
    <n v="8.1999999999999993"/>
    <n v="531"/>
    <n v="1714"/>
    <n v="1"/>
    <n v="2"/>
    <n v="0.35"/>
    <n v="0.94"/>
    <n v="102"/>
    <n v="303"/>
    <n v="549"/>
    <n v="1046"/>
    <m/>
    <m/>
  </r>
  <r>
    <n v="3083"/>
    <s v="RIVER KRISHNA D/S OF SRISHAILAM, SRISHAILAM"/>
    <x v="25"/>
    <n v="19"/>
    <n v="29"/>
    <n v="5.3"/>
    <n v="6.2"/>
    <n v="6.9"/>
    <n v="8"/>
    <n v="580"/>
    <n v="842"/>
    <n v="1"/>
    <n v="1.7"/>
    <n v="0.34"/>
    <n v="1.31"/>
    <n v="152"/>
    <n v="343"/>
    <n v="479"/>
    <n v="921"/>
    <m/>
    <m/>
  </r>
  <r>
    <n v="5108"/>
    <s v="RIVER KRISHNA BEFORE CONFLUENCE OF RIVER MUSI_x000a_AT WADAPALLY (V), DAMARACHARLA (M), NALGONDA_x000a_(D)"/>
    <x v="24"/>
    <n v="17"/>
    <n v="24"/>
    <n v="6.2"/>
    <n v="7.6"/>
    <n v="6.8"/>
    <n v="8.4"/>
    <n v="852"/>
    <n v="1281"/>
    <n v="2.2000000000000002"/>
    <n v="3.4"/>
    <n v="14.12"/>
    <n v="35.15"/>
    <n v="6"/>
    <n v="6"/>
    <n v="33"/>
    <n v="41"/>
    <n v="4"/>
    <n v="5"/>
  </r>
  <r>
    <n v="1465"/>
    <s v="RIVER KRISHNA - CONFLUENCE OF RIVER KRISHNA &amp;_x000a_RIVER MUSI AT WADAPALLY (V), DAMARCHARLA (M),_x000a_NALGONDA DISTRICT"/>
    <x v="24"/>
    <n v="17"/>
    <n v="25"/>
    <n v="5.4"/>
    <n v="7.2"/>
    <n v="7.2"/>
    <n v="8.6"/>
    <n v="1010"/>
    <n v="1311"/>
    <n v="2.1"/>
    <n v="4.0999999999999996"/>
    <n v="15.22"/>
    <n v="35.229999999999997"/>
    <n v="8"/>
    <n v="9"/>
    <n v="27"/>
    <n v="39"/>
    <n v="6"/>
    <n v="6"/>
  </r>
  <r>
    <n v="4381"/>
    <s v="RIVER KRISHNA AFTER CONFLUENCE WITH RIVER MUSI_x000a_AT VADAPALLI (V), DACHEPALLI (M) BETWEEN ANDHRA_x000a_PRADESH &amp; TELANGANA STATES"/>
    <x v="25"/>
    <n v="23"/>
    <n v="25"/>
    <n v="6.9"/>
    <n v="7.6"/>
    <n v="7.2"/>
    <n v="8.1"/>
    <n v="621"/>
    <n v="998"/>
    <n v="2.6"/>
    <n v="2.9"/>
    <n v="1.27"/>
    <n v="1.86"/>
    <n v="4"/>
    <n v="39"/>
    <n v="43"/>
    <n v="470"/>
    <n v="2"/>
    <n v="3"/>
  </r>
  <r>
    <n v="5109"/>
    <s v="RIVER KRISHNA AFTER CONFLUENCE OF RIVER MUSI_x000a_AT WADAPALLY (V), DAMARACHARLA (M), NALGONDA(D)"/>
    <x v="24"/>
    <n v="18"/>
    <n v="25"/>
    <n v="6"/>
    <n v="7.9"/>
    <n v="7.3"/>
    <n v="8.4"/>
    <n v="926"/>
    <n v="1296"/>
    <n v="2.2000000000000002"/>
    <n v="16"/>
    <n v="15.15"/>
    <n v="41.13"/>
    <n v="6"/>
    <n v="6"/>
    <n v="33"/>
    <n v="43"/>
    <n v="4"/>
    <n v="4"/>
  </r>
  <r>
    <n v="4663"/>
    <s v="RIVER KRISHNA AT MATTEPALLY, 500 MTS. BEFORE_x000a_BATHING GHAT, SURYAPET"/>
    <x v="24"/>
    <n v="18"/>
    <n v="24"/>
    <n v="5.9"/>
    <n v="7.2"/>
    <n v="7"/>
    <n v="8.5"/>
    <n v="834"/>
    <n v="1319"/>
    <n v="2.2000000000000002"/>
    <n v="3.9"/>
    <n v="16.16"/>
    <n v="44.27"/>
    <n v="6"/>
    <n v="7"/>
    <n v="34"/>
    <n v="43"/>
    <n v="4"/>
    <n v="5"/>
  </r>
  <r>
    <n v="5110"/>
    <s v="RIVER KRISHNA AT PULICHINTALA RESERVOIR AT_x000a_CHINTHALAPALEM (V&amp;M), SURYAPET (D)"/>
    <x v="24"/>
    <n v="19"/>
    <n v="24"/>
    <n v="5.8"/>
    <n v="7"/>
    <n v="7"/>
    <n v="8.6"/>
    <n v="862"/>
    <n v="1357"/>
    <n v="2"/>
    <n v="3"/>
    <n v="8.16"/>
    <n v="33.17"/>
    <n v="4"/>
    <n v="5"/>
    <n v="31"/>
    <n v="41"/>
    <n v="2"/>
    <n v="2"/>
  </r>
  <r>
    <n v="1786"/>
    <s v="RIVER KRISHNA AT VEDADRI (V), JAGGAYYAPETA (M)"/>
    <x v="25"/>
    <n v="25"/>
    <n v="27"/>
    <n v="7.1"/>
    <n v="7.7"/>
    <n v="7.2"/>
    <n v="8.1999999999999993"/>
    <n v="772"/>
    <n v="950"/>
    <n v="2.4"/>
    <n v="2.8"/>
    <n v="1.05"/>
    <n v="1.76"/>
    <n v="4"/>
    <n v="28"/>
    <n v="64"/>
    <n v="470"/>
    <n v="2"/>
    <n v="4"/>
  </r>
  <r>
    <n v="1787"/>
    <s v="RIVER KRISHNA AT AMARAVATI, AMARAVATI (V &amp; M)"/>
    <x v="25"/>
    <n v="22"/>
    <n v="25"/>
    <n v="6.9"/>
    <n v="7.7"/>
    <n v="7.3"/>
    <n v="8.1"/>
    <n v="664"/>
    <n v="882"/>
    <n v="2.2999999999999998"/>
    <n v="2.9"/>
    <n v="1.05"/>
    <n v="1.65"/>
    <n v="7"/>
    <n v="39"/>
    <n v="75"/>
    <n v="460"/>
    <n v="2"/>
    <n v="4"/>
  </r>
  <r>
    <n v="4375"/>
    <s v="RIVER KRISHNA, PAVITHRA SANGAMAM, AFTER_x000a_CONFLUENCE WITH RIVER GODAVARI WATER, FERRY_x000a_(V), IBRAHIMPATNAM (M)"/>
    <x v="25"/>
    <n v="24"/>
    <n v="25"/>
    <n v="7.1"/>
    <n v="7.6"/>
    <n v="7.2"/>
    <n v="8.1"/>
    <n v="406"/>
    <n v="830"/>
    <n v="2.2000000000000002"/>
    <n v="2.8"/>
    <n v="0.86"/>
    <n v="1.64"/>
    <n v="4"/>
    <n v="14"/>
    <n v="43"/>
    <n v="470"/>
    <n v="2"/>
    <n v="3"/>
  </r>
  <r>
    <n v="25"/>
    <s v="RIVER KRISHNA AT VIJAYWADA TOWN"/>
    <x v="25"/>
    <n v="24"/>
    <n v="24"/>
    <n v="7.1"/>
    <n v="7.8"/>
    <n v="7.2"/>
    <n v="8.1"/>
    <n v="520"/>
    <n v="788"/>
    <n v="2.4"/>
    <n v="2.8"/>
    <n v="0.64"/>
    <n v="1.26"/>
    <n v="4"/>
    <n v="15"/>
    <n v="64"/>
    <n v="470"/>
    <n v="2"/>
    <n v="3"/>
  </r>
  <r>
    <n v="3079"/>
    <s v="WITH TREATED SEWAGE DISCHARGING FROM 10MLD"/>
    <x v="27"/>
    <n v="25"/>
    <n v="25"/>
    <n v="7.2"/>
    <n v="7.2"/>
    <n v="7.8"/>
    <n v="7.8"/>
    <n v="796"/>
    <n v="796"/>
    <n v="2.8"/>
    <n v="2.8"/>
    <n v="1.44"/>
    <n v="1.44"/>
    <n v="11"/>
    <n v="11"/>
    <n v="75"/>
    <n v="75"/>
    <n v="2"/>
    <n v="2"/>
  </r>
  <r>
    <n v="1782"/>
    <s v="RIVER KRISHNA AT HAMSALADEEVI PULIGADDA"/>
    <x v="27"/>
    <n v="25"/>
    <n v="28"/>
    <n v="6.1"/>
    <n v="6.9"/>
    <n v="7.6"/>
    <n v="8.1999999999999993"/>
    <n v="7770"/>
    <n v="27420"/>
    <n v="2.6"/>
    <n v="2.8"/>
    <n v="0.83"/>
    <n v="1.27"/>
    <n v="4"/>
    <n v="11"/>
    <n v="43"/>
    <n v="380"/>
    <n v="2"/>
    <n v="2"/>
  </r>
  <r>
    <n v="1463"/>
    <s v="RIVER NIRA AT SAROLA BRIDGE, VILLAGE- SAROLA,_x000a_TALUKA-BHOR, DISTRICT- PUNE."/>
    <x v="21"/>
    <n v="27"/>
    <n v="30"/>
    <n v="4.9000000000000004"/>
    <n v="6.5"/>
    <n v="7.7"/>
    <n v="8.5"/>
    <n v="128"/>
    <n v="1577"/>
    <n v="2.2000000000000002"/>
    <n v="7.2"/>
    <n v="0.3"/>
    <n v="3.48"/>
    <n v="7"/>
    <n v="65"/>
    <n v="115"/>
    <n v="425"/>
    <n v="2"/>
    <n v="14"/>
  </r>
  <r>
    <n v="2683"/>
    <s v="RIVER NIRA AT SHINDEWADI, VILLAGE- SHIRVAL,_x000a_TALUKA- KHANDALA, DISTRICT- SATARA."/>
    <x v="21"/>
    <n v="25"/>
    <n v="30"/>
    <n v="5.4"/>
    <n v="6.4"/>
    <n v="7.3"/>
    <n v="8.6"/>
    <n v="75"/>
    <n v="264"/>
    <n v="3"/>
    <n v="4.5"/>
    <n v="0.3"/>
    <n v="2.0499999999999998"/>
    <n v="7"/>
    <n v="25"/>
    <n v="75"/>
    <n v="250"/>
    <n v="2"/>
    <n v="9"/>
  </r>
  <r>
    <n v="2682"/>
    <s v="RIVER NIRA AT U/S OF JUBILANT ORGANOSIS, VILLAGE-NIRA (DATTAGHAT),TALUKA- BARAMATI, DISTRICT-PUNE."/>
    <x v="21"/>
    <n v="26"/>
    <n v="30"/>
    <n v="5.3"/>
    <n v="6.2"/>
    <n v="7.9"/>
    <n v="8.5"/>
    <n v="483"/>
    <n v="944"/>
    <n v="3"/>
    <n v="6.2"/>
    <n v="0.3"/>
    <n v="3.38"/>
    <n v="7"/>
    <n v="65"/>
    <n v="120"/>
    <n v="275"/>
    <n v="2"/>
    <n v="13"/>
  </r>
  <r>
    <n v="2195"/>
    <s v="RIVER NIRA AT D/S OF JUBILANT ORGANOSIS, VILLAGE-NIMBUT, TALUKA- BARAMATI, DISTRICT- PUNE."/>
    <x v="21"/>
    <n v="26"/>
    <n v="30"/>
    <n v="4.9000000000000004"/>
    <n v="5.8"/>
    <n v="7.3"/>
    <n v="8.4"/>
    <n v="621"/>
    <n v="1273"/>
    <n v="3.8"/>
    <n v="7.5"/>
    <n v="0.3"/>
    <n v="4.88"/>
    <n v="7"/>
    <n v="120"/>
    <n v="150"/>
    <n v="900"/>
    <n v="2"/>
    <n v="25"/>
  </r>
  <r>
    <n v="2681"/>
    <s v="RIVER NIRA AT SANGAVI, VILLAGE- SANGAVI, TALUKA-PHALTAN, DISTRICT- SATARA."/>
    <x v="21"/>
    <n v="25"/>
    <n v="32"/>
    <n v="4.3"/>
    <n v="5.6"/>
    <n v="8"/>
    <n v="8.4"/>
    <n v="1567"/>
    <n v="6941"/>
    <n v="4.4000000000000004"/>
    <n v="14"/>
    <n v="0.3"/>
    <n v="2.54"/>
    <n v="9"/>
    <n v="110"/>
    <n v="130"/>
    <n v="550"/>
    <n v="4"/>
    <n v="25"/>
  </r>
  <r>
    <n v="2716"/>
    <s v="RIVER VENNA AT MAHABALESHWAR, VILLAGE._x000a_MAHABALESHWAR, TALUKA. MAHABALESHWAR,_x000a_DISTRICT. SATARA."/>
    <x v="21"/>
    <n v="20"/>
    <n v="32"/>
    <n v="5.7"/>
    <n v="6.6"/>
    <n v="6.6"/>
    <n v="8.3000000000000007"/>
    <n v="42"/>
    <n v="686"/>
    <n v="2.2000000000000002"/>
    <n v="3.6"/>
    <n v="0.3"/>
    <n v="2.11"/>
    <n v="7"/>
    <n v="30"/>
    <n v="95"/>
    <n v="250"/>
    <n v="2"/>
    <n v="8"/>
  </r>
  <r>
    <n v="2186"/>
    <s v="RIVER VENNA AT VARYE, VILLAGE - VARYE,TALUKA-SATARA, DISTRICT- SATARA."/>
    <x v="21"/>
    <n v="23"/>
    <n v="31"/>
    <n v="5.3"/>
    <n v="6.4"/>
    <n v="7.6"/>
    <n v="8.3000000000000007"/>
    <n v="177"/>
    <n v="445"/>
    <n v="2.6"/>
    <n v="5"/>
    <n v="0.3"/>
    <n v="1.96"/>
    <n v="7"/>
    <n v="30"/>
    <n v="85"/>
    <n v="225"/>
    <n v="2"/>
    <n v="11"/>
  </r>
  <r>
    <n v="2717"/>
    <s v="RIVER VENNA AT MAHULI, VILLAGE- MAHULI, TALUKA-MAHULI, DISTRICT- SATARA."/>
    <x v="21"/>
    <n v="23"/>
    <n v="30"/>
    <n v="4.8"/>
    <n v="6.2"/>
    <n v="7.4"/>
    <n v="8.1999999999999993"/>
    <n v="206"/>
    <n v="553"/>
    <n v="2.8"/>
    <n v="6.4"/>
    <n v="0.3"/>
    <n v="2.82"/>
    <n v="8"/>
    <n v="65"/>
    <n v="95"/>
    <n v="350"/>
    <n v="4"/>
    <n v="13"/>
  </r>
  <r>
    <n v="4253"/>
    <s v="RIVER MUSI AT BAPUGHAT SANGAM, HYDERABAD"/>
    <x v="24"/>
    <n v="25"/>
    <n v="29"/>
    <n v="0.3"/>
    <n v="3"/>
    <n v="6.8"/>
    <n v="7.9"/>
    <n v="384"/>
    <n v="1526"/>
    <n v="2.2000000000000002"/>
    <n v="14"/>
    <n v="2.08"/>
    <n v="8.1999999999999993"/>
    <n v="4"/>
    <n v="350"/>
    <n v="280"/>
    <n v="920"/>
    <n v="2"/>
    <n v="6"/>
  </r>
  <r>
    <n v="4656"/>
    <s v="RIVER MUSI AT MOOSARAMBAGH BRIDGE, HYDERABAD"/>
    <x v="24"/>
    <n v="24"/>
    <n v="27.8"/>
    <n v="0.3"/>
    <n v="1.1000000000000001"/>
    <n v="6.8"/>
    <n v="7.6"/>
    <n v="784"/>
    <n v="1474"/>
    <n v="5.2"/>
    <n v="14"/>
    <n v="3.4"/>
    <n v="9.1999999999999993"/>
    <n v="8"/>
    <n v="63"/>
    <n v="430"/>
    <n v="920"/>
    <n v="2"/>
    <n v="7"/>
  </r>
  <r>
    <n v="2339"/>
    <s v="RIVER MUSI AT NAGOLE, RANGA REDDY"/>
    <x v="24"/>
    <n v="24"/>
    <n v="28"/>
    <n v="0.3"/>
    <n v="0.3"/>
    <n v="6.9"/>
    <n v="7.8"/>
    <n v="1027"/>
    <n v="1621"/>
    <n v="6"/>
    <n v="15"/>
    <n v="3.2"/>
    <n v="9"/>
    <n v="6"/>
    <n v="58"/>
    <n v="350"/>
    <n v="920"/>
    <n v="2"/>
    <n v="12"/>
  </r>
  <r>
    <n v="4659"/>
    <s v="RIVER MUSI - OUTLET OF NALLA CHERUVU,_x000a_PEERAJADIGUDA, RANGAREDDY"/>
    <x v="24"/>
    <n v="24"/>
    <n v="28.9"/>
    <n v="0.3"/>
    <n v="0.3"/>
    <n v="7"/>
    <n v="7.9"/>
    <n v="1040"/>
    <n v="1794"/>
    <n v="6"/>
    <n v="16"/>
    <n v="3"/>
    <n v="12.5"/>
    <n v="11"/>
    <n v="48"/>
    <n v="350"/>
    <n v="920"/>
    <n v="2"/>
    <n v="21"/>
  </r>
  <r>
    <n v="4660"/>
    <s v="RIVER MUSI AT PEERAJADIGUDA, RANGA REDDY"/>
    <x v="24"/>
    <n v="24"/>
    <n v="29"/>
    <n v="0.3"/>
    <n v="0.8"/>
    <n v="7"/>
    <n v="7.4"/>
    <n v="1022"/>
    <n v="1502"/>
    <n v="5.8"/>
    <n v="14"/>
    <n v="3"/>
    <n v="10.8"/>
    <n v="14"/>
    <n v="48"/>
    <n v="350"/>
    <n v="1600"/>
    <n v="2"/>
    <n v="12"/>
  </r>
  <r>
    <n v="1173"/>
    <s v="RIVER MUSI - D/S AT PRATAPASINGARAM ,_x000a_SHAMSHABAD"/>
    <x v="24"/>
    <n v="24"/>
    <n v="28"/>
    <n v="0.3"/>
    <n v="1.2"/>
    <n v="6.8"/>
    <n v="7.7"/>
    <n v="1005"/>
    <n v="1488"/>
    <n v="5.2"/>
    <n v="16"/>
    <n v="2.6"/>
    <n v="13.6"/>
    <n v="11"/>
    <n v="84"/>
    <n v="350"/>
    <n v="920"/>
    <n v="4"/>
    <n v="14"/>
  </r>
  <r>
    <n v="4657"/>
    <s v="RIVER MUSI AT PILLAIPALLI, RANGAREDDY"/>
    <x v="24"/>
    <n v="24"/>
    <n v="27.2"/>
    <n v="0.3"/>
    <n v="3.2"/>
    <n v="7"/>
    <n v="7.5"/>
    <n v="998"/>
    <n v="1504"/>
    <n v="4"/>
    <n v="6"/>
    <n v="2.6"/>
    <n v="11.84"/>
    <n v="11"/>
    <n v="70"/>
    <n v="350"/>
    <n v="1600"/>
    <n v="2"/>
    <n v="15"/>
  </r>
  <r>
    <n v="4254"/>
    <s v="RIVER MUSI AT RUDRAVELLY BRIDGE,YADADRI"/>
    <x v="24"/>
    <n v="18"/>
    <n v="23"/>
    <n v="5.9"/>
    <n v="7"/>
    <n v="6.8"/>
    <n v="8.1999999999999993"/>
    <n v="1025"/>
    <n v="1832"/>
    <n v="2.1"/>
    <n v="6.1"/>
    <n v="23.15"/>
    <n v="38.159999999999997"/>
    <n v="7"/>
    <n v="8"/>
    <n v="70"/>
    <n v="92"/>
    <n v="5"/>
    <n v="6"/>
  </r>
  <r>
    <n v="4658"/>
    <s v="RIVER MUSI AT VALIGONDA BRIDGE, NALGONDA DIST"/>
    <x v="24"/>
    <n v="18"/>
    <n v="23"/>
    <n v="5.9"/>
    <n v="7.6"/>
    <n v="6.7"/>
    <n v="8.3000000000000007"/>
    <n v="1159"/>
    <n v="1802"/>
    <n v="2"/>
    <n v="5.8"/>
    <n v="20.149999999999999"/>
    <n v="43.15"/>
    <n v="8"/>
    <n v="9"/>
    <n v="79"/>
    <n v="110"/>
    <n v="6"/>
    <n v="6"/>
  </r>
  <r>
    <n v="3082"/>
    <s v="RIVER MUSI AT SOLIPET (KASANIGUDA), NALGONDA"/>
    <x v="24"/>
    <n v="18"/>
    <n v="25"/>
    <n v="6.3"/>
    <n v="7.6"/>
    <n v="7.4"/>
    <n v="8.5"/>
    <n v="1101"/>
    <n v="1724"/>
    <n v="2"/>
    <n v="4.7"/>
    <n v="16.079999999999998"/>
    <n v="35.08"/>
    <n v="7"/>
    <n v="8"/>
    <n v="49"/>
    <n v="70"/>
    <n v="5"/>
    <n v="6"/>
  </r>
  <r>
    <n v="5106"/>
    <s v="RIVER MUSI AT BHEEMARAM BRIDGE, BHEEMARAM (V),_x000a_KETHEPALLY (M), NALGONDA (D)"/>
    <x v="24"/>
    <n v="19"/>
    <n v="24"/>
    <n v="5.4"/>
    <n v="7.5"/>
    <n v="7.5"/>
    <n v="8.5"/>
    <n v="1154"/>
    <n v="2245"/>
    <n v="2.2000000000000002"/>
    <n v="3.6"/>
    <n v="18.21"/>
    <n v="38.15"/>
    <n v="5"/>
    <n v="6"/>
    <n v="33"/>
    <n v="41"/>
    <n v="4"/>
    <n v="4"/>
  </r>
  <r>
    <n v="5107"/>
    <s v="RIVER MUSI BEFORE CONFLUENCE OF RIVER KRISHNA_x000a_AT WADAPALLY (V), DAMARACHARLA (M), NALGONDA(D)"/>
    <x v="24"/>
    <n v="18"/>
    <n v="24"/>
    <n v="6"/>
    <n v="7.2"/>
    <n v="7.3"/>
    <n v="8.6"/>
    <n v="1121"/>
    <n v="1648"/>
    <n v="2.2999999999999998"/>
    <n v="3.1"/>
    <n v="10.1"/>
    <n v="28.13"/>
    <n v="6"/>
    <n v="8"/>
    <n v="39"/>
    <n v="44"/>
    <n v="6"/>
    <n v="7"/>
  </r>
  <r>
    <n v="1189"/>
    <s v="RIVER BHIMA AT PUNE (MUTHA RIVER) AT U/S OF_x000a_VITHALWADI NEAR SHANKAR MANDIR, VILLAGE._x000a_VITHALWADI, TALUKA. HAWELI, DISTRICT. PUNE."/>
    <x v="21"/>
    <n v="27.5"/>
    <n v="29"/>
    <n v="2.9"/>
    <n v="4.0999999999999996"/>
    <n v="7.1"/>
    <n v="7.9"/>
    <n v="499"/>
    <n v="693"/>
    <n v="17.899999999999999"/>
    <n v="27"/>
    <n v="0.3"/>
    <n v="4.9000000000000004"/>
    <n v="10"/>
    <n v="225"/>
    <n v="275"/>
    <n v="1800"/>
    <n v="6"/>
    <n v="40"/>
  </r>
  <r>
    <n v="1190"/>
    <s v="RIVER BHIMA AT D/S OF BUNDGARDEN, VILLAGE_x000a_YERWADA, TALUKA. HAWELI, DISTRICT. PUNE."/>
    <x v="21"/>
    <n v="27"/>
    <n v="29"/>
    <n v="3.3"/>
    <n v="4.5"/>
    <n v="6.9"/>
    <n v="7.8"/>
    <n v="339"/>
    <n v="683"/>
    <n v="10.4"/>
    <n v="23"/>
    <n v="0"/>
    <n v="3.45"/>
    <n v="25"/>
    <n v="250"/>
    <n v="425"/>
    <n v="1800"/>
    <n v="9"/>
    <n v="25"/>
  </r>
  <r>
    <n v="2655"/>
    <s v="RIVER BHIMA AT KOREGAON NEAR KOREGAON BRIDGE,_x000a_VILLAGE- KOREGAON,TALUKA- SHIRUR, DISTRICT-PUNE."/>
    <x v="21"/>
    <n v="26"/>
    <n v="29"/>
    <n v="5"/>
    <n v="6.2"/>
    <n v="7.4"/>
    <n v="8.3000000000000007"/>
    <n v="210"/>
    <n v="726"/>
    <n v="3"/>
    <n v="5.4"/>
    <n v="0.3"/>
    <n v="5.4"/>
    <n v="9"/>
    <n v="45"/>
    <n v="200"/>
    <n v="550"/>
    <n v="3"/>
    <n v="17"/>
  </r>
  <r>
    <n v="1191"/>
    <s v="RIVER BHIMA AFTER CONFLUENCE WITH MULA-MUTHA_x000a_AT PARGAON NEAR VASANT BANDARA,VILLAGE-PARGAON,TALUKA- DAUND, DISTRICT- PUNE."/>
    <x v="21"/>
    <n v="27"/>
    <n v="29"/>
    <n v="4.2"/>
    <n v="5.8"/>
    <n v="7.4"/>
    <n v="8"/>
    <n v="347"/>
    <n v="1603"/>
    <n v="4"/>
    <n v="10.9"/>
    <n v="0.3"/>
    <n v="11.12"/>
    <n v="8"/>
    <n v="200"/>
    <n v="110"/>
    <n v="900"/>
    <n v="4"/>
    <n v="25"/>
  </r>
  <r>
    <n v="1192"/>
    <s v="RIVER BHIMA AT DAUND NEAR MAHADEV_x000a_TEMPLE,VILLAGE- DAUND, TALUKA- DAUND, DISTRICT-PUNE."/>
    <x v="21"/>
    <n v="27"/>
    <n v="30"/>
    <n v="4.5"/>
    <n v="5.8"/>
    <n v="7.5"/>
    <n v="8.1"/>
    <n v="349"/>
    <n v="1621"/>
    <n v="3.4"/>
    <n v="8.5"/>
    <n v="0.3"/>
    <n v="10.78"/>
    <n v="10"/>
    <n v="115"/>
    <n v="95"/>
    <n v="900"/>
    <n v="2"/>
    <n v="20"/>
  </r>
  <r>
    <n v="2656"/>
    <s v="RIVER BHIMA BACKWATER OF UJANI DAM, NEAR RAW_x000a_WATER PUMP HOUSE, VILLAGE- KUMBARGAON,_x000a_TALUKA- INDAPUR, DISTRICT- PUNE."/>
    <x v="21"/>
    <n v="27"/>
    <n v="30"/>
    <n v="4.9000000000000004"/>
    <n v="6.2"/>
    <n v="7.4"/>
    <n v="8.3000000000000007"/>
    <n v="332"/>
    <n v="967"/>
    <n v="2.8"/>
    <n v="7.5"/>
    <n v="0.3"/>
    <n v="5.09"/>
    <n v="7"/>
    <n v="85"/>
    <n v="170"/>
    <n v="350"/>
    <n v="2"/>
    <n v="14"/>
  </r>
  <r>
    <n v="1188"/>
    <s v="RIVER BHIMA AT NARSINGPUR NEAR SANGAM BRIDGE_x000a_AFTER CONFLUENCE WITH NIRA, VILLAGE-NARSINGPUR, TALUKA-MALSHIRAS, DISTRICT-SOLAPUR."/>
    <x v="21"/>
    <n v="29"/>
    <n v="36"/>
    <n v="5.3"/>
    <n v="6.4"/>
    <n v="8"/>
    <n v="8.4"/>
    <n v="722"/>
    <n v="6664"/>
    <n v="3.2"/>
    <n v="7.6"/>
    <n v="0.3"/>
    <n v="2.77"/>
    <n v="7"/>
    <n v="120"/>
    <n v="75"/>
    <n v="425"/>
    <n v="2"/>
    <n v="25"/>
  </r>
  <r>
    <n v="30046"/>
    <s v="RIVER BHIMA AT TAKLI, SOLAPUR, (MAHARASHTRA)"/>
    <x v="21"/>
    <n v="22"/>
    <n v="22"/>
    <n v="4.9000000000000004"/>
    <n v="4.9000000000000004"/>
    <n v="8.3000000000000007"/>
    <n v="8.3000000000000007"/>
    <n v="1656"/>
    <n v="1656"/>
    <n v="7.8"/>
    <n v="7.8"/>
    <n v="1.1100000000000001"/>
    <n v="1.1100000000000001"/>
    <n v="45"/>
    <n v="45"/>
    <n v="350"/>
    <n v="350"/>
    <n v="17"/>
    <n v="17"/>
  </r>
  <r>
    <n v="28"/>
    <s v="RIVER BHIMA AT TAKLI NEAR KARNATAKA BORDER,_x000a_VILLAGE- TAKALI, TALUKA- SOUTH SOLAPUR, DISTRICT-SOLAPUR."/>
    <x v="21"/>
    <n v="29"/>
    <n v="36"/>
    <n v="4.4000000000000004"/>
    <n v="6.3"/>
    <n v="7.8"/>
    <n v="8.4"/>
    <n v="950"/>
    <n v="2383"/>
    <n v="2.5"/>
    <n v="10.4"/>
    <n v="0.3"/>
    <n v="2.23"/>
    <n v="6"/>
    <n v="45"/>
    <n v="80"/>
    <n v="550"/>
    <n v="2"/>
    <n v="14"/>
  </r>
  <r>
    <n v="5582"/>
    <s v="RIVER BHIMA DOWNSTREAM, DHULKED VILL"/>
    <x v="26"/>
    <n v="29"/>
    <n v="29"/>
    <n v="6"/>
    <n v="10"/>
    <n v="7"/>
    <n v="8.5"/>
    <n v="826"/>
    <n v="1620"/>
    <n v="1.2"/>
    <n v="2.9"/>
    <n v="2.27"/>
    <n v="8.15"/>
    <n v="540"/>
    <n v="920"/>
    <n v="1600"/>
    <n v="1600"/>
    <n v="280"/>
    <n v="540"/>
  </r>
  <r>
    <n v="1183"/>
    <s v="RIVER BHIMA AT D/S OF ROAD BRIDGE AT GANGAPUR_x000a_VILLAGE"/>
    <x v="26"/>
    <n v="25"/>
    <n v="31"/>
    <n v="6"/>
    <n v="8.6"/>
    <n v="7.4"/>
    <n v="8.5"/>
    <n v="1050"/>
    <n v="2010"/>
    <n v="3"/>
    <n v="8"/>
    <n v="0.48"/>
    <n v="3.51"/>
    <n v="230"/>
    <n v="260000"/>
    <n v="1600"/>
    <n v="280000"/>
    <m/>
    <m/>
  </r>
  <r>
    <n v="1184"/>
    <s v="RIVER BHIMA AT FEROZABAD VILLAGE (D/S)"/>
    <x v="26"/>
    <n v="24"/>
    <n v="32"/>
    <n v="6.5"/>
    <n v="11.6"/>
    <n v="7.7"/>
    <n v="8.8000000000000007"/>
    <n v="880"/>
    <n v="1295"/>
    <n v="2"/>
    <n v="4"/>
    <n v="0.51"/>
    <n v="67"/>
    <n v="140"/>
    <n v="23000"/>
    <n v="1100"/>
    <n v="350000"/>
    <m/>
    <m/>
  </r>
  <r>
    <n v="1888"/>
    <s v="RIVER BHIMA AT CONFLUENCE OF JEWARGI TOWN_x000a_SEWAGE DISPOSAL POINT"/>
    <x v="26"/>
    <n v="24"/>
    <n v="32"/>
    <n v="5.6"/>
    <n v="12"/>
    <n v="7.7"/>
    <n v="8.6"/>
    <n v="818"/>
    <n v="1278"/>
    <n v="2"/>
    <n v="3.3"/>
    <n v="0.46"/>
    <n v="6.9"/>
    <n v="20"/>
    <n v="700"/>
    <n v="350"/>
    <n v="5400"/>
    <m/>
    <m/>
  </r>
  <r>
    <n v="30057"/>
    <s v="RIVER BHIMA AT GANGAPUR (BANGALORE)"/>
    <x v="26"/>
    <n v="24"/>
    <n v="28"/>
    <n v="7.1"/>
    <n v="8.6999999999999993"/>
    <n v="8.1"/>
    <n v="8.6"/>
    <n v="1270"/>
    <n v="2198"/>
    <n v="4"/>
    <n v="6.7"/>
    <n v="0"/>
    <n v="3.72"/>
    <n v="790"/>
    <n v="2200"/>
    <n v="4900"/>
    <n v="9200"/>
    <m/>
    <m/>
  </r>
  <r>
    <n v="1167"/>
    <s v="RIVER BHIMA AT D/S OF BDG. NEAR YADGIR"/>
    <x v="26"/>
    <n v="26"/>
    <n v="34"/>
    <n v="7"/>
    <n v="8"/>
    <n v="8.1"/>
    <n v="8.5"/>
    <n v="390"/>
    <n v="1473"/>
    <n v="2"/>
    <n v="3"/>
    <n v="0.35"/>
    <n v="11.56"/>
    <n v="33"/>
    <n v="490"/>
    <n v="280"/>
    <n v="2800"/>
    <m/>
    <m/>
  </r>
  <r>
    <n v="5158"/>
    <s v="RIVER HUNDRI AT GAJULADINNE RESERVOIR_x000a_GAJULADINNE (V),GONEGANDLA (M)"/>
    <x v="25"/>
    <n v="21"/>
    <n v="29"/>
    <n v="5.5"/>
    <n v="6.2"/>
    <n v="6.9"/>
    <n v="8.1"/>
    <n v="547"/>
    <n v="896"/>
    <n v="1.3"/>
    <n v="2.5"/>
    <n v="0.34"/>
    <n v="1.29"/>
    <n v="173"/>
    <n v="378"/>
    <n v="501"/>
    <n v="980"/>
    <m/>
    <m/>
  </r>
  <r>
    <n v="2350"/>
    <s v="RIVER HUNDRI AT LAXMIPURAM (V), KALLUR (M)"/>
    <x v="25"/>
    <n v="22"/>
    <n v="28"/>
    <n v="5.4"/>
    <n v="6.3"/>
    <n v="7.4"/>
    <n v="8.1"/>
    <n v="1152"/>
    <n v="1479"/>
    <n v="1"/>
    <n v="2.8"/>
    <n v="0.93"/>
    <n v="2.12"/>
    <n v="146"/>
    <n v="320"/>
    <n v="575"/>
    <n v="816"/>
    <m/>
    <m/>
  </r>
  <r>
    <n v="1091"/>
    <s v="RIVER BHADRA AT MALLESWARAM D/S OF KIOCL"/>
    <x v="26"/>
    <n v="20"/>
    <n v="25"/>
    <n v="6.6"/>
    <n v="7.7"/>
    <n v="7"/>
    <n v="8.1999999999999993"/>
    <n v="70"/>
    <n v="164"/>
    <n v="1.6"/>
    <n v="2"/>
    <n v="0.3"/>
    <n v="0.6"/>
    <n v="12"/>
    <n v="40"/>
    <n v="110"/>
    <n v="350"/>
    <m/>
    <m/>
  </r>
  <r>
    <n v="2771"/>
    <s v="RIVER BHADRA AT U/S OF KIOCL"/>
    <x v="26"/>
    <n v="20"/>
    <n v="25"/>
    <n v="6.6"/>
    <n v="7.9"/>
    <n v="6.9"/>
    <n v="8.1999999999999993"/>
    <n v="61"/>
    <n v="150"/>
    <n v="1.2"/>
    <n v="2"/>
    <n v="0.3"/>
    <n v="0.52"/>
    <n v="11"/>
    <n v="40"/>
    <n v="110"/>
    <n v="350"/>
    <m/>
    <m/>
  </r>
  <r>
    <n v="2765"/>
    <s v="RIVER BHADRA AT U/S OF MPM"/>
    <x v="26"/>
    <n v="26"/>
    <n v="27"/>
    <n v="6.6"/>
    <n v="8.1"/>
    <n v="7"/>
    <n v="8.1"/>
    <n v="103"/>
    <n v="250"/>
    <n v="1"/>
    <n v="2.4"/>
    <n v="0.3"/>
    <n v="0.83"/>
    <n v="13"/>
    <n v="93"/>
    <n v="110"/>
    <n v="1600"/>
    <m/>
    <m/>
  </r>
  <r>
    <n v="1387"/>
    <s v="RIVER BHADRA AT D/S OF BHADRAVATHI"/>
    <x v="26"/>
    <n v="26"/>
    <n v="28"/>
    <n v="4.9000000000000004"/>
    <n v="8"/>
    <n v="7"/>
    <n v="8.5"/>
    <n v="100"/>
    <n v="250"/>
    <n v="1.5"/>
    <n v="2.9"/>
    <n v="0.3"/>
    <n v="1.53"/>
    <n v="78"/>
    <n v="390"/>
    <n v="920"/>
    <n v="2400"/>
    <m/>
    <m/>
  </r>
  <r>
    <n v="4105"/>
    <s v="RIVER BHADRA D/S MYSORE PAPER MILL (MPM),_x000a_BHADRAWATI, SHIVAMOGGA"/>
    <x v="26"/>
    <n v="26"/>
    <n v="27"/>
    <n v="6.7"/>
    <n v="9.5"/>
    <n v="7.1"/>
    <n v="8.4"/>
    <n v="111"/>
    <n v="190"/>
    <n v="1.3"/>
    <n v="3.3"/>
    <n v="0.3"/>
    <n v="0.96"/>
    <n v="11"/>
    <n v="310"/>
    <n v="110"/>
    <n v="2400"/>
    <m/>
    <m/>
  </r>
  <r>
    <n v="1169"/>
    <s v="RIVER BHADRA AT D/S OF KIOCL ROAD BRIDGE, NEAR_x000a_HOLEHUNNUR"/>
    <x v="26"/>
    <n v="26"/>
    <n v="28"/>
    <n v="6"/>
    <n v="7.8"/>
    <n v="7"/>
    <n v="7.9"/>
    <n v="122"/>
    <n v="200"/>
    <n v="1.2"/>
    <n v="2.8"/>
    <n v="0.3"/>
    <n v="1.2"/>
    <n v="13"/>
    <n v="270"/>
    <n v="140"/>
    <n v="1300"/>
    <m/>
    <m/>
  </r>
  <r>
    <n v="1911"/>
    <s v="RIVER CHANDRABHAGA AT U/S OF PANDHARPUR_x000a_TOWN, VILLAGE. GURSALE, TALUKA. PANDHARPUR,_x000a_DISTRICT. SOLAPUR."/>
    <x v="21"/>
    <n v="25"/>
    <n v="36"/>
    <n v="4.7"/>
    <n v="6.2"/>
    <n v="7.7"/>
    <n v="8.4"/>
    <n v="672"/>
    <n v="9529"/>
    <n v="3"/>
    <n v="8.3000000000000007"/>
    <n v="0.3"/>
    <n v="2.12"/>
    <n v="9"/>
    <n v="45"/>
    <n v="110"/>
    <n v="550"/>
    <n v="4"/>
    <n v="25"/>
  </r>
  <r>
    <n v="1912"/>
    <s v="RIVER CHANDRABHAGA AT D/S OF PANDHARPUR TOWN_x000a_REAR VISHNUPANT MANDIR, VILLAGE. GOPALPUR,_x000a_TALUKA. PANDHARPUR DISTRICT. SOLAPUR."/>
    <x v="21"/>
    <n v="25"/>
    <n v="36"/>
    <n v="4.5"/>
    <n v="5.8"/>
    <n v="7.8"/>
    <n v="8.4"/>
    <n v="745"/>
    <n v="1824"/>
    <n v="4.2"/>
    <n v="9"/>
    <n v="0.3"/>
    <n v="3.35"/>
    <n v="10"/>
    <n v="175"/>
    <n v="140"/>
    <n v="900"/>
    <n v="5"/>
    <n v="25"/>
  </r>
  <r>
    <n v="1163"/>
    <s v="RIVER GHATAPRABHA AT W.A. POINT TO GOKAK TOWN"/>
    <x v="26"/>
    <n v="24"/>
    <n v="29"/>
    <n v="6.1"/>
    <n v="8.6999999999999993"/>
    <n v="7.8"/>
    <n v="8.6999999999999993"/>
    <n v="196"/>
    <n v="884"/>
    <n v="1.1000000000000001"/>
    <n v="3"/>
    <n v="3.23"/>
    <n v="28.19"/>
    <n v="350"/>
    <n v="540"/>
    <n v="920"/>
    <n v="1600"/>
    <n v="110"/>
    <n v="350"/>
  </r>
  <r>
    <n v="4104"/>
    <s v="RIVER GHATAPRABHA DAVALSHWAR BARRAGE_x000a_JACKWELL FOR DRINKING WATER SUPPLY"/>
    <x v="26"/>
    <n v="18"/>
    <n v="21"/>
    <n v="5.6"/>
    <n v="13.7"/>
    <n v="6.4"/>
    <n v="9.1999999999999993"/>
    <n v="208"/>
    <n v="1258"/>
    <n v="1.8"/>
    <n v="5.2"/>
    <n v="3.95"/>
    <n v="55.36"/>
    <n v="350"/>
    <n v="920"/>
    <n v="920"/>
    <n v="1600"/>
    <n v="240"/>
    <n v="540"/>
  </r>
  <r>
    <n v="1185"/>
    <s v="RIVER GHATAPRABHA AT D/S OF MUDHOL ROAD CROSS_x000a_BDG."/>
    <x v="26"/>
    <n v="17"/>
    <n v="20"/>
    <n v="5.6"/>
    <n v="13.7"/>
    <n v="6.3"/>
    <n v="9.1"/>
    <n v="268"/>
    <n v="1320"/>
    <n v="1.6"/>
    <n v="4.2"/>
    <n v="4.37"/>
    <n v="47.51"/>
    <n v="430"/>
    <n v="920"/>
    <n v="920"/>
    <n v="1600"/>
    <n v="240"/>
    <n v="540"/>
  </r>
  <r>
    <n v="2665"/>
    <s v="RIVER GHOD AT SHIRUR, VILLAGE. SHIRUR, TALUKA._x000a_SHIRUR, DISTRICT. PUNE."/>
    <x v="21"/>
    <n v="26"/>
    <n v="27"/>
    <n v="4.5999999999999996"/>
    <n v="6.1"/>
    <n v="7.5"/>
    <n v="8.4"/>
    <n v="431"/>
    <n v="1336"/>
    <n v="3.5"/>
    <n v="9.6999999999999993"/>
    <n v="0.3"/>
    <n v="3.42"/>
    <n v="7"/>
    <n v="45"/>
    <n v="200"/>
    <n v="550"/>
    <n v="2"/>
    <n v="20"/>
  </r>
  <r>
    <n v="2669"/>
    <s v="RIVER INDRAYANI AT U/S OF MOSHIGAON,VILLAGE-MOSHI, TALUKA- HAWELI, DISTRICT- PUNE."/>
    <x v="21"/>
    <n v="25"/>
    <n v="29"/>
    <n v="4.8"/>
    <n v="6.1"/>
    <n v="7"/>
    <n v="7.8"/>
    <n v="216"/>
    <n v="777"/>
    <n v="2.2000000000000002"/>
    <n v="8.3000000000000007"/>
    <n v="0.3"/>
    <n v="7.25"/>
    <n v="8"/>
    <n v="70"/>
    <n v="85"/>
    <n v="900"/>
    <n v="2"/>
    <n v="30"/>
  </r>
  <r>
    <n v="2668"/>
    <s v="RIVER INDRAYANI AT D/S OF MOSHI VILLAGE. VILLAGE-MOSHI, TALUKA- HAWELI, DISTRICT- PUNE."/>
    <x v="21"/>
    <n v="26"/>
    <n v="29"/>
    <n v="5.2"/>
    <n v="5.8"/>
    <n v="7"/>
    <n v="7.9"/>
    <n v="210"/>
    <n v="784"/>
    <n v="3.2"/>
    <n v="8.4"/>
    <n v="0.3"/>
    <n v="3.41"/>
    <n v="10"/>
    <n v="115"/>
    <n v="170"/>
    <n v="550"/>
    <n v="4"/>
    <n v="20"/>
  </r>
  <r>
    <n v="2197"/>
    <s v="RIVER INDRAYANI AT D/S OF ALANDIGAON, VILLAGE._x000a_ALANDIGAON, TALUKA. HAWELI, DISTRICT. PUNE."/>
    <x v="21"/>
    <n v="26"/>
    <n v="28"/>
    <n v="4.8"/>
    <n v="5.8"/>
    <n v="7"/>
    <n v="8"/>
    <n v="190"/>
    <n v="711"/>
    <n v="3.5"/>
    <n v="8.9"/>
    <n v="0.3"/>
    <n v="7.7"/>
    <n v="8"/>
    <n v="70"/>
    <n v="140"/>
    <n v="550"/>
    <n v="4"/>
    <n v="20"/>
  </r>
  <r>
    <n v="1895"/>
    <s v="RIVER KAGINA D/S OF SEWAGE DISPOSAL POINT"/>
    <x v="26"/>
    <n v="24"/>
    <n v="32"/>
    <n v="6.7"/>
    <n v="8.8000000000000007"/>
    <n v="7.7"/>
    <n v="8.5"/>
    <n v="340"/>
    <n v="610"/>
    <n v="1.7"/>
    <n v="4"/>
    <n v="0.31"/>
    <n v="3.4"/>
    <n v="49"/>
    <n v="63000"/>
    <n v="240"/>
    <n v="120000"/>
    <m/>
    <m/>
  </r>
  <r>
    <n v="2777"/>
    <s v="RIVER KAGINA AT SHAHABAD BRIDGE"/>
    <x v="26"/>
    <n v="24"/>
    <n v="32"/>
    <n v="7.2"/>
    <n v="8.9"/>
    <n v="7.7"/>
    <n v="8.6"/>
    <n v="339"/>
    <n v="612"/>
    <n v="1"/>
    <n v="3.6"/>
    <n v="0.34"/>
    <n v="3"/>
    <n v="63"/>
    <n v="7000"/>
    <n v="540"/>
    <n v="16000"/>
    <m/>
    <m/>
  </r>
  <r>
    <n v="4500"/>
    <s v="RIVER KAGINA AT D/S OF BRIDGE CUM BARRAGE,_x000a_SADEM"/>
    <x v="26"/>
    <n v="24"/>
    <n v="32"/>
    <n v="6.7"/>
    <n v="8.6999999999999993"/>
    <n v="7.9"/>
    <n v="8.5"/>
    <n v="316"/>
    <n v="580"/>
    <n v="2"/>
    <n v="6"/>
    <n v="0.48"/>
    <n v="4"/>
    <n v="14"/>
    <n v="7900"/>
    <n v="20"/>
    <n v="160000"/>
    <m/>
    <m/>
  </r>
  <r>
    <n v="2189"/>
    <s v="RIVER KOYNA AT KARAD, VILLAGE- KARAD,TALUKA-KARAD, DISTRICT- SATARA."/>
    <x v="21"/>
    <n v="26"/>
    <n v="32"/>
    <n v="5.4"/>
    <n v="6.7"/>
    <n v="7.5"/>
    <n v="8.1"/>
    <n v="65"/>
    <n v="239"/>
    <n v="2"/>
    <n v="5"/>
    <n v="0.3"/>
    <n v="2.84"/>
    <n v="7"/>
    <n v="35"/>
    <n v="110"/>
    <n v="350"/>
    <n v="2"/>
    <n v="13"/>
  </r>
  <r>
    <n v="1187"/>
    <s v="RIVER MALPRABHA AT D/S OF KHANAPUR VILLAGE"/>
    <x v="26"/>
    <n v="22"/>
    <n v="29"/>
    <n v="5.6"/>
    <n v="8.4"/>
    <n v="6.5"/>
    <n v="8.8000000000000007"/>
    <n v="190"/>
    <n v="268"/>
    <n v="1.3"/>
    <n v="2.9"/>
    <n v="1.65"/>
    <n v="15.25"/>
    <n v="350"/>
    <n v="920"/>
    <n v="920"/>
    <n v="1600"/>
    <n v="130"/>
    <n v="540"/>
  </r>
  <r>
    <n v="1164"/>
    <s v="RIVER MALAPRABHA AT WATER ABSTRACTION POINT_x000a_TO HUBLI, DHARWAD"/>
    <x v="26"/>
    <n v="24"/>
    <n v="32"/>
    <n v="5.6"/>
    <n v="8.8000000000000007"/>
    <n v="7.7"/>
    <n v="8.6999999999999993"/>
    <n v="268"/>
    <n v="518"/>
    <n v="1.1000000000000001"/>
    <n v="3"/>
    <n v="1.23"/>
    <n v="23.04"/>
    <n v="280"/>
    <n v="920"/>
    <n v="920"/>
    <n v="1600"/>
    <n v="170"/>
    <n v="540"/>
  </r>
  <r>
    <n v="2764"/>
    <s v="RIVER MALAPRABHA AT BADAMI BRIDGE"/>
    <x v="26"/>
    <n v="18"/>
    <n v="22"/>
    <n v="5"/>
    <n v="11.5"/>
    <n v="7.6"/>
    <n v="8.8000000000000007"/>
    <n v="708"/>
    <n v="1868"/>
    <n v="1"/>
    <n v="3.8"/>
    <n v="5.55"/>
    <n v="37.28"/>
    <n v="540"/>
    <n v="920"/>
    <n v="920"/>
    <n v="1600"/>
    <n v="240"/>
    <n v="540"/>
  </r>
  <r>
    <n v="1186"/>
    <s v="RIVER MALAPRABHA AT D/S OF AIHOLE TOWN"/>
    <x v="26"/>
    <n v="18"/>
    <n v="21"/>
    <n v="5"/>
    <n v="11.7"/>
    <n v="8.1"/>
    <n v="8.6999999999999993"/>
    <n v="758"/>
    <n v="1748"/>
    <n v="1"/>
    <n v="4.5999999999999996"/>
    <n v="3.48"/>
    <n v="38.24"/>
    <n v="350"/>
    <n v="920"/>
    <n v="1600"/>
    <n v="1600"/>
    <n v="240"/>
    <n v="540"/>
  </r>
  <r>
    <n v="4098"/>
    <s v="RIVER MARKANDEYA AT RAKKASAKOPPA RESRVOIR"/>
    <x v="26"/>
    <n v="20"/>
    <n v="26"/>
    <n v="5.0999999999999996"/>
    <n v="8.3000000000000007"/>
    <n v="6.9"/>
    <n v="9"/>
    <n v="190"/>
    <n v="270"/>
    <n v="1"/>
    <n v="2.8"/>
    <n v="2.02"/>
    <n v="14.18"/>
    <n v="270"/>
    <n v="920"/>
    <n v="920"/>
    <n v="1600"/>
    <n v="110"/>
    <n v="540"/>
  </r>
  <r>
    <n v="2193"/>
    <s v="RIVER MULA AT AUNDH BRIDGE, VILLAGE-AUNDHGAON,TALUKA- HAWELI, DISTRICT- PUNE."/>
    <x v="21"/>
    <n v="27"/>
    <n v="29"/>
    <n v="4.3"/>
    <n v="5.4"/>
    <n v="7"/>
    <n v="7.9"/>
    <n v="249"/>
    <n v="805"/>
    <n v="5.2"/>
    <n v="16"/>
    <n v="0.3"/>
    <n v="4.95"/>
    <n v="10"/>
    <n v="195"/>
    <n v="200"/>
    <n v="1600"/>
    <n v="4"/>
    <n v="30"/>
  </r>
  <r>
    <n v="2194"/>
    <s v="RIVER MULA AT HARRISON BRIDGE NEAR MULA-PAWANA SANGAM, VILLAGE- BOPODI,TALUKA- HAWELI,_x000a_DISTRICT- PUNE."/>
    <x v="21"/>
    <n v="27.5"/>
    <n v="29"/>
    <n v="3.4"/>
    <n v="5.0999999999999996"/>
    <n v="7"/>
    <n v="8.1"/>
    <n v="246"/>
    <n v="728"/>
    <n v="5.4"/>
    <n v="25"/>
    <n v="0.3"/>
    <n v="3.62"/>
    <n v="14"/>
    <n v="225"/>
    <n v="275"/>
    <n v="1800"/>
    <n v="7"/>
    <n v="45"/>
  </r>
  <r>
    <n v="2192"/>
    <s v="RIVER MULA-MUTHA AT MUNDHAWA BRIDGE,VILLAGE-MUNDHAWA,TALUKA- HAWELI,DISTRICT- PUNE."/>
    <x v="21"/>
    <n v="27"/>
    <n v="29"/>
    <n v="3.6"/>
    <n v="4.5999999999999996"/>
    <n v="7.1"/>
    <n v="7.9"/>
    <n v="337"/>
    <n v="667"/>
    <n v="11"/>
    <n v="21"/>
    <n v="0.3"/>
    <n v="3.12"/>
    <n v="20"/>
    <n v="170"/>
    <n v="540"/>
    <n v="1800"/>
    <n v="8"/>
    <n v="30"/>
  </r>
  <r>
    <n v="2677"/>
    <s v="RIVER MULA-MUTHA AT D/S OF THEUR, VILLAGE._x000a_THEUR, TALUKA. HAWELI, DISTRICT. PUNE."/>
    <x v="21"/>
    <n v="25"/>
    <n v="28"/>
    <n v="4.3"/>
    <n v="5.0999999999999996"/>
    <n v="7"/>
    <n v="7.8"/>
    <n v="326"/>
    <n v="693"/>
    <n v="7"/>
    <n v="13.5"/>
    <n v="0.3"/>
    <n v="2.4300000000000002"/>
    <n v="13"/>
    <n v="110"/>
    <n v="280"/>
    <n v="1600"/>
    <n v="4"/>
    <n v="20"/>
  </r>
  <r>
    <n v="1177"/>
    <s v="RIVER MUNNERU B/C WITH KRISHNA, KEESARA (V &amp; M)"/>
    <x v="25"/>
    <n v="26"/>
    <n v="26"/>
    <n v="6.9"/>
    <n v="7.7"/>
    <n v="7.6"/>
    <n v="8.1"/>
    <n v="585"/>
    <n v="998"/>
    <n v="2.4"/>
    <n v="2.9"/>
    <n v="1.26"/>
    <n v="1.92"/>
    <n v="3"/>
    <n v="28"/>
    <n v="39"/>
    <n v="470"/>
    <n v="2"/>
    <n v="3"/>
  </r>
  <r>
    <n v="4251"/>
    <s v="RIVER KRISHNA - D/S OF MUNNERU RIVER, PRAKASH_x000a_NAGAR, KHAMMAM"/>
    <x v="24"/>
    <n v="24.8"/>
    <n v="30.7"/>
    <n v="4.5999999999999996"/>
    <n v="6.1"/>
    <n v="7.2"/>
    <n v="8.3000000000000007"/>
    <n v="343"/>
    <n v="802"/>
    <n v="1"/>
    <n v="3.2"/>
    <n v="0.92"/>
    <n v="3.4"/>
    <n v="2"/>
    <n v="2"/>
    <n v="23"/>
    <n v="49"/>
    <n v="2"/>
    <n v="2"/>
  </r>
  <r>
    <n v="2680"/>
    <s v="RIVER MUTHA AT KHADAKVASLA DAM, VILLAGE-KHADAKVASLA,TALUKA- HAWELI, DISTRICT- PUNE."/>
    <x v="21"/>
    <n v="25"/>
    <n v="28"/>
    <n v="5.8"/>
    <n v="6.6"/>
    <n v="7.3"/>
    <n v="8"/>
    <n v="59"/>
    <n v="155"/>
    <n v="2.2000000000000002"/>
    <n v="3.2"/>
    <n v="0.3"/>
    <n v="1.22"/>
    <n v="4"/>
    <n v="40"/>
    <n v="80"/>
    <n v="350"/>
    <n v="2"/>
    <n v="9"/>
  </r>
  <r>
    <n v="2679"/>
    <s v="RIVER MUTHA AT DECCAN BRIDGE, VILLAGE-DECCAN,TALUKA- PUNE, DISTRICT- PUNE."/>
    <x v="21"/>
    <n v="27.5"/>
    <n v="29"/>
    <n v="2.5"/>
    <n v="3.9"/>
    <n v="6.8"/>
    <n v="7.8"/>
    <n v="394"/>
    <n v="589"/>
    <n v="21.3"/>
    <n v="29"/>
    <n v="0.3"/>
    <n v="3.12"/>
    <n v="25"/>
    <n v="550"/>
    <n v="900"/>
    <n v="1800"/>
    <n v="9"/>
    <n v="50"/>
  </r>
  <r>
    <n v="2678"/>
    <s v="RIVER MUTHA NEAR VEER SAVARKAR BHAVAN,_x000a_VILLAGE- PUNE M.C, TALUKA- PUNE, DISTRICT -PUNE."/>
    <x v="21"/>
    <n v="27.5"/>
    <n v="29"/>
    <n v="2.7"/>
    <n v="4.0999999999999996"/>
    <n v="6.9"/>
    <n v="7.8"/>
    <n v="433"/>
    <n v="568"/>
    <n v="21"/>
    <n v="29"/>
    <n v="0.3"/>
    <n v="3.05"/>
    <n v="20"/>
    <n v="350"/>
    <n v="900"/>
    <n v="1800"/>
    <n v="9"/>
    <n v="55"/>
  </r>
  <r>
    <n v="2191"/>
    <s v="RIVER MUTHA AT SANGAM BRIDGE NEAR_x000a_GANAPATHYGHAT, VILLAGE. SHIVAJI NAGAR, TALUKA._x000a_PUNE, DISTRICT. PUNE."/>
    <x v="21"/>
    <n v="27"/>
    <n v="29"/>
    <n v="2.8"/>
    <n v="4.0999999999999996"/>
    <n v="6.9"/>
    <n v="7.8"/>
    <n v="376"/>
    <n v="609"/>
    <n v="19.8"/>
    <n v="30"/>
    <n v="0.3"/>
    <n v="2.5499999999999998"/>
    <n v="30"/>
    <n v="350"/>
    <n v="550"/>
    <n v="1800"/>
    <n v="10"/>
    <n v="50"/>
  </r>
  <r>
    <n v="1178"/>
    <s v="RIVER PALLERU B/C WITH KRISHNA, JAGGAIAPET (V &amp;M)"/>
    <x v="25"/>
    <n v="25"/>
    <n v="27"/>
    <n v="7.1"/>
    <n v="7.9"/>
    <n v="7.5"/>
    <n v="8.1"/>
    <n v="880"/>
    <n v="1170"/>
    <n v="2.6"/>
    <n v="2.9"/>
    <n v="0.95"/>
    <n v="1.96"/>
    <n v="3"/>
    <n v="28"/>
    <n v="39"/>
    <n v="470"/>
    <n v="2"/>
    <n v="4"/>
  </r>
  <r>
    <n v="1904"/>
    <s v="RIVER PANCHAGANGA AT U/S OF KOLHAPUR TOWN_x000a_NEAR BALINGA PUMPING STATION, VILLAGE-BALINGA,_x000a_TALUKA- KARVIR, DISTRICT- KOLHAPUR."/>
    <x v="21"/>
    <n v="24"/>
    <n v="27"/>
    <n v="5.3"/>
    <n v="7.8"/>
    <n v="7.4"/>
    <n v="8.1"/>
    <n v="85"/>
    <n v="192"/>
    <n v="1.8"/>
    <n v="3"/>
    <n v="0.39"/>
    <n v="2.59"/>
    <n v="6"/>
    <n v="11"/>
    <n v="24"/>
    <n v="39"/>
    <n v="2"/>
    <n v="2"/>
  </r>
  <r>
    <n v="1905"/>
    <s v="RIVER PANCHAGANGA AT D/S OF KOLHAPUR TOWN AT_x000a_GANDHI NAGAR NEAR NH.4 BRIDGE AND MIDC, VILLAGE._x000a_UCHEGAON, TALUKA. KOLHAPUR, DISTRICT._x000a_KOLHAPUR."/>
    <x v="21"/>
    <n v="24"/>
    <n v="27"/>
    <n v="5.6"/>
    <n v="7.6"/>
    <n v="7.4"/>
    <n v="8.5"/>
    <n v="83"/>
    <n v="223"/>
    <n v="1.8"/>
    <n v="3"/>
    <n v="0.36"/>
    <n v="2.5299999999999998"/>
    <n v="6"/>
    <n v="12"/>
    <n v="22"/>
    <n v="47"/>
    <n v="2"/>
    <n v="2"/>
  </r>
  <r>
    <n v="1311"/>
    <s v="RIVER PANCHAGANGA AT ICHALKARANJI NEAR MIDC_x000a_INTAKE WELL. VILLAGE. SHIRADHWAD (ICHALKARANJI_x000a_GHAT), TALUKA.HATKANANGALE, DISTRICT. KOLHAPUR."/>
    <x v="21"/>
    <n v="24"/>
    <n v="28"/>
    <n v="5.6"/>
    <n v="7.8"/>
    <n v="7.3"/>
    <n v="8.6"/>
    <n v="84"/>
    <n v="734"/>
    <n v="1.8"/>
    <n v="3.8"/>
    <n v="0.82"/>
    <n v="3.43"/>
    <n v="6"/>
    <n v="10"/>
    <n v="25"/>
    <n v="47"/>
    <n v="2"/>
    <n v="2"/>
  </r>
  <r>
    <n v="2163"/>
    <s v="RIVER PANCHAGANGA AT SHIROL NEAR SHIROL INTAKE_x000a_WELL, VILLAGE- SHIROL, TALUKA- SHIROL, DISTRICT-KOLHAPUR."/>
    <x v="21"/>
    <n v="24"/>
    <n v="28"/>
    <n v="5.4"/>
    <n v="7.7"/>
    <n v="7.6"/>
    <n v="8.5"/>
    <n v="155"/>
    <n v="1029"/>
    <n v="1.8"/>
    <n v="3"/>
    <n v="0.66"/>
    <n v="3.26"/>
    <n v="4"/>
    <n v="9"/>
    <n v="21"/>
    <n v="47"/>
    <n v="2"/>
    <n v="2"/>
  </r>
  <r>
    <n v="2196"/>
    <s v="RIVER PAWANA AT SANGAVIGAON, VILLAGE-SANGAVIGAON, TALUKA- HAWELI, DISTRICT- PUNE."/>
    <x v="21"/>
    <n v="26"/>
    <n v="28"/>
    <n v="3.1"/>
    <n v="4.4000000000000004"/>
    <n v="7"/>
    <n v="7.9"/>
    <n v="223"/>
    <n v="705"/>
    <n v="12"/>
    <n v="27"/>
    <n v="0.3"/>
    <n v="4.9800000000000004"/>
    <n v="12"/>
    <n v="275"/>
    <n v="350"/>
    <n v="1600"/>
    <n v="6"/>
    <n v="30"/>
  </r>
  <r>
    <n v="2692"/>
    <s v="RIVER PAWANA AT RAVET WEIR, VILLAGE. RAVET,_x000a_TALUKA. HAWELI, DISTRICT. PUNE."/>
    <x v="21"/>
    <n v="26"/>
    <n v="28"/>
    <n v="5.3"/>
    <n v="6.5"/>
    <n v="7"/>
    <n v="8"/>
    <n v="114"/>
    <n v="276"/>
    <n v="2.4"/>
    <n v="4.8"/>
    <n v="0.3"/>
    <n v="1.42"/>
    <n v="4"/>
    <n v="30"/>
    <n v="85"/>
    <n v="275"/>
    <n v="2"/>
    <n v="17"/>
  </r>
  <r>
    <n v="2693"/>
    <s v="RIVER PAWANA AT CHINCHWADGAON, VILLAGE._x000a_CHINCHWADGAON, TALUKA. HAWELI, DISTRICT. PUNE."/>
    <x v="21"/>
    <n v="26"/>
    <n v="28"/>
    <n v="4.2"/>
    <n v="5.8"/>
    <n v="6.9"/>
    <n v="8"/>
    <n v="190"/>
    <n v="594"/>
    <n v="4.8"/>
    <n v="13"/>
    <n v="0.3"/>
    <n v="4.42"/>
    <n v="11"/>
    <n v="95"/>
    <n v="350"/>
    <n v="1800"/>
    <n v="4"/>
    <n v="35"/>
  </r>
  <r>
    <n v="2694"/>
    <s v="RIVER PAWANA AT PIMPRIGAON, VILLAGE-PIMPRIGAON, TALUKA- HAWELI, DISTRICT- PUNE."/>
    <x v="21"/>
    <n v="26"/>
    <n v="28"/>
    <n v="3.2"/>
    <n v="4.9000000000000004"/>
    <n v="7"/>
    <n v="7.9"/>
    <n v="245"/>
    <n v="830"/>
    <n v="9"/>
    <n v="31"/>
    <n v="0.3"/>
    <n v="4.3899999999999997"/>
    <n v="14"/>
    <n v="550"/>
    <n v="425"/>
    <n v="1800"/>
    <n v="6"/>
    <n v="50"/>
  </r>
  <r>
    <n v="2690"/>
    <s v="RIVER PAWANA AT KASARWADI, VILLAGE- KASARWADI,_x000a_TALUKA- HAWELI, DISTRICT- PUNE."/>
    <x v="21"/>
    <n v="26"/>
    <n v="28"/>
    <n v="3.7"/>
    <n v="4.4000000000000004"/>
    <n v="7"/>
    <n v="7.8"/>
    <n v="243"/>
    <n v="679"/>
    <n v="13"/>
    <n v="24"/>
    <n v="0.3"/>
    <n v="3.72"/>
    <n v="12"/>
    <n v="195"/>
    <n v="425"/>
    <n v="1800"/>
    <n v="8"/>
    <n v="35"/>
  </r>
  <r>
    <n v="2691"/>
    <s v="RIVER PAWANA AT DAPODI BRIDGE, AT PAWANA-MULLA SANGAM, VILLAGE- DAPODI, TALUKA- HAWELI,_x000a_DISTRICT- PUNE."/>
    <x v="21"/>
    <n v="25"/>
    <n v="28"/>
    <n v="2.9"/>
    <n v="4.3"/>
    <n v="7"/>
    <n v="7.9"/>
    <n v="229"/>
    <n v="754"/>
    <n v="13.5"/>
    <n v="28"/>
    <n v="0.3"/>
    <n v="3.08"/>
    <n v="14"/>
    <n v="195"/>
    <n v="540"/>
    <n v="1800"/>
    <n v="7"/>
    <n v="45"/>
  </r>
  <r>
    <n v="2705"/>
    <s v="RIVER SINA NEAR LABOTI TOLL NAKA, VILLAGE._x000a_LABOTI, TALUKA. MOHAL, DISTRICT. SOLAPUR."/>
    <x v="21"/>
    <n v="28"/>
    <n v="35"/>
    <n v="4.4000000000000004"/>
    <n v="5.6"/>
    <n v="7.7"/>
    <n v="8.6"/>
    <n v="755"/>
    <n v="1826"/>
    <n v="4.4000000000000004"/>
    <n v="10.9"/>
    <n v="1.08"/>
    <n v="1.89"/>
    <n v="9"/>
    <n v="25"/>
    <n v="115"/>
    <n v="275"/>
    <n v="4"/>
    <n v="9"/>
  </r>
  <r>
    <n v="1168"/>
    <s v="RIVER TUNGA AT D/S OF SHIMOGA TOWN"/>
    <x v="26"/>
    <n v="26"/>
    <n v="28"/>
    <n v="0.5"/>
    <n v="9.3000000000000007"/>
    <n v="6.5"/>
    <n v="7.7"/>
    <n v="88"/>
    <n v="360"/>
    <n v="1.2"/>
    <n v="8"/>
    <n v="0.3"/>
    <n v="2.82"/>
    <n v="110"/>
    <n v="940"/>
    <n v="1400"/>
    <n v="3500"/>
    <m/>
    <m/>
  </r>
  <r>
    <n v="4106"/>
    <s v="RIVER TUNGA U/S SHIVAMOGGA CITY"/>
    <x v="26"/>
    <n v="25"/>
    <n v="28"/>
    <n v="5"/>
    <n v="9.6999999999999993"/>
    <n v="6.5"/>
    <n v="8.1"/>
    <n v="66"/>
    <n v="220"/>
    <n v="1"/>
    <n v="2.5"/>
    <n v="0.3"/>
    <n v="0.92"/>
    <n v="17"/>
    <n v="46"/>
    <n v="210"/>
    <n v="540"/>
    <m/>
    <m/>
  </r>
  <r>
    <n v="1896"/>
    <s v="RIVER TUNGABHADRA AT CONFLUENCE POINT OF_x000a_TUNGA AND BHADRA AT KUDLI"/>
    <x v="26"/>
    <n v="25"/>
    <n v="28"/>
    <n v="6.3"/>
    <n v="8.1999999999999993"/>
    <n v="6.8"/>
    <n v="8.1"/>
    <n v="100"/>
    <n v="193"/>
    <n v="1"/>
    <n v="3"/>
    <n v="0.3"/>
    <n v="1.1000000000000001"/>
    <n v="4"/>
    <n v="43"/>
    <n v="220"/>
    <n v="540"/>
    <m/>
    <m/>
  </r>
  <r>
    <n v="38"/>
    <s v="RIVER TUNGABHADRA AT HONNALI BRIDGE"/>
    <x v="26"/>
    <n v="25"/>
    <n v="30"/>
    <n v="7"/>
    <n v="7.6"/>
    <n v="7.4"/>
    <n v="8.5"/>
    <n v="92"/>
    <n v="350"/>
    <n v="1"/>
    <n v="2.8"/>
    <n v="0.3"/>
    <n v="1.2"/>
    <n v="17"/>
    <n v="170"/>
    <n v="170"/>
    <n v="1500"/>
    <m/>
    <m/>
  </r>
  <r>
    <n v="1029"/>
    <s v="RIVER TUNGABHADRA AT HARALAHALLI BRIDGE"/>
    <x v="26"/>
    <n v="27"/>
    <n v="30"/>
    <n v="7"/>
    <n v="7.6"/>
    <n v="7.4"/>
    <n v="8.5"/>
    <n v="123"/>
    <n v="750"/>
    <n v="1.4"/>
    <n v="3"/>
    <n v="0.3"/>
    <n v="1.2"/>
    <n v="17"/>
    <n v="210"/>
    <n v="170"/>
    <n v="1700"/>
    <m/>
    <m/>
  </r>
  <r>
    <n v="2766"/>
    <s v="RIVER TUNGABHADRA AT NEW BRIDGE"/>
    <x v="26"/>
    <n v="25"/>
    <n v="29"/>
    <n v="7"/>
    <n v="7.4"/>
    <n v="7.1"/>
    <n v="8.5"/>
    <n v="102"/>
    <n v="370"/>
    <n v="1.1000000000000001"/>
    <n v="3"/>
    <n v="0.3"/>
    <n v="1.57"/>
    <n v="4"/>
    <n v="200"/>
    <n v="140"/>
    <n v="1700"/>
    <m/>
    <m/>
  </r>
  <r>
    <n v="2768"/>
    <s v="RIVER TUNGABHADRA AT D/S OF HARIHAR POLYFIBERS"/>
    <x v="26"/>
    <n v="26"/>
    <n v="30"/>
    <n v="6.1"/>
    <n v="6.8"/>
    <n v="7"/>
    <n v="8.1999999999999993"/>
    <n v="250"/>
    <n v="1900"/>
    <n v="3.2"/>
    <n v="6.2"/>
    <n v="0.43"/>
    <n v="2.64"/>
    <n v="11"/>
    <n v="94"/>
    <n v="170"/>
    <n v="920"/>
    <m/>
    <m/>
  </r>
  <r>
    <n v="2767"/>
    <s v="RIVER TUNGABHADRA AT U/S OF HARIHAR POLYFIBERS"/>
    <x v="26"/>
    <n v="25"/>
    <n v="29"/>
    <n v="6.9"/>
    <n v="7.4"/>
    <n v="7.1"/>
    <n v="8.5"/>
    <n v="96"/>
    <n v="360"/>
    <n v="1.2"/>
    <n v="3"/>
    <n v="0.3"/>
    <n v="1.53"/>
    <n v="11"/>
    <n v="130"/>
    <n v="220"/>
    <n v="1600"/>
    <m/>
    <m/>
  </r>
  <r>
    <n v="2770"/>
    <s v="RIVER TUNGABHADRA AT HARIHAR WATER SUPPLY_x000a_INTAKE"/>
    <x v="26"/>
    <n v="26"/>
    <n v="30"/>
    <n v="6.7"/>
    <n v="7"/>
    <n v="7.1"/>
    <n v="8.3000000000000007"/>
    <n v="128"/>
    <n v="610"/>
    <n v="3.2"/>
    <n v="5.2"/>
    <n v="0.32"/>
    <n v="1.77"/>
    <n v="700"/>
    <n v="4700"/>
    <n v="4300"/>
    <n v="43000"/>
    <m/>
    <m/>
  </r>
  <r>
    <n v="2769"/>
    <s v="RIVER TUNGABHADRA AT JACKWELL POINT"/>
    <x v="26"/>
    <n v="27"/>
    <n v="30"/>
    <n v="6.1"/>
    <n v="6.9"/>
    <n v="7"/>
    <n v="8.5"/>
    <n v="133"/>
    <n v="1400"/>
    <n v="2.2000000000000002"/>
    <n v="4.5999999999999996"/>
    <n v="0.34"/>
    <n v="1.44"/>
    <n v="13"/>
    <n v="200"/>
    <n v="350"/>
    <n v="1300"/>
    <m/>
    <m/>
  </r>
  <r>
    <n v="5591"/>
    <s v="RIVER TUNGABHADRA AT NADIHARALAHALLI"/>
    <x v="26"/>
    <n v="27"/>
    <n v="28"/>
    <n v="6.7"/>
    <n v="7.8"/>
    <n v="7.1"/>
    <n v="8.1999999999999993"/>
    <n v="119"/>
    <n v="1070"/>
    <n v="2"/>
    <n v="4.2"/>
    <n v="0.94"/>
    <n v="1.4"/>
    <n v="21"/>
    <n v="280"/>
    <n v="280"/>
    <n v="2800"/>
    <m/>
    <m/>
  </r>
  <r>
    <n v="5592"/>
    <s v="RIVER TUNGABHADRA AT AIRANI"/>
    <x v="26"/>
    <n v="27"/>
    <n v="30"/>
    <n v="6.8"/>
    <n v="7.4"/>
    <n v="7.6"/>
    <n v="8.4"/>
    <n v="116"/>
    <n v="900"/>
    <n v="1.8"/>
    <n v="3.4"/>
    <n v="0.63"/>
    <n v="1.34"/>
    <n v="17"/>
    <n v="110"/>
    <n v="220"/>
    <n v="1600"/>
    <m/>
    <m/>
  </r>
  <r>
    <n v="4495"/>
    <s v="RIVER TUNGABHADRA AT ARAVI"/>
    <x v="26"/>
    <n v="27"/>
    <n v="31"/>
    <n v="6.9"/>
    <n v="7.3"/>
    <n v="7.7"/>
    <n v="8.5"/>
    <n v="152"/>
    <n v="790"/>
    <n v="1.1000000000000001"/>
    <n v="2.8"/>
    <n v="0.3"/>
    <n v="1.5"/>
    <n v="9"/>
    <n v="91"/>
    <n v="170"/>
    <n v="840"/>
    <m/>
    <m/>
  </r>
  <r>
    <n v="5593"/>
    <s v="RIVER TUNGABHADRA AT HIREBIDARI"/>
    <x v="26"/>
    <n v="27"/>
    <n v="30"/>
    <n v="7"/>
    <n v="8.3000000000000007"/>
    <n v="7.7"/>
    <n v="8.3000000000000007"/>
    <n v="120"/>
    <n v="970"/>
    <n v="1.5"/>
    <n v="3.5"/>
    <n v="0.62"/>
    <n v="2.4500000000000002"/>
    <n v="17"/>
    <n v="140"/>
    <n v="240"/>
    <n v="1200"/>
    <m/>
    <m/>
  </r>
  <r>
    <n v="5594"/>
    <s v="RIVER TUNGABHADRA AT KONANATHAMBIGE"/>
    <x v="26"/>
    <n v="27"/>
    <n v="32"/>
    <n v="7"/>
    <n v="10.5"/>
    <n v="7.6"/>
    <n v="8.4"/>
    <n v="136"/>
    <n v="850"/>
    <n v="1"/>
    <n v="3.6"/>
    <n v="0.65"/>
    <n v="1.41"/>
    <n v="18"/>
    <n v="140"/>
    <n v="170"/>
    <n v="1400"/>
    <m/>
    <m/>
  </r>
  <r>
    <n v="5595"/>
    <s v="RIVER TUNGABHADRA AT SOMALAPURA"/>
    <x v="26"/>
    <n v="27"/>
    <n v="31"/>
    <n v="7"/>
    <n v="10.199999999999999"/>
    <n v="7.1"/>
    <n v="8.5"/>
    <n v="137"/>
    <n v="820"/>
    <n v="1"/>
    <n v="6.6"/>
    <n v="0.66"/>
    <n v="1.43"/>
    <n v="21"/>
    <n v="120"/>
    <n v="350"/>
    <n v="1100"/>
    <m/>
    <m/>
  </r>
  <r>
    <n v="5596"/>
    <s v="RIVER TUNGABHADRA AT KURUVATHI"/>
    <x v="26"/>
    <n v="27"/>
    <n v="34"/>
    <n v="7.1"/>
    <n v="11.8"/>
    <n v="7.3"/>
    <n v="8.5"/>
    <n v="145"/>
    <n v="660"/>
    <n v="1"/>
    <n v="3"/>
    <n v="0.72"/>
    <n v="1.22"/>
    <n v="33"/>
    <n v="940"/>
    <n v="130"/>
    <n v="5400"/>
    <m/>
    <m/>
  </r>
  <r>
    <n v="4494"/>
    <s v="RIVER TUNGABHADRA AT MYLARA"/>
    <x v="26"/>
    <n v="27"/>
    <n v="31"/>
    <n v="7.2"/>
    <n v="7.5"/>
    <n v="7.4"/>
    <n v="8.5"/>
    <n v="164"/>
    <n v="770"/>
    <n v="1.6"/>
    <n v="3"/>
    <n v="0.4"/>
    <n v="1.5"/>
    <n v="13"/>
    <n v="630"/>
    <n v="110"/>
    <n v="4300"/>
    <m/>
    <m/>
  </r>
  <r>
    <n v="2776"/>
    <s v="RIVER TUNGABHADRA AT D/S OF GANGAWATHI"/>
    <x v="26"/>
    <n v="22"/>
    <n v="30"/>
    <n v="7.1"/>
    <n v="7.8"/>
    <n v="7.3"/>
    <n v="8.5"/>
    <n v="328"/>
    <n v="900"/>
    <n v="2"/>
    <n v="3"/>
    <n v="0.3"/>
    <n v="3.34"/>
    <n v="280"/>
    <n v="490"/>
    <n v="1600"/>
    <n v="2800"/>
    <m/>
    <m/>
  </r>
  <r>
    <n v="29"/>
    <s v="RIVER TUNGABHADRA AT ULENOOR"/>
    <x v="26"/>
    <n v="17"/>
    <n v="29"/>
    <n v="0.3"/>
    <n v="7.8"/>
    <n v="6.5"/>
    <n v="8.4"/>
    <n v="69"/>
    <n v="2430"/>
    <n v="1"/>
    <n v="78"/>
    <n v="0.32"/>
    <n v="8"/>
    <n v="48"/>
    <n v="4800000"/>
    <n v="79"/>
    <n v="54000000"/>
    <n v="2"/>
    <n v="17"/>
  </r>
  <r>
    <n v="3558"/>
    <s v="RIVER TUNGABHADRA AT DADESUGUR BRIDGE_x000a_GAUGING STATION"/>
    <x v="26"/>
    <n v="27"/>
    <n v="32"/>
    <n v="6.8"/>
    <n v="8.6999999999999993"/>
    <n v="8.3000000000000007"/>
    <n v="8.6"/>
    <n v="676"/>
    <n v="2050"/>
    <n v="2.5"/>
    <n v="3.5"/>
    <n v="1.1000000000000001"/>
    <n v="4"/>
    <n v="280"/>
    <n v="700"/>
    <n v="1600"/>
    <n v="2800"/>
    <m/>
    <m/>
  </r>
  <r>
    <n v="30054"/>
    <s v="RIVER TUNGABHADRA AT HOCHECHALLI (BANGALORE)"/>
    <x v="26"/>
    <n v="24"/>
    <n v="28"/>
    <n v="7.2"/>
    <n v="12.2"/>
    <n v="8.1999999999999993"/>
    <n v="8.6999999999999993"/>
    <n v="921"/>
    <n v="2560"/>
    <n v="1"/>
    <n v="1"/>
    <n v="0"/>
    <n v="1.52"/>
    <n v="70"/>
    <n v="790"/>
    <n v="280"/>
    <n v="5400"/>
    <m/>
    <m/>
  </r>
  <r>
    <n v="1785"/>
    <s v="RIVER TUNGABHADRA AT MANTHRALAYAM (V &amp; M)"/>
    <x v="25"/>
    <n v="21"/>
    <n v="29"/>
    <n v="5.3"/>
    <n v="6.4"/>
    <n v="7.3"/>
    <n v="8"/>
    <n v="964"/>
    <n v="1652"/>
    <n v="1"/>
    <n v="2.7"/>
    <n v="0.46"/>
    <n v="1.51"/>
    <n v="163"/>
    <n v="615"/>
    <n v="602"/>
    <n v="1553"/>
    <m/>
    <m/>
  </r>
  <r>
    <n v="1174"/>
    <s v="RIVER TUNGABHADRA AT KURNOOL U/S, BHAVAPURAM_x000a_(V), KURNOOL (M)"/>
    <x v="25"/>
    <n v="22"/>
    <n v="28"/>
    <n v="5.2"/>
    <n v="6.3"/>
    <n v="7.3"/>
    <n v="8.1"/>
    <n v="1360"/>
    <n v="1698"/>
    <n v="1.7"/>
    <n v="2.5"/>
    <n v="0.53"/>
    <n v="2.2400000000000002"/>
    <n v="177"/>
    <n v="479"/>
    <n v="549"/>
    <n v="1203"/>
    <m/>
    <m/>
  </r>
  <r>
    <n v="4388"/>
    <s v="RIVER TUNGABHADRA, UPSTREAM OF KURNOOL TOWN_x000a_BEFORE JOINING CITY DOMESTIC SEWAGE AND AFTER_x000a_M/S RAYALASEEMA ALKALIES INDUSTRIES NEAR_x000a_SIVALAYAM TEMPLE, GONDIPARLA (V), KURNOOL (M)"/>
    <x v="25"/>
    <n v="18"/>
    <n v="27"/>
    <n v="5"/>
    <n v="5.9"/>
    <n v="6.8"/>
    <n v="7.9"/>
    <n v="1329"/>
    <n v="2263"/>
    <n v="1.3"/>
    <n v="2.8"/>
    <n v="0.52"/>
    <n v="1.46"/>
    <n v="162"/>
    <n v="549"/>
    <n v="613"/>
    <n v="1553"/>
    <m/>
    <m/>
  </r>
  <r>
    <n v="4389"/>
    <s v="RIVER TUNGABHADRA, DOWNSTREAM OF KURNOOL_x000a_TOWN AFTER JOINING CITY DOMESTIC SEWAGE,_x000a_PADIDEMPADU (V),"/>
    <x v="25"/>
    <n v="21"/>
    <n v="28"/>
    <n v="5.0999999999999996"/>
    <n v="5.7"/>
    <n v="7"/>
    <n v="7.8"/>
    <n v="720"/>
    <n v="1720"/>
    <n v="1"/>
    <n v="2.8"/>
    <n v="1.0900000000000001"/>
    <n v="1.84"/>
    <n v="177"/>
    <n v="689"/>
    <n v="649"/>
    <n v="1986"/>
    <m/>
    <m/>
  </r>
  <r>
    <n v="4379"/>
    <s v="RIVER UPPUTERU BEFORE CONFLUENCE WITH SEA, AT_x000a_CHINNA GOLLAPALEM (V), KRUTHIVENNU (M)"/>
    <x v="25"/>
    <n v="24"/>
    <n v="26"/>
    <n v="5.8"/>
    <n v="6.7"/>
    <n v="7.6"/>
    <n v="8"/>
    <n v="34400"/>
    <n v="54200"/>
    <n v="2.2999999999999998"/>
    <n v="2.9"/>
    <n v="0.66"/>
    <n v="1.24"/>
    <n v="3"/>
    <n v="14"/>
    <n v="36"/>
    <n v="210"/>
    <n v="2"/>
    <n v="3"/>
  </r>
  <r>
    <n v="2711"/>
    <s v="RIVER URMODI AT NAGTHNE KT WARE, VILLAGE-NAGTHANE,TALUKA- SATARA, DISTRICT- SATARA."/>
    <x v="21"/>
    <n v="25"/>
    <n v="33.5"/>
    <n v="4.9000000000000004"/>
    <n v="6.4"/>
    <n v="7.3"/>
    <n v="8.3000000000000007"/>
    <n v="174"/>
    <n v="887"/>
    <n v="3"/>
    <n v="5.2"/>
    <n v="0.3"/>
    <n v="1.83"/>
    <n v="8"/>
    <n v="40"/>
    <n v="95"/>
    <n v="425"/>
    <n v="4"/>
    <n v="14"/>
  </r>
  <r>
    <n v="2715"/>
    <s v="RIVER VEL AT SHIKRAPUR, VILLAGE. SHIKRAPUR,_x000a_TALUKA. SHIRUR, DISTRICT. PUNE."/>
    <x v="21"/>
    <n v="26"/>
    <n v="29"/>
    <n v="5"/>
    <n v="6.1"/>
    <n v="7.9"/>
    <n v="8"/>
    <n v="177"/>
    <n v="582"/>
    <n v="4"/>
    <n v="8.4"/>
    <n v="0.3"/>
    <n v="0.3"/>
    <n v="14"/>
    <n v="110"/>
    <n v="350"/>
    <n v="425"/>
    <n v="6"/>
    <n v="17"/>
  </r>
  <r>
    <n v="1255"/>
    <s v="RIVER PENNAR B/C WITH CHITRAVATHI, TADIPATRI (M),_x000a_VENGANUR (V)"/>
    <x v="25"/>
    <n v="23"/>
    <n v="34"/>
    <n v="5.3"/>
    <n v="5.9"/>
    <n v="7.3"/>
    <n v="8"/>
    <n v="683"/>
    <n v="1263"/>
    <n v="1.2"/>
    <n v="2.8"/>
    <n v="0.61"/>
    <n v="1.61"/>
    <n v="203"/>
    <n v="613"/>
    <n v="816"/>
    <n v="1553"/>
    <m/>
    <m/>
  </r>
  <r>
    <n v="1256"/>
    <s v="RIVER PENNAR A/C WITH PAPAGNI, PUSHPAGIRI_x000a_(V),VALLUR (M)"/>
    <x v="25"/>
    <n v="22"/>
    <n v="28"/>
    <n v="5.5"/>
    <n v="6.2"/>
    <n v="7.3"/>
    <n v="8.1"/>
    <n v="806"/>
    <n v="1298"/>
    <n v="1"/>
    <n v="2.5"/>
    <n v="0.69"/>
    <n v="1.43"/>
    <n v="185"/>
    <n v="395"/>
    <n v="575"/>
    <n v="1300"/>
    <m/>
    <m/>
  </r>
  <r>
    <n v="1257"/>
    <s v="RIVER PENNAR A/C WITH CHEYYURU, SOMASILA (V),_x000a_ANANTHASAGARAM (M)"/>
    <x v="25"/>
    <n v="17"/>
    <n v="20"/>
    <n v="6.8"/>
    <n v="8.3000000000000007"/>
    <n v="7.5"/>
    <n v="8.1999999999999993"/>
    <n v="728"/>
    <n v="1080"/>
    <n v="2.6"/>
    <n v="2.8"/>
    <n v="0.54"/>
    <n v="1.46"/>
    <n v="3"/>
    <n v="14"/>
    <n v="64"/>
    <n v="470"/>
    <n v="2"/>
    <n v="3"/>
  </r>
  <r>
    <n v="30"/>
    <s v="RIVER PENNAR AT SIDDAVATAM (V &amp; M)"/>
    <x v="25"/>
    <n v="20"/>
    <n v="28"/>
    <n v="5"/>
    <n v="6.4"/>
    <n v="6.6"/>
    <n v="7.7"/>
    <n v="835"/>
    <n v="1451"/>
    <n v="1"/>
    <n v="2.7"/>
    <n v="0.38"/>
    <n v="1.7"/>
    <n v="151"/>
    <n v="381"/>
    <n v="575"/>
    <n v="1049"/>
    <m/>
    <m/>
  </r>
  <r>
    <n v="2351"/>
    <s v="RIVER KUNDU, NANDYAL, NEAR OVER BDG.,NANDYAL_x000a_TOWN"/>
    <x v="25"/>
    <n v="15"/>
    <n v="29"/>
    <n v="3.4"/>
    <n v="5.9"/>
    <n v="6.9"/>
    <n v="7.7"/>
    <n v="876"/>
    <n v="1310"/>
    <n v="2.2000000000000002"/>
    <n v="3.6"/>
    <n v="0.75"/>
    <n v="2.38"/>
    <n v="235"/>
    <n v="649"/>
    <n v="770"/>
    <n v="1986"/>
    <m/>
    <m/>
  </r>
  <r>
    <n v="1689"/>
    <s v="CHUNNAMBAR RIVER, KILINJIKUPPAM ROAD,_x000a_NONANKUPPAM, PUDUCHERRY."/>
    <x v="28"/>
    <n v="29"/>
    <n v="35"/>
    <n v="6.3"/>
    <n v="13.7"/>
    <n v="8.1"/>
    <n v="9.4"/>
    <n v="856"/>
    <n v="1605"/>
    <n v="2"/>
    <n v="9"/>
    <n v="0"/>
    <n v="0.32"/>
    <n v="2"/>
    <n v="1600"/>
    <n v="170"/>
    <n v="1600"/>
    <n v="2"/>
    <n v="280"/>
  </r>
  <r>
    <n v="1198"/>
    <s v="RIVER CAUVERY AT NAPOKULU BDG (D/S)"/>
    <x v="26"/>
    <n v="17"/>
    <n v="26"/>
    <n v="6.3"/>
    <n v="7.7"/>
    <n v="7"/>
    <n v="8.6999999999999993"/>
    <n v="48"/>
    <n v="170"/>
    <n v="1"/>
    <n v="2.5"/>
    <n v="0.3"/>
    <n v="1"/>
    <n v="17"/>
    <n v="43"/>
    <n v="210"/>
    <n v="350"/>
    <m/>
    <m/>
  </r>
  <r>
    <n v="1195"/>
    <s v="RIVER CAUVERY AT KUSHAL NAGAR U/S (NEAR_x000a_BAICHANAHALLI)"/>
    <x v="26"/>
    <n v="18"/>
    <n v="27"/>
    <n v="6.2"/>
    <n v="7.7"/>
    <n v="7.2"/>
    <n v="8.6"/>
    <n v="63"/>
    <n v="326"/>
    <n v="1"/>
    <n v="3"/>
    <n v="0.3"/>
    <n v="1.9"/>
    <n v="32"/>
    <n v="78"/>
    <n v="240"/>
    <n v="630"/>
    <m/>
    <m/>
  </r>
  <r>
    <n v="33"/>
    <s v="RIVER CAUVERY AT KRS DAM, BALAMURIKSHETRA"/>
    <x v="26"/>
    <n v="19"/>
    <n v="28"/>
    <n v="6.1"/>
    <n v="7"/>
    <n v="7"/>
    <n v="8.6"/>
    <n v="143"/>
    <n v="489"/>
    <n v="1"/>
    <n v="4"/>
    <n v="0.78"/>
    <n v="3.4"/>
    <n v="83"/>
    <n v="170"/>
    <n v="940"/>
    <n v="1300"/>
    <m/>
    <m/>
  </r>
  <r>
    <n v="1171"/>
    <s v="RIVER CAUVERY AT SRI RANGAPATTANNA, D/S OF_x000a_ROAD BDG."/>
    <x v="26"/>
    <n v="20"/>
    <n v="29"/>
    <n v="5.7"/>
    <n v="6.7"/>
    <n v="7.8"/>
    <n v="8.5"/>
    <n v="221"/>
    <n v="518"/>
    <n v="2"/>
    <n v="4.5"/>
    <n v="0.75"/>
    <n v="4.0999999999999996"/>
    <n v="110"/>
    <n v="270"/>
    <n v="1300"/>
    <n v="2400"/>
    <m/>
    <m/>
  </r>
  <r>
    <n v="1386"/>
    <s v="RIVER CAUVERY AT D/S OF KAREKUARA VILLAGE"/>
    <x v="26"/>
    <n v="19"/>
    <n v="29"/>
    <n v="5.5"/>
    <n v="6.9"/>
    <n v="7.7"/>
    <n v="8.6999999999999993"/>
    <n v="158"/>
    <n v="438"/>
    <n v="2"/>
    <n v="4"/>
    <n v="1.4"/>
    <n v="2.8"/>
    <n v="110"/>
    <n v="210"/>
    <n v="1200"/>
    <n v="1700"/>
    <m/>
    <m/>
  </r>
  <r>
    <n v="34"/>
    <s v="RIVER CAUVERY AT SATHYAGALAM BRIDGE"/>
    <x v="26"/>
    <n v="21"/>
    <n v="33"/>
    <n v="5.4"/>
    <n v="7"/>
    <n v="7.9"/>
    <n v="8.6"/>
    <n v="215"/>
    <n v="485"/>
    <n v="1"/>
    <n v="3.5"/>
    <n v="1.1599999999999999"/>
    <n v="2.4"/>
    <n v="110"/>
    <n v="210"/>
    <n v="1100"/>
    <n v="1700"/>
    <m/>
    <m/>
  </r>
  <r>
    <n v="2773"/>
    <s v="RIVER CAUVERY AT BANNUR BRIDGE"/>
    <x v="26"/>
    <n v="23"/>
    <n v="28"/>
    <n v="5.7"/>
    <n v="7.1"/>
    <n v="8"/>
    <n v="8.5"/>
    <n v="195"/>
    <n v="495"/>
    <n v="1"/>
    <n v="3.5"/>
    <n v="0.97"/>
    <n v="2.8"/>
    <n v="110"/>
    <n v="170"/>
    <n v="1100"/>
    <n v="1700"/>
    <m/>
    <m/>
  </r>
  <r>
    <n v="2774"/>
    <s v="RIVER CAUVERY AT RANGANATHITTU"/>
    <x v="26"/>
    <n v="19"/>
    <n v="28"/>
    <n v="6.2"/>
    <n v="6.9"/>
    <n v="7.6"/>
    <n v="8.5"/>
    <n v="160"/>
    <n v="457"/>
    <n v="1.8"/>
    <n v="3"/>
    <n v="0.48"/>
    <n v="3.3"/>
    <n v="110"/>
    <n v="210"/>
    <n v="1100"/>
    <n v="1500"/>
    <m/>
    <m/>
  </r>
  <r>
    <n v="3566"/>
    <s v="RIVER CAUVERY AT KRS DAM MANDYA"/>
    <x v="26"/>
    <n v="19"/>
    <n v="29"/>
    <n v="6.1"/>
    <n v="7.1"/>
    <n v="7.5"/>
    <n v="8.6999999999999993"/>
    <n v="140"/>
    <n v="564"/>
    <n v="1"/>
    <n v="3"/>
    <n v="0.96"/>
    <n v="2.9"/>
    <n v="83"/>
    <n v="170"/>
    <n v="700"/>
    <n v="2100"/>
    <m/>
    <m/>
  </r>
  <r>
    <n v="3568"/>
    <s v="RIVER CAUVERY AT WATER SUPPLY INTAKE POINT TO_x000a_SRIRANGAPATNA TOWN"/>
    <x v="26"/>
    <n v="20"/>
    <n v="29"/>
    <n v="5.7"/>
    <n v="6.4"/>
    <n v="7.5"/>
    <n v="8.6"/>
    <n v="203"/>
    <n v="586"/>
    <n v="2.5"/>
    <n v="4"/>
    <n v="0.72"/>
    <n v="3.9"/>
    <n v="110"/>
    <n v="260"/>
    <n v="1200"/>
    <n v="2300"/>
    <m/>
    <m/>
  </r>
  <r>
    <n v="3569"/>
    <s v="RIVER CAUVERY AT WATER SUPPLY INTAKE POINT TO_x000a_MANDYA TOWN"/>
    <x v="26"/>
    <n v="20"/>
    <n v="29"/>
    <n v="5.8"/>
    <n v="6.7"/>
    <n v="7.3"/>
    <n v="8.6"/>
    <n v="216"/>
    <n v="704"/>
    <n v="2"/>
    <n v="4.5"/>
    <n v="0.71"/>
    <n v="4.0999999999999996"/>
    <n v="93"/>
    <n v="320"/>
    <n v="1100"/>
    <n v="2100"/>
    <m/>
    <m/>
  </r>
  <r>
    <n v="3570"/>
    <s v="RIVER CAUVERY D/S OF KR NAGAR BRIDGE"/>
    <x v="26"/>
    <n v="21"/>
    <n v="30"/>
    <n v="5.9"/>
    <n v="7"/>
    <n v="7.3"/>
    <n v="8.6"/>
    <n v="140"/>
    <n v="535"/>
    <n v="1"/>
    <n v="3.5"/>
    <n v="0.56000000000000005"/>
    <n v="4.3"/>
    <n v="68"/>
    <n v="220"/>
    <n v="840"/>
    <n v="1300"/>
    <m/>
    <m/>
  </r>
  <r>
    <n v="3571"/>
    <s v="RIVER CAUVERY U/S OF KR NAGAR"/>
    <x v="26"/>
    <n v="21"/>
    <n v="30"/>
    <n v="6.3"/>
    <n v="7.2"/>
    <n v="7.4"/>
    <n v="8.6"/>
    <n v="120"/>
    <n v="493"/>
    <n v="1"/>
    <n v="3"/>
    <n v="0.48"/>
    <n v="2.9"/>
    <n v="68"/>
    <n v="93"/>
    <n v="700"/>
    <n v="1100"/>
    <m/>
    <m/>
  </r>
  <r>
    <n v="3573"/>
    <s v="RIVER CAUVERY D/S OF KUSHALANAGAR TOWN"/>
    <x v="26"/>
    <n v="17"/>
    <n v="27"/>
    <n v="6.2"/>
    <n v="7.7"/>
    <n v="7.3"/>
    <n v="8.6"/>
    <n v="66"/>
    <n v="326"/>
    <n v="1"/>
    <n v="3"/>
    <n v="0.32"/>
    <n v="1.8"/>
    <n v="32"/>
    <n v="68"/>
    <n v="240"/>
    <n v="700"/>
    <m/>
    <m/>
  </r>
  <r>
    <n v="3576"/>
    <s v="RIVER CAUVERY AT WATER SUPPLY INTAKE POINT TO_x000a_MYSORE"/>
    <x v="26"/>
    <n v="18"/>
    <n v="28"/>
    <n v="6.2"/>
    <n v="7.4"/>
    <n v="7.6"/>
    <n v="8.6"/>
    <n v="152"/>
    <n v="462"/>
    <n v="1"/>
    <n v="3"/>
    <n v="1.1000000000000001"/>
    <n v="2.9"/>
    <n v="68"/>
    <n v="120"/>
    <n v="230"/>
    <n v="1100"/>
    <m/>
    <m/>
  </r>
  <r>
    <n v="3578"/>
    <s v="RIVER CAUVERY D/S OF MADDUR WATER SUPPLY_x000a_TREATMENT PLANT AT BACHALLI"/>
    <x v="26"/>
    <n v="19"/>
    <n v="27"/>
    <n v="6.5"/>
    <n v="7.3"/>
    <n v="8"/>
    <n v="8.6999999999999993"/>
    <n v="218"/>
    <n v="481"/>
    <n v="1"/>
    <n v="3"/>
    <n v="0.75"/>
    <n v="2.4"/>
    <n v="68"/>
    <n v="110"/>
    <n v="700"/>
    <n v="1500"/>
    <m/>
    <m/>
  </r>
  <r>
    <n v="3579"/>
    <s v="RIVER CAUVERY AT WATER SUPPLY INTAKE POINT AT_x000a_KOLLEGALA DASANAPURA"/>
    <x v="26"/>
    <n v="23"/>
    <n v="33"/>
    <n v="5.2"/>
    <n v="6.8"/>
    <n v="7.9"/>
    <n v="8.6999999999999993"/>
    <n v="205"/>
    <n v="492"/>
    <n v="2"/>
    <n v="4"/>
    <n v="1"/>
    <n v="3.4"/>
    <n v="78"/>
    <n v="260"/>
    <n v="940"/>
    <n v="1700"/>
    <m/>
    <m/>
  </r>
  <r>
    <n v="3581"/>
    <s v="RIVER CAUVERY AT WATER SUPPLY INTAKE POINT AT_x000a_TORE KADANA HALLI"/>
    <x v="26"/>
    <n v="19"/>
    <n v="28"/>
    <n v="6.3"/>
    <n v="7.3"/>
    <n v="7.9"/>
    <n v="8.6999999999999993"/>
    <n v="218"/>
    <n v="480"/>
    <n v="1"/>
    <n v="3"/>
    <n v="0.84"/>
    <n v="2.7"/>
    <n v="61"/>
    <n v="110"/>
    <n v="630"/>
    <n v="1200"/>
    <m/>
    <m/>
  </r>
  <r>
    <n v="4109"/>
    <s v="RIVER CAUVERY BEFORE CONFLUENCE AT SANGAM"/>
    <x v="26"/>
    <n v="25"/>
    <n v="36"/>
    <n v="3.6"/>
    <n v="6.9"/>
    <n v="7.2"/>
    <n v="8.1"/>
    <n v="269"/>
    <n v="1144"/>
    <n v="4"/>
    <n v="12"/>
    <n v="1"/>
    <n v="5"/>
    <n v="22"/>
    <n v="9400"/>
    <n v="79"/>
    <n v="92000"/>
    <m/>
    <m/>
  </r>
  <r>
    <n v="4099"/>
    <s v="RIVER CAUVERY D/S BHARACHUKI FALLS, SATHEGALA,_x000a_KOLLEGALA"/>
    <x v="26"/>
    <n v="22"/>
    <n v="31"/>
    <n v="6.2"/>
    <n v="7"/>
    <n v="7"/>
    <n v="8.6999999999999993"/>
    <n v="217"/>
    <n v="484"/>
    <n v="1"/>
    <n v="3"/>
    <n v="0.96"/>
    <n v="3.2"/>
    <n v="78"/>
    <n v="170"/>
    <n v="840"/>
    <n v="1400"/>
    <m/>
    <m/>
  </r>
  <r>
    <n v="4102"/>
    <s v="RIVER CAUVERY D/S AT BHAGAMANDALA BRIDGE"/>
    <x v="26"/>
    <n v="16"/>
    <n v="27"/>
    <n v="6.5"/>
    <n v="7.8"/>
    <n v="6.8"/>
    <n v="8.9"/>
    <n v="48"/>
    <n v="127"/>
    <n v="1"/>
    <n v="2.5"/>
    <n v="0.3"/>
    <n v="1"/>
    <n v="17"/>
    <n v="41"/>
    <n v="210"/>
    <n v="350"/>
    <m/>
    <m/>
  </r>
  <r>
    <n v="4103"/>
    <s v="RIVER CAUVERY D/S AT KANIVE RAMALINGESWARA_x000a_TEMPLE BRIDGE, KUSHALANAGAR"/>
    <x v="26"/>
    <n v="17"/>
    <n v="27"/>
    <n v="6.6"/>
    <n v="7.6"/>
    <n v="7.2"/>
    <n v="8.8000000000000007"/>
    <n v="58"/>
    <n v="333"/>
    <n v="1"/>
    <n v="3"/>
    <n v="0.3"/>
    <n v="2.2000000000000002"/>
    <n v="21"/>
    <n v="92"/>
    <n v="220"/>
    <n v="1200"/>
    <m/>
    <m/>
  </r>
  <r>
    <n v="30052"/>
    <s v="RIVER CAUVERY AT AJJIBORE (BANGALORE)"/>
    <x v="26"/>
    <n v="25"/>
    <n v="26"/>
    <n v="7"/>
    <n v="7.7"/>
    <n v="8"/>
    <n v="8.8000000000000007"/>
    <n v="329"/>
    <n v="586"/>
    <n v="1"/>
    <n v="1"/>
    <n v="0"/>
    <n v="1.72"/>
    <n v="11"/>
    <n v="79"/>
    <n v="350"/>
    <n v="350"/>
    <m/>
    <m/>
  </r>
  <r>
    <n v="50"/>
    <s v="RIVER CAUVERY AT METTUR"/>
    <x v="29"/>
    <n v="23"/>
    <n v="31"/>
    <n v="5.2"/>
    <n v="6.5"/>
    <n v="7"/>
    <n v="8.9"/>
    <n v="340"/>
    <n v="1596"/>
    <n v="1"/>
    <n v="2.7"/>
    <n v="0.32"/>
    <n v="0.55000000000000004"/>
    <n v="5"/>
    <n v="17"/>
    <n v="13"/>
    <n v="39"/>
    <m/>
    <m/>
  </r>
  <r>
    <n v="51"/>
    <s v="RIVER CAUVERY AT PALLIPPALAYAM"/>
    <x v="29"/>
    <n v="24"/>
    <n v="30"/>
    <n v="5.9"/>
    <n v="6.7"/>
    <n v="7.2"/>
    <n v="8.3000000000000007"/>
    <n v="304"/>
    <n v="1204"/>
    <n v="1"/>
    <n v="2.7"/>
    <n v="0.32"/>
    <n v="1.22"/>
    <n v="7"/>
    <n v="33"/>
    <n v="14"/>
    <n v="140"/>
    <m/>
    <m/>
  </r>
  <r>
    <n v="1320"/>
    <s v="RIVER CAUVERY AT ERODE NEAR VIRAPALAYAM,"/>
    <x v="29"/>
    <n v="28"/>
    <n v="37"/>
    <n v="5.2"/>
    <n v="6.5"/>
    <n v="7.1"/>
    <n v="8.3000000000000007"/>
    <n v="335"/>
    <n v="1177"/>
    <n v="1"/>
    <n v="3.1"/>
    <n v="0.32"/>
    <n v="3.42"/>
    <n v="14"/>
    <n v="26"/>
    <n v="26"/>
    <n v="70"/>
    <m/>
    <m/>
  </r>
  <r>
    <n v="3015"/>
    <s v="RIVER CAUVERY AT PUGALUR, KARUR, TAMILNADU"/>
    <x v="29"/>
    <n v="26"/>
    <n v="35"/>
    <n v="5.6"/>
    <n v="7.3"/>
    <n v="7.6"/>
    <n v="8.3000000000000007"/>
    <n v="531"/>
    <n v="1085"/>
    <n v="1"/>
    <n v="2.8"/>
    <n v="0.32"/>
    <n v="0.75"/>
    <n v="2"/>
    <n v="21"/>
    <n v="8"/>
    <n v="47"/>
    <m/>
    <m/>
  </r>
  <r>
    <n v="1324"/>
    <s v="RIVER CAUVERY AT MOHANUR NEAR PATTAIPALAYAM,_x000a_TAMILNADU"/>
    <x v="29"/>
    <n v="3"/>
    <n v="33"/>
    <n v="5.5"/>
    <n v="6.7"/>
    <n v="7.6"/>
    <n v="8.6"/>
    <n v="500"/>
    <n v="1336"/>
    <n v="1"/>
    <n v="2.7"/>
    <n v="0.32"/>
    <n v="0.92"/>
    <n v="9"/>
    <n v="24"/>
    <n v="17"/>
    <n v="39"/>
    <m/>
    <m/>
  </r>
  <r>
    <n v="1451"/>
    <s v="RIVER CAUVERY AT THIRUMUKKUDAL-CONFL. PT.OF R._x000a_AMRAVATI, TAMILNADU"/>
    <x v="29"/>
    <n v="26"/>
    <n v="34"/>
    <n v="5.6"/>
    <n v="6.8"/>
    <n v="7.5"/>
    <n v="8.4"/>
    <n v="373"/>
    <n v="1260"/>
    <n v="1"/>
    <n v="2.5"/>
    <n v="0.32"/>
    <n v="1.21"/>
    <n v="2"/>
    <n v="27"/>
    <n v="5"/>
    <n v="130"/>
    <m/>
    <m/>
  </r>
  <r>
    <n v="31"/>
    <s v="RIVER CAUVERY AT MUSIRI"/>
    <x v="29"/>
    <n v="25"/>
    <n v="31"/>
    <n v="6.4"/>
    <n v="8.8000000000000007"/>
    <n v="7.1"/>
    <n v="8.4"/>
    <n v="426"/>
    <n v="978"/>
    <n v="1"/>
    <n v="3"/>
    <n v="0.32"/>
    <n v="2.12"/>
    <n v="6"/>
    <n v="78"/>
    <n v="14"/>
    <n v="400"/>
    <m/>
    <m/>
  </r>
  <r>
    <n v="3016"/>
    <s v="RIVER CAUVERY AT PETTAIVAITHALAI, TRICHY,"/>
    <x v="29"/>
    <n v="25"/>
    <n v="32"/>
    <n v="4.5"/>
    <n v="7.9"/>
    <n v="7.2"/>
    <n v="8.5"/>
    <n v="392"/>
    <n v="932"/>
    <n v="1"/>
    <n v="4"/>
    <n v="0.32"/>
    <n v="2.08"/>
    <n v="7"/>
    <n v="170"/>
    <n v="17"/>
    <n v="940"/>
    <m/>
    <m/>
  </r>
  <r>
    <n v="1202"/>
    <s v="RIVER CAUVERY AT TIRUCHIRAPPALLI U/S, TAMILNADU"/>
    <x v="29"/>
    <n v="25"/>
    <n v="32"/>
    <n v="4.2"/>
    <n v="7.9"/>
    <n v="7.1"/>
    <n v="8.3000000000000007"/>
    <n v="384"/>
    <n v="904"/>
    <n v="1"/>
    <n v="3"/>
    <n v="0.32"/>
    <n v="2.2200000000000002"/>
    <n v="7"/>
    <n v="45"/>
    <n v="24"/>
    <n v="140"/>
    <m/>
    <m/>
  </r>
  <r>
    <n v="1325"/>
    <s v="RIVER CAUVERY AT TIRUCHIRAPPALLI D/S, TAMILNADU"/>
    <x v="29"/>
    <n v="24"/>
    <n v="31"/>
    <n v="5.7"/>
    <n v="8"/>
    <n v="7.3"/>
    <n v="8.5"/>
    <n v="472"/>
    <n v="1016"/>
    <n v="1"/>
    <n v="3"/>
    <n v="0.32"/>
    <n v="18.12"/>
    <n v="7"/>
    <n v="93"/>
    <n v="21"/>
    <n v="330"/>
    <m/>
    <m/>
  </r>
  <r>
    <n v="1203"/>
    <s v="RIVER CAUVERY AT TRICHY, GRAND ANAICUT,"/>
    <x v="29"/>
    <n v="23"/>
    <n v="28"/>
    <n v="4.5"/>
    <n v="7.9"/>
    <n v="7.3"/>
    <n v="8.1"/>
    <n v="472"/>
    <n v="946"/>
    <n v="1"/>
    <n v="2.9"/>
    <n v="0.32"/>
    <n v="6.48"/>
    <n v="2"/>
    <n v="68"/>
    <n v="8"/>
    <n v="680"/>
    <m/>
    <m/>
  </r>
  <r>
    <n v="1206"/>
    <s v="RIVER CAUVERY AT KARUTHATTANUDI THANJAVUR,"/>
    <x v="29"/>
    <n v="24"/>
    <n v="32"/>
    <n v="5.6"/>
    <n v="7.9"/>
    <n v="7.3"/>
    <n v="8.4"/>
    <n v="395"/>
    <n v="890"/>
    <n v="1"/>
    <n v="2.8"/>
    <n v="0.32"/>
    <n v="2.36"/>
    <n v="2"/>
    <n v="20"/>
    <n v="4"/>
    <n v="450"/>
    <m/>
    <m/>
  </r>
  <r>
    <n v="3018"/>
    <s v="RIVER CAUVERY AT MAYILADUTHURAI, NAGAPATTINAM,"/>
    <x v="29"/>
    <n v="23"/>
    <n v="23"/>
    <n v="5.9"/>
    <n v="6.2"/>
    <n v="7.8"/>
    <n v="8"/>
    <n v="583"/>
    <n v="627"/>
    <n v="1"/>
    <n v="1"/>
    <n v="0.32"/>
    <n v="0.5"/>
    <n v="14"/>
    <n v="14"/>
    <n v="26"/>
    <n v="31"/>
    <m/>
    <m/>
  </r>
  <r>
    <n v="3012"/>
    <s v="RIVER CAUVERY AT KOMARAPALAYAM, NAMAKAL,"/>
    <x v="29"/>
    <n v="25"/>
    <n v="30"/>
    <n v="5.8"/>
    <n v="6.5"/>
    <n v="7.4"/>
    <n v="8.3000000000000007"/>
    <n v="368"/>
    <n v="839"/>
    <n v="1"/>
    <n v="2.4"/>
    <n v="0.32"/>
    <n v="1.49"/>
    <n v="11"/>
    <n v="27"/>
    <n v="17"/>
    <n v="110"/>
    <m/>
    <m/>
  </r>
  <r>
    <n v="3013"/>
    <s v="RIVER CAUVERY AT URRACHIKOTTAI, ERODE,"/>
    <x v="29"/>
    <n v="29"/>
    <n v="37"/>
    <n v="4.9000000000000004"/>
    <n v="6.7"/>
    <n v="7.7"/>
    <n v="8.6999999999999993"/>
    <n v="322"/>
    <n v="707"/>
    <n v="1"/>
    <n v="3"/>
    <n v="0.32"/>
    <n v="0.64"/>
    <n v="8"/>
    <n v="27"/>
    <n v="17"/>
    <n v="47"/>
    <m/>
    <m/>
  </r>
  <r>
    <n v="3014"/>
    <s v="RIVER CAUVERY AT SEERAPALAYAM, NAMAKAL,"/>
    <x v="29"/>
    <n v="25"/>
    <n v="30"/>
    <n v="5.9"/>
    <n v="6.5"/>
    <n v="7.5"/>
    <n v="8.4"/>
    <n v="350"/>
    <n v="903"/>
    <n v="1"/>
    <n v="2.1"/>
    <n v="0.32"/>
    <n v="0.92"/>
    <n v="7"/>
    <n v="24"/>
    <n v="14"/>
    <n v="46"/>
    <m/>
    <m/>
  </r>
  <r>
    <n v="4827"/>
    <s v="RIVER CAUVERY LOCATIONS AT KUMARAPALAYAM"/>
    <x v="29"/>
    <n v="24"/>
    <n v="31"/>
    <n v="6.1"/>
    <n v="6.5"/>
    <n v="7.4"/>
    <n v="8.3000000000000007"/>
    <n v="325"/>
    <n v="1306"/>
    <n v="1"/>
    <n v="2.4"/>
    <n v="0.32"/>
    <n v="1.46"/>
    <n v="11"/>
    <n v="40"/>
    <n v="22"/>
    <n v="220"/>
    <m/>
    <m/>
  </r>
  <r>
    <n v="3017"/>
    <s v="RIVER CAUVERY AT KUMBAKONAM, THANJAVUR,"/>
    <x v="29"/>
    <n v="27"/>
    <n v="31"/>
    <n v="5.6"/>
    <n v="6.7"/>
    <n v="7.4"/>
    <n v="7.9"/>
    <n v="340"/>
    <n v="533"/>
    <n v="2.2999999999999998"/>
    <n v="2.8"/>
    <n v="0.32"/>
    <n v="1.04"/>
    <n v="2"/>
    <n v="11"/>
    <n v="2"/>
    <n v="200"/>
    <m/>
    <m/>
  </r>
  <r>
    <n v="1326"/>
    <s v="RIVER CAUVERY AT COLEROON, TAMILNADU"/>
    <x v="29"/>
    <n v="24"/>
    <n v="34"/>
    <n v="5.2"/>
    <n v="6.5"/>
    <n v="7.7"/>
    <n v="8.6"/>
    <n v="819"/>
    <n v="37450"/>
    <n v="2.1"/>
    <n v="16"/>
    <n v="0"/>
    <n v="1.79"/>
    <n v="9"/>
    <n v="26"/>
    <n v="17"/>
    <n v="140"/>
    <m/>
    <m/>
  </r>
  <r>
    <n v="1327"/>
    <s v="RIVER CAUVERY AT PITCHAVARAM, TAMILNADU"/>
    <x v="29"/>
    <n v="22"/>
    <n v="34"/>
    <n v="5.2"/>
    <n v="6.5"/>
    <n v="7.7"/>
    <n v="8.4"/>
    <n v="777"/>
    <n v="44100"/>
    <n v="2.1"/>
    <n v="8"/>
    <n v="0"/>
    <n v="7.32"/>
    <n v="9"/>
    <n v="21"/>
    <n v="17"/>
    <n v="47"/>
    <m/>
    <m/>
  </r>
  <r>
    <n v="1322"/>
    <s v="RIVER CAUVERY AT 1KM. D/S OF BHAVANI CONFL.,R.N._x000a_PUNDUR, TAMILNADU"/>
    <x v="29"/>
    <n v="26"/>
    <n v="37"/>
    <n v="5.2"/>
    <n v="6.5"/>
    <n v="7.3"/>
    <n v="8.6999999999999993"/>
    <n v="331"/>
    <n v="959"/>
    <n v="1"/>
    <n v="3"/>
    <n v="0.32"/>
    <n v="2.92"/>
    <n v="11"/>
    <n v="26"/>
    <n v="17"/>
    <n v="70"/>
    <m/>
    <m/>
  </r>
  <r>
    <n v="10064"/>
    <s v="RIVER CAUVERY AT BHAWANI D/S"/>
    <x v="29"/>
    <n v="28"/>
    <n v="37"/>
    <n v="5.6"/>
    <n v="6.7"/>
    <n v="7.6"/>
    <n v="8.5"/>
    <n v="352"/>
    <n v="681"/>
    <n v="1"/>
    <n v="2.7"/>
    <n v="0"/>
    <n v="0.46"/>
    <n v="2"/>
    <n v="24"/>
    <n v="14"/>
    <n v="70"/>
    <m/>
    <m/>
  </r>
  <r>
    <n v="10065"/>
    <s v="RIVER CAUVERY AT ERODE U/S"/>
    <x v="29"/>
    <n v="28.9"/>
    <n v="37"/>
    <n v="5.7"/>
    <n v="6.7"/>
    <n v="7.7"/>
    <n v="8.6"/>
    <n v="366"/>
    <n v="578"/>
    <n v="1"/>
    <n v="2.8"/>
    <n v="0"/>
    <n v="1.82"/>
    <n v="11"/>
    <n v="26"/>
    <n v="21"/>
    <n v="48"/>
    <m/>
    <m/>
  </r>
  <r>
    <n v="10067"/>
    <s v="RIVER CAUVERY AT KUMARAPALAYAM U/S"/>
    <x v="29"/>
    <n v="24"/>
    <n v="29"/>
    <n v="5.7"/>
    <n v="6.5"/>
    <n v="7.3"/>
    <n v="8.5"/>
    <n v="335"/>
    <n v="665"/>
    <n v="1"/>
    <n v="2.1"/>
    <n v="0.32"/>
    <n v="0.53"/>
    <n v="11"/>
    <n v="21"/>
    <n v="17"/>
    <n v="47"/>
    <m/>
    <m/>
  </r>
  <r>
    <n v="10070"/>
    <s v="RIVER CAUVERY AT PALLIPALAYAM D/S"/>
    <x v="29"/>
    <n v="23"/>
    <n v="29"/>
    <n v="5.7"/>
    <n v="6.8"/>
    <n v="7.3"/>
    <n v="8.4"/>
    <n v="317"/>
    <n v="912"/>
    <n v="1"/>
    <n v="2.7"/>
    <n v="0.32"/>
    <n v="1.71"/>
    <n v="9"/>
    <n v="47"/>
    <n v="21"/>
    <n v="280"/>
    <m/>
    <m/>
  </r>
  <r>
    <n v="10073"/>
    <s v="RIVER CAUVERY AT KARUR U/S"/>
    <x v="29"/>
    <n v="26"/>
    <n v="34"/>
    <n v="5.6"/>
    <n v="6.8"/>
    <n v="7.5"/>
    <n v="8.8000000000000007"/>
    <n v="462"/>
    <n v="1134"/>
    <n v="1"/>
    <n v="2.6"/>
    <n v="0.32"/>
    <n v="1.1299999999999999"/>
    <n v="6"/>
    <n v="24"/>
    <n v="14"/>
    <n v="48"/>
    <m/>
    <m/>
  </r>
  <r>
    <n v="10078"/>
    <s v="RIVER CAUVERY AT MAYILADUTHURAI D/S"/>
    <x v="29"/>
    <n v="20"/>
    <n v="20"/>
    <n v="5.6"/>
    <n v="6.2"/>
    <n v="8.1"/>
    <n v="8.1999999999999993"/>
    <n v="567"/>
    <n v="583"/>
    <n v="1"/>
    <n v="1"/>
    <n v="0.54"/>
    <n v="0.54"/>
    <n v="17"/>
    <n v="20"/>
    <n v="39"/>
    <n v="47"/>
    <m/>
    <m/>
  </r>
  <r>
    <n v="3580"/>
    <s v="RIVER CAUVERY AT WATER SUPPLY INTAKE POINT AT_x000a_SHIVANSAMUDRA"/>
    <x v="26"/>
    <n v="18"/>
    <n v="28"/>
    <n v="6.1"/>
    <n v="7.3"/>
    <n v="7.6"/>
    <n v="8.6"/>
    <n v="219"/>
    <n v="482"/>
    <n v="1"/>
    <n v="3"/>
    <n v="0.88"/>
    <n v="2.6"/>
    <n v="68"/>
    <n v="120"/>
    <n v="630"/>
    <n v="1300"/>
    <m/>
    <m/>
  </r>
  <r>
    <n v="5587"/>
    <s v="RIVER CAUVERY AT BALMAVATI BRIDGE TO THANDRA_x000a_HOLE TRIBUTARY"/>
    <x v="26"/>
    <n v="17"/>
    <n v="20"/>
    <n v="6.7"/>
    <n v="7.3"/>
    <n v="7.3"/>
    <n v="8"/>
    <n v="40"/>
    <n v="91"/>
    <n v="1"/>
    <n v="2"/>
    <n v="0.3"/>
    <n v="0.64"/>
    <n v="17"/>
    <n v="41"/>
    <n v="220"/>
    <n v="350"/>
    <m/>
    <m/>
  </r>
  <r>
    <n v="1205"/>
    <s v="RIVER BHAVANI AT BHAVANI, TAMILNADU"/>
    <x v="29"/>
    <n v="28.7"/>
    <n v="37"/>
    <n v="5.3"/>
    <n v="6.7"/>
    <n v="7.6"/>
    <n v="8.5"/>
    <n v="342"/>
    <n v="968"/>
    <n v="1"/>
    <n v="2.4"/>
    <n v="0.32"/>
    <n v="3.92"/>
    <n v="7"/>
    <n v="24"/>
    <n v="12"/>
    <n v="39"/>
    <m/>
    <m/>
  </r>
  <r>
    <n v="1201"/>
    <s v="RIVER BHAVANI AT BADTHARAKALIAMMAN KOIL,_x000a_TAMILNADU"/>
    <x v="29"/>
    <n v="19"/>
    <n v="30"/>
    <n v="5.6"/>
    <n v="6.6"/>
    <n v="6.9"/>
    <n v="8"/>
    <n v="93"/>
    <n v="409"/>
    <n v="1"/>
    <n v="2.7"/>
    <n v="0.32"/>
    <n v="0.74"/>
    <n v="7"/>
    <n v="140"/>
    <n v="14"/>
    <n v="320"/>
    <m/>
    <m/>
  </r>
  <r>
    <n v="1204"/>
    <s v="RIVER BHAVANI AT SIRUMUGAI, TAMILNADU"/>
    <x v="29"/>
    <n v="20"/>
    <n v="30"/>
    <n v="5.6"/>
    <n v="6.9"/>
    <n v="7"/>
    <n v="8.4"/>
    <n v="128"/>
    <n v="391"/>
    <n v="1"/>
    <n v="2.4"/>
    <n v="0.32"/>
    <n v="1.25"/>
    <n v="8"/>
    <n v="68"/>
    <n v="14"/>
    <n v="200"/>
    <m/>
    <m/>
  </r>
  <r>
    <n v="1321"/>
    <s v="RIVER BHAVANI AT BHAVANI SAGAR, TAMILNADU"/>
    <x v="29"/>
    <n v="26"/>
    <n v="34"/>
    <n v="5.2"/>
    <n v="6.5"/>
    <n v="7.2"/>
    <n v="8.6"/>
    <n v="184"/>
    <n v="579"/>
    <n v="1"/>
    <n v="2.9"/>
    <n v="0.32"/>
    <n v="1.47"/>
    <n v="11"/>
    <n v="17"/>
    <n v="20"/>
    <n v="40"/>
    <m/>
    <m/>
  </r>
  <r>
    <n v="3019"/>
    <s v="RIVER BHAVANI AT D/S OF BHAVANISAGAR,_x000a_SATHYAMANGALAM, ERODE, TAMILNADU"/>
    <x v="29"/>
    <n v="27"/>
    <n v="34"/>
    <n v="5.8"/>
    <n v="6.9"/>
    <n v="7.3"/>
    <n v="8.1"/>
    <n v="159"/>
    <n v="436"/>
    <n v="1"/>
    <n v="2.7"/>
    <n v="0.32"/>
    <n v="2.95"/>
    <n v="9"/>
    <n v="68"/>
    <n v="14"/>
    <n v="170"/>
    <m/>
    <m/>
  </r>
  <r>
    <n v="3020"/>
    <s v="RIVER BHAVANI AT U/S OF KALINGARAYAN CANAL (B5),_x000a_ERODE, TAMILNADU"/>
    <x v="29"/>
    <n v="29"/>
    <n v="37"/>
    <n v="5.2"/>
    <n v="6.7"/>
    <n v="7.7"/>
    <n v="8.6"/>
    <n v="336"/>
    <n v="955"/>
    <n v="1"/>
    <n v="3"/>
    <n v="0.32"/>
    <n v="2.63"/>
    <n v="8"/>
    <n v="21"/>
    <n v="20"/>
    <n v="48"/>
    <m/>
    <m/>
  </r>
  <r>
    <n v="3021"/>
    <s v="RIVER BHAVANI AT D/S OF KALINGARAYAN CANAL (B10),_x000a_ERODE, TAMILNADU"/>
    <x v="29"/>
    <n v="28"/>
    <n v="37"/>
    <n v="5.7"/>
    <n v="6.7"/>
    <n v="7.8"/>
    <n v="8.8000000000000007"/>
    <n v="341"/>
    <n v="947"/>
    <n v="1"/>
    <n v="2.7"/>
    <n v="0.32"/>
    <n v="0.89"/>
    <n v="11"/>
    <n v="22"/>
    <n v="21"/>
    <n v="49"/>
    <m/>
    <m/>
  </r>
  <r>
    <n v="1893"/>
    <s v="RIVER YAGACHI NEAR PUMPING STATION, HASSAN CITY"/>
    <x v="26"/>
    <n v="23"/>
    <n v="28"/>
    <n v="5"/>
    <n v="7.1"/>
    <n v="7.4"/>
    <n v="8.3000000000000007"/>
    <n v="220"/>
    <n v="590"/>
    <n v="2"/>
    <n v="3"/>
    <n v="0.2"/>
    <n v="0.87"/>
    <n v="110"/>
    <n v="470"/>
    <n v="920"/>
    <n v="3500"/>
    <n v="11"/>
    <n v="17"/>
  </r>
  <r>
    <n v="1199"/>
    <s v="RIVER HEMAVATHI AT D/S OF HOLENARASIPURA TOWN_x000a_AT RAMADEV WEIR"/>
    <x v="26"/>
    <n v="22"/>
    <n v="27"/>
    <n v="6.4"/>
    <n v="7.7"/>
    <n v="7.4"/>
    <n v="8.1999999999999993"/>
    <n v="120"/>
    <n v="280"/>
    <n v="2"/>
    <n v="2.2000000000000002"/>
    <n v="0.3"/>
    <n v="0.63"/>
    <n v="70"/>
    <n v="120"/>
    <n v="540"/>
    <n v="1100"/>
    <m/>
    <m/>
  </r>
  <r>
    <n v="1166"/>
    <s v="RIVER SHIMSHA AT D/S OF BRIDGE, HALAGUR"/>
    <x v="26"/>
    <n v="21"/>
    <n v="27"/>
    <n v="5.3"/>
    <n v="6.5"/>
    <n v="7.8"/>
    <n v="8.6"/>
    <n v="568"/>
    <n v="737"/>
    <n v="2.5"/>
    <n v="4.5"/>
    <n v="1.2"/>
    <n v="4.8"/>
    <n v="140"/>
    <n v="390"/>
    <n v="1500"/>
    <n v="4300"/>
    <m/>
    <m/>
  </r>
  <r>
    <n v="1200"/>
    <s v="RIVER SHIMSHA AT D/S OF HIGHWAY BRIDGE, YEDIYUR"/>
    <x v="26"/>
    <n v="23"/>
    <n v="31"/>
    <n v="2.1"/>
    <n v="6.3"/>
    <n v="6.7"/>
    <n v="7.4"/>
    <n v="194"/>
    <n v="578"/>
    <n v="4"/>
    <n v="18"/>
    <n v="0.6"/>
    <n v="7"/>
    <n v="40"/>
    <n v="17000"/>
    <n v="350"/>
    <n v="160000"/>
    <n v="11"/>
    <n v="920"/>
  </r>
  <r>
    <n v="3567"/>
    <s v="RIVER SHIMSHA D/S NEAR MADDUAR TOWN"/>
    <x v="26"/>
    <n v="23"/>
    <n v="30"/>
    <n v="4.5999999999999996"/>
    <n v="6.4"/>
    <n v="7.8"/>
    <n v="8.6"/>
    <n v="622"/>
    <n v="740"/>
    <n v="2.5"/>
    <n v="5"/>
    <n v="2.2999999999999998"/>
    <n v="3.5"/>
    <n v="150"/>
    <n v="400"/>
    <n v="1500"/>
    <n v="3500"/>
    <m/>
    <m/>
  </r>
  <r>
    <n v="3022"/>
    <s v="RIVER THIRUMANIMUTHAR AT SALEM, D/S OF SAGO &amp;_x000a_TEXTILE DYING INDUSTRIES, TAMILNADU"/>
    <x v="29"/>
    <n v="25"/>
    <n v="32"/>
    <n v="0.3"/>
    <n v="5.2"/>
    <n v="7"/>
    <n v="7.9"/>
    <n v="1075"/>
    <n v="2250"/>
    <n v="2.1"/>
    <n v="27"/>
    <n v="0.32"/>
    <n v="1.36"/>
    <n v="7"/>
    <n v="21000"/>
    <n v="14"/>
    <n v="47000"/>
    <m/>
    <m/>
  </r>
  <r>
    <n v="3023"/>
    <s v="RIVER VASISTA AT THULUKANNUR AT SALEM, D/S OF_x000a_SAGO INDUSRIES EFFLUENT, TAMILNADU"/>
    <x v="29"/>
    <n v="26"/>
    <n v="31"/>
    <n v="0.3"/>
    <n v="6"/>
    <n v="6.9"/>
    <n v="8"/>
    <n v="878"/>
    <n v="2350"/>
    <n v="2.7"/>
    <n v="120"/>
    <n v="0.32"/>
    <n v="4.43"/>
    <n v="9"/>
    <n v="390000"/>
    <n v="20"/>
    <n v="470000"/>
    <m/>
    <m/>
  </r>
  <r>
    <n v="1319"/>
    <s v="RIVER AMRAVATI AT 1KM D/S FROM EFF.DIS. PT. AT_x000a_MADHUTHUKKULAM"/>
    <x v="29"/>
    <n v="22"/>
    <n v="32"/>
    <n v="5.2"/>
    <n v="7.5"/>
    <n v="7"/>
    <n v="8.1"/>
    <n v="84"/>
    <n v="395"/>
    <n v="1"/>
    <n v="2.4"/>
    <n v="0.32"/>
    <n v="0.82"/>
    <n v="2"/>
    <n v="17"/>
    <n v="11"/>
    <n v="39"/>
    <m/>
    <m/>
  </r>
  <r>
    <n v="4812"/>
    <s v="RIVER LOCATED ON THE SOUTHERN BANK OF_x000a_AMARAVATHI AND DOWNSTREAM SIDE OF KARUR_x000a_DYEING CLUSTER"/>
    <x v="29"/>
    <n v="3"/>
    <n v="31"/>
    <n v="5.2"/>
    <n v="6.7"/>
    <n v="7.3"/>
    <n v="8.1999999999999993"/>
    <n v="2612"/>
    <n v="3550"/>
    <n v="1"/>
    <n v="3"/>
    <n v="0.32"/>
    <n v="2.69"/>
    <n v="2"/>
    <n v="17"/>
    <n v="2"/>
    <n v="49"/>
    <m/>
    <m/>
  </r>
  <r>
    <n v="4813"/>
    <s v="RIVER LOCATED ADJACENT TO KARU MSW DUMP SITE_x000a_AND ON THE NORTHERN BANK OF AMARAVATHI AND_x000a_DOWNSTREAM SIDE OF KARU DYEING CLUSTER"/>
    <x v="29"/>
    <n v="25"/>
    <n v="34"/>
    <n v="5.5"/>
    <n v="6.8"/>
    <n v="7.1"/>
    <n v="7.9"/>
    <n v="1769"/>
    <n v="2850"/>
    <n v="1"/>
    <n v="2.8"/>
    <n v="0.32"/>
    <n v="3.52"/>
    <n v="4"/>
    <n v="40"/>
    <n v="17"/>
    <n v="540"/>
    <m/>
    <m/>
  </r>
  <r>
    <n v="1165"/>
    <s v="RIVER ARKAVATHI AT D/S OF KANAKAPURA TOWN"/>
    <x v="26"/>
    <n v="25"/>
    <n v="35"/>
    <n v="3.2"/>
    <n v="7"/>
    <n v="6.7"/>
    <n v="7.9"/>
    <n v="499"/>
    <n v="1520"/>
    <n v="4"/>
    <n v="18"/>
    <n v="1.9"/>
    <n v="5.8"/>
    <n v="40"/>
    <n v="15000"/>
    <n v="540"/>
    <n v="160000"/>
    <n v="70"/>
    <n v="2400"/>
  </r>
  <r>
    <n v="2778"/>
    <s v="RIVER ARKAVATHI AT TIPPAGONDANAHALLI RESERVOIR"/>
    <x v="26"/>
    <n v="25"/>
    <n v="31"/>
    <n v="1.8"/>
    <n v="6.1"/>
    <n v="6.6"/>
    <n v="8.1"/>
    <n v="664"/>
    <n v="2082"/>
    <n v="4"/>
    <n v="21"/>
    <n v="2"/>
    <n v="16"/>
    <n v="31"/>
    <n v="84000"/>
    <n v="140"/>
    <n v="920000"/>
    <n v="23"/>
    <n v="1600"/>
  </r>
  <r>
    <n v="2779"/>
    <s v="RIVER ARKAVATHI AT HESARAGHATTA RESERVOIR"/>
    <x v="26"/>
    <n v="24"/>
    <n v="27"/>
    <n v="0.3"/>
    <n v="6.1"/>
    <n v="6"/>
    <n v="7.1"/>
    <n v="280"/>
    <n v="976"/>
    <n v="4"/>
    <n v="72"/>
    <n v="0.9"/>
    <n v="3.74"/>
    <n v="14"/>
    <n v="4900"/>
    <n v="170"/>
    <n v="35000"/>
    <m/>
    <m/>
  </r>
  <r>
    <n v="4108"/>
    <s v="RIVER AKRAVATHI BEFORE CONFLUENCE AT SANGAM"/>
    <x v="26"/>
    <n v="25"/>
    <n v="36"/>
    <n v="3.1"/>
    <n v="6.3"/>
    <n v="6.7"/>
    <n v="8.1999999999999993"/>
    <n v="396"/>
    <n v="1418"/>
    <n v="4"/>
    <n v="20"/>
    <n v="1.7"/>
    <n v="5"/>
    <n v="21"/>
    <n v="11000"/>
    <n v="110"/>
    <n v="160000"/>
    <m/>
    <m/>
  </r>
  <r>
    <n v="41"/>
    <s v="RIVER KABINI AT CAUSE WAY SATTUR"/>
    <x v="26"/>
    <n v="20"/>
    <n v="29"/>
    <n v="5.0999999999999996"/>
    <n v="6.9"/>
    <n v="7.7"/>
    <n v="8.3000000000000007"/>
    <n v="197"/>
    <n v="555"/>
    <n v="2"/>
    <n v="4"/>
    <n v="0.32"/>
    <n v="3.2"/>
    <n v="110"/>
    <n v="220"/>
    <n v="1100"/>
    <n v="1700"/>
    <m/>
    <m/>
  </r>
  <r>
    <n v="1197"/>
    <s v="RIVER KABINI AT SARAGUR VILLAGE D/S"/>
    <x v="26"/>
    <n v="22"/>
    <n v="30"/>
    <n v="5.6"/>
    <n v="6.8"/>
    <n v="7.4"/>
    <n v="8.4"/>
    <n v="152"/>
    <n v="360"/>
    <n v="2"/>
    <n v="4"/>
    <n v="0.3"/>
    <n v="2.1"/>
    <n v="93"/>
    <n v="320"/>
    <n v="1100"/>
    <n v="1700"/>
    <m/>
    <m/>
  </r>
  <r>
    <n v="1207"/>
    <s v="RIVER KABANI AT MUTHANKARA, WAYANAD"/>
    <x v="30"/>
    <n v="24"/>
    <n v="32"/>
    <n v="6.1"/>
    <n v="7.7"/>
    <n v="6.5"/>
    <n v="7.3"/>
    <n v="65"/>
    <n v="169"/>
    <n v="1"/>
    <n v="1.2"/>
    <n v="0.3"/>
    <n v="0.3"/>
    <n v="8"/>
    <n v="130"/>
    <n v="22"/>
    <n v="150"/>
    <n v="2"/>
    <n v="58"/>
  </r>
  <r>
    <n v="1445"/>
    <s v="RIVER KABINI AT WATER INTAKE OF KIADB AT_x000a_NANJANGUD"/>
    <x v="26"/>
    <n v="19"/>
    <n v="29"/>
    <n v="6.3"/>
    <n v="7.3"/>
    <n v="7.8"/>
    <n v="8.4"/>
    <n v="159"/>
    <n v="358"/>
    <n v="1"/>
    <n v="3"/>
    <n v="0.32"/>
    <n v="2.2999999999999998"/>
    <n v="65"/>
    <n v="120"/>
    <n v="700"/>
    <n v="1200"/>
    <m/>
    <m/>
  </r>
  <r>
    <n v="2775"/>
    <s v="RIVER KABINI AT BATHING GHAT, NANJANAGUD"/>
    <x v="26"/>
    <n v="19"/>
    <n v="30"/>
    <n v="5"/>
    <n v="6.6"/>
    <n v="7.6"/>
    <n v="8.6"/>
    <n v="259"/>
    <n v="555"/>
    <n v="3"/>
    <n v="4.5"/>
    <n v="0.3"/>
    <n v="4.2"/>
    <n v="150"/>
    <n v="390"/>
    <n v="1500"/>
    <n v="2400"/>
    <m/>
    <m/>
  </r>
  <r>
    <n v="3575"/>
    <s v="RIVER KABINI U/S INTAKE POINT TO NANJANAGUD &amp;_x000a_GUNDLUPET AT DEBUR"/>
    <x v="26"/>
    <n v="19"/>
    <n v="30"/>
    <n v="5.8"/>
    <n v="7.2"/>
    <n v="7.7"/>
    <n v="8.4"/>
    <n v="174"/>
    <n v="460"/>
    <n v="1"/>
    <n v="3.5"/>
    <n v="0.3"/>
    <n v="2.9"/>
    <n v="93"/>
    <n v="320"/>
    <n v="1100"/>
    <n v="2300"/>
    <m/>
    <m/>
  </r>
  <r>
    <n v="3577"/>
    <s v="RIVER KABINI AT WATER SUPPLY INTAKE POINT TO T._x000a_NARASIPURA"/>
    <x v="26"/>
    <n v="21"/>
    <n v="29"/>
    <n v="4.4000000000000004"/>
    <n v="6.5"/>
    <n v="7.9"/>
    <n v="8.5"/>
    <n v="258"/>
    <n v="564"/>
    <n v="2.5"/>
    <n v="6"/>
    <n v="0.56000000000000005"/>
    <n v="4.8"/>
    <n v="130"/>
    <n v="340"/>
    <n v="1500"/>
    <n v="2400"/>
    <m/>
    <m/>
  </r>
  <r>
    <n v="1196"/>
    <s v="RIVER LAKSHMANTIRTHA AT D/S OF HUNSUR TOWN"/>
    <x v="26"/>
    <n v="22"/>
    <n v="31"/>
    <n v="2.5"/>
    <n v="6.2"/>
    <n v="7.3"/>
    <n v="8.4"/>
    <n v="319"/>
    <n v="859"/>
    <n v="3"/>
    <n v="8"/>
    <n v="1.5"/>
    <n v="5.4"/>
    <n v="140"/>
    <n v="680"/>
    <n v="2100"/>
    <n v="4100"/>
    <m/>
    <m/>
  </r>
  <r>
    <n v="2772"/>
    <s v="RIVER LAKSHMANTIRTHA AT D/S OF KATTEMALAVADI"/>
    <x v="26"/>
    <n v="22"/>
    <n v="31"/>
    <n v="3"/>
    <n v="6.4"/>
    <n v="7.2"/>
    <n v="8.5"/>
    <n v="318"/>
    <n v="767"/>
    <n v="3"/>
    <n v="8"/>
    <n v="1.4"/>
    <n v="5.6"/>
    <n v="140"/>
    <n v="480"/>
    <n v="2100"/>
    <n v="4300"/>
    <m/>
    <m/>
  </r>
  <r>
    <n v="3572"/>
    <s v="RIVER LAKSHMANTIRTHA AT WATER SUPPLY INTAKE_x000a_POINT TO HUNSUR TOWN"/>
    <x v="26"/>
    <n v="22"/>
    <n v="31"/>
    <n v="4.4000000000000004"/>
    <n v="6.4"/>
    <n v="7.6"/>
    <n v="8.5"/>
    <n v="290"/>
    <n v="660"/>
    <n v="3"/>
    <n v="6"/>
    <n v="1.2"/>
    <n v="3.9"/>
    <n v="120"/>
    <n v="410"/>
    <n v="2100"/>
    <n v="3500"/>
    <m/>
    <m/>
  </r>
  <r>
    <n v="3024"/>
    <s v="RIVER SARABANGA AT EDAPADI AT SALEM, D/S OF_x000a_TEXTILE DYEING INDUSTRIES EFFLUENT, TAMILNADU"/>
    <x v="29"/>
    <n v="23"/>
    <n v="30"/>
    <n v="0.3"/>
    <n v="5.9"/>
    <n v="6.8"/>
    <n v="8.1999999999999993"/>
    <n v="1413"/>
    <n v="3710"/>
    <n v="1.8"/>
    <n v="36"/>
    <n v="0.32"/>
    <n v="1.53"/>
    <n v="14"/>
    <n v="26000"/>
    <n v="26"/>
    <n v="220000"/>
    <m/>
    <m/>
  </r>
  <r>
    <n v="10034"/>
    <s v="RIVER ADYAR AT EKKATTUTHANGAL"/>
    <x v="29"/>
    <n v="27"/>
    <n v="31"/>
    <n v="0.3"/>
    <n v="3.6"/>
    <n v="6.8"/>
    <n v="7.8"/>
    <n v="490"/>
    <n v="2120"/>
    <n v="4.2"/>
    <n v="25"/>
    <n v="1.22"/>
    <n v="32"/>
    <n v="18"/>
    <n v="470"/>
    <n v="310"/>
    <n v="1400"/>
    <m/>
    <m/>
  </r>
  <r>
    <n v="10035"/>
    <s v="RIVER ADYAR AT JAFERKHANPET"/>
    <x v="29"/>
    <n v="27"/>
    <n v="31"/>
    <n v="0.3"/>
    <n v="2.9"/>
    <n v="6.7"/>
    <n v="7.5"/>
    <n v="476"/>
    <n v="2040"/>
    <n v="5.3"/>
    <n v="25"/>
    <n v="1.06"/>
    <n v="31"/>
    <n v="18"/>
    <n v="330"/>
    <n v="360"/>
    <n v="1400"/>
    <m/>
    <m/>
  </r>
  <r>
    <n v="10036"/>
    <s v="RIVER ADYAR AT MARAIMALAI BRIDGE"/>
    <x v="29"/>
    <n v="27"/>
    <n v="32"/>
    <n v="0.3"/>
    <n v="3.9"/>
    <n v="6.9"/>
    <n v="7.4"/>
    <n v="398"/>
    <n v="1986"/>
    <n v="4.5"/>
    <n v="20"/>
    <n v="0.32"/>
    <n v="16.02"/>
    <n v="40"/>
    <n v="270"/>
    <n v="200"/>
    <n v="1400"/>
    <m/>
    <m/>
  </r>
  <r>
    <n v="10038"/>
    <s v="RIVER ADYAR AT KOTTURPURAM BRIDGE"/>
    <x v="29"/>
    <n v="28"/>
    <n v="33"/>
    <n v="0.3"/>
    <n v="2.7"/>
    <n v="6.6"/>
    <n v="7.4"/>
    <n v="378"/>
    <n v="20600"/>
    <n v="6"/>
    <n v="40"/>
    <n v="0.32"/>
    <n v="18.02"/>
    <n v="2"/>
    <n v="320"/>
    <n v="330"/>
    <n v="1700"/>
    <m/>
    <m/>
  </r>
  <r>
    <n v="10039"/>
    <s v="RIVER ADYAR NEAR BOAT CLUB"/>
    <x v="29"/>
    <n v="28"/>
    <n v="33"/>
    <n v="0.3"/>
    <n v="4.0999999999999996"/>
    <n v="6.5"/>
    <n v="7.3"/>
    <n v="426"/>
    <n v="16410"/>
    <n v="4.5999999999999996"/>
    <n v="38"/>
    <n v="1.25"/>
    <n v="18.5"/>
    <n v="40"/>
    <n v="320"/>
    <n v="460"/>
    <n v="1500"/>
    <m/>
    <m/>
  </r>
  <r>
    <n v="10040"/>
    <s v="RIVER COOUM AT ANNA NAGAR"/>
    <x v="29"/>
    <n v="28"/>
    <n v="32"/>
    <n v="0.3"/>
    <n v="1.9"/>
    <n v="6.5"/>
    <n v="7.1"/>
    <n v="647"/>
    <n v="2270"/>
    <n v="7"/>
    <n v="33"/>
    <n v="0.32"/>
    <n v="14"/>
    <n v="68"/>
    <n v="520"/>
    <n v="680"/>
    <n v="2200"/>
    <m/>
    <m/>
  </r>
  <r>
    <n v="10041"/>
    <s v="RIVER COOUM AT ARUMBAKKAM"/>
    <x v="29"/>
    <n v="28"/>
    <n v="33"/>
    <n v="0.3"/>
    <n v="2.4"/>
    <n v="6.6"/>
    <n v="7.3"/>
    <n v="638"/>
    <n v="2290"/>
    <n v="6"/>
    <n v="83"/>
    <n v="0.32"/>
    <n v="16.02"/>
    <n v="61"/>
    <n v="390"/>
    <n v="630"/>
    <n v="2000"/>
    <m/>
    <m/>
  </r>
  <r>
    <n v="10042"/>
    <s v="RIVER COOUM AT AMANJIKARAI"/>
    <x v="29"/>
    <n v="28"/>
    <n v="32"/>
    <n v="0.3"/>
    <n v="4.4000000000000004"/>
    <n v="6.6"/>
    <n v="7.1"/>
    <n v="610"/>
    <n v="2310"/>
    <n v="5.5"/>
    <n v="131"/>
    <n v="0.32"/>
    <n v="15"/>
    <n v="81"/>
    <n v="340"/>
    <n v="490"/>
    <n v="2100"/>
    <m/>
    <m/>
  </r>
  <r>
    <n v="10043"/>
    <s v="RIVER COOUM AT POONAMALLE"/>
    <x v="29"/>
    <n v="27"/>
    <n v="33"/>
    <n v="0.3"/>
    <n v="3.4"/>
    <n v="6.7"/>
    <n v="7.3"/>
    <n v="1053"/>
    <n v="2510"/>
    <n v="4"/>
    <n v="27"/>
    <n v="0.82"/>
    <n v="61.52"/>
    <n v="2"/>
    <n v="330"/>
    <n v="310"/>
    <n v="1700"/>
    <m/>
    <m/>
  </r>
  <r>
    <n v="10044"/>
    <s v="RIVER COOUM AT COLLAGE ROAD"/>
    <x v="29"/>
    <n v="27"/>
    <n v="33"/>
    <n v="0.3"/>
    <n v="3.2"/>
    <n v="6.8"/>
    <n v="7.2"/>
    <n v="495"/>
    <n v="2460"/>
    <n v="5.6"/>
    <n v="46"/>
    <n v="0.32"/>
    <n v="23"/>
    <n v="45"/>
    <n v="380"/>
    <n v="600"/>
    <n v="2000"/>
    <m/>
    <m/>
  </r>
  <r>
    <n v="10045"/>
    <s v="RIVER COOUM NEAR CENTRAL JAIL"/>
    <x v="29"/>
    <n v="27"/>
    <n v="33"/>
    <n v="0.3"/>
    <n v="1"/>
    <n v="6.6"/>
    <n v="7"/>
    <n v="1217"/>
    <n v="3240"/>
    <n v="13"/>
    <n v="36"/>
    <n v="1.1000000000000001"/>
    <n v="13.43"/>
    <n v="45"/>
    <n v="780"/>
    <n v="460"/>
    <n v="3300"/>
    <m/>
    <m/>
  </r>
  <r>
    <n v="10046"/>
    <s v="RIVER COOUM AT NAPIER BRIDGE"/>
    <x v="29"/>
    <n v="28"/>
    <n v="33"/>
    <n v="0.3"/>
    <n v="2.5"/>
    <n v="6.7"/>
    <n v="7.1"/>
    <n v="797"/>
    <n v="36200"/>
    <n v="8.1"/>
    <n v="52"/>
    <n v="0.32"/>
    <n v="14.49"/>
    <n v="2"/>
    <n v="470"/>
    <n v="370"/>
    <n v="2500"/>
    <m/>
    <m/>
  </r>
  <r>
    <n v="10059"/>
    <s v="RIVER VAIGAI AT MADURAI U/S"/>
    <x v="29"/>
    <n v="26"/>
    <n v="29"/>
    <n v="5.3"/>
    <n v="6.8"/>
    <n v="7.3"/>
    <n v="7.7"/>
    <n v="305"/>
    <n v="655"/>
    <n v="1"/>
    <n v="3"/>
    <n v="0.32"/>
    <n v="0.71"/>
    <n v="2"/>
    <n v="17"/>
    <n v="11"/>
    <n v="49"/>
    <m/>
    <m/>
  </r>
  <r>
    <n v="10060"/>
    <s v="RIVER VAIGAI AT MADURAI D/S"/>
    <x v="29"/>
    <n v="25"/>
    <n v="29"/>
    <n v="5.4"/>
    <n v="6.6"/>
    <n v="7.2"/>
    <n v="7.8"/>
    <n v="438"/>
    <n v="1721"/>
    <n v="1"/>
    <n v="6"/>
    <n v="0.32"/>
    <n v="1.41"/>
    <n v="17"/>
    <n v="24"/>
    <n v="26"/>
    <n v="49"/>
    <m/>
    <m/>
  </r>
  <r>
    <n v="10057"/>
    <s v="RIVER VENNAR AT THANJAVUR U/S"/>
    <x v="29"/>
    <n v="24"/>
    <n v="32"/>
    <n v="5.6"/>
    <n v="7.8"/>
    <n v="7.5"/>
    <n v="8.6999999999999993"/>
    <n v="395"/>
    <n v="1042"/>
    <n v="1"/>
    <n v="2.8"/>
    <n v="0.39"/>
    <n v="2.36"/>
    <n v="2"/>
    <n v="18"/>
    <n v="4"/>
    <n v="39"/>
    <m/>
    <m/>
  </r>
  <r>
    <n v="10058"/>
    <s v="RIVER VENNAR AT THANJAVUR D/S"/>
    <x v="29"/>
    <n v="23"/>
    <n v="32"/>
    <n v="5.3"/>
    <n v="7.9"/>
    <n v="7.3"/>
    <n v="9"/>
    <n v="404"/>
    <n v="1036"/>
    <n v="1"/>
    <n v="3"/>
    <n v="0.32"/>
    <n v="1.1499999999999999"/>
    <n v="2"/>
    <n v="18"/>
    <n v="2"/>
    <n v="230"/>
    <m/>
    <m/>
  </r>
  <r>
    <n v="5578"/>
    <s v="RIVER SHIMSHA DOWNSTREAM OF MADDUR NEAR_x000a_VYDYANATHESWARA TEMPLE ROAD BRIDGE,MAYDYA"/>
    <x v="26"/>
    <n v="24"/>
    <n v="29"/>
    <n v="5.2"/>
    <n v="6.1"/>
    <n v="7.8"/>
    <n v="8.1999999999999993"/>
    <n v="637"/>
    <n v="734"/>
    <n v="3.5"/>
    <n v="6"/>
    <n v="2.9"/>
    <n v="5.0999999999999996"/>
    <n v="340"/>
    <n v="780"/>
    <n v="2400"/>
    <n v="5800"/>
    <m/>
    <m/>
  </r>
  <r>
    <n v="4501"/>
    <s v="RIVER ARKAVATHI AT MANCHANBELE RESERVOIR,_x000a_MANCHANABALE DAM"/>
    <x v="26"/>
    <n v="25"/>
    <n v="35"/>
    <n v="2.5"/>
    <n v="6.1"/>
    <n v="6.9"/>
    <n v="7.5"/>
    <n v="582"/>
    <n v="1072"/>
    <n v="4"/>
    <n v="8"/>
    <n v="2"/>
    <n v="19"/>
    <n v="23"/>
    <n v="7900"/>
    <n v="540"/>
    <n v="160000"/>
    <n v="1600"/>
    <n v="1600"/>
  </r>
  <r>
    <n v="1208"/>
    <s v="RIVER BHAVANI AT ELACHIVAZHY, PALAKKAD"/>
    <x v="30"/>
    <n v="23"/>
    <n v="30"/>
    <n v="7.1"/>
    <n v="8.3000000000000007"/>
    <n v="7.6"/>
    <n v="8.1"/>
    <n v="80"/>
    <n v="240"/>
    <n v="1"/>
    <n v="2.4"/>
    <n v="0.3"/>
    <n v="0.46"/>
    <n v="2"/>
    <n v="400"/>
    <n v="100"/>
    <n v="800"/>
    <n v="2"/>
    <n v="60"/>
  </r>
  <r>
    <n v="5228"/>
    <s v="RIVER KABANI AT MUTHANGA,WAYANAD"/>
    <x v="30"/>
    <n v="20"/>
    <n v="28"/>
    <n v="6.2"/>
    <n v="7.4"/>
    <n v="6.5"/>
    <n v="7.2"/>
    <n v="98"/>
    <n v="151"/>
    <n v="1"/>
    <n v="2"/>
    <n v="0.3"/>
    <n v="0.3"/>
    <n v="8"/>
    <n v="63"/>
    <n v="26"/>
    <n v="170"/>
    <n v="2"/>
    <n v="55"/>
  </r>
  <r>
    <n v="5229"/>
    <s v="RIVER KABANI AT BANASURA SAGAR DAM AT_x000a_KALPETTA,WAYANAD"/>
    <x v="30"/>
    <n v="23"/>
    <n v="33"/>
    <n v="5.6"/>
    <n v="8.1"/>
    <n v="6.5"/>
    <n v="7.5"/>
    <n v="23"/>
    <n v="37"/>
    <n v="1"/>
    <n v="1.6"/>
    <n v="0.3"/>
    <n v="0.3"/>
    <n v="2"/>
    <n v="79"/>
    <n v="4"/>
    <n v="140"/>
    <n v="2"/>
    <n v="46"/>
  </r>
  <r>
    <n v="5227"/>
    <s v="RIVER KALINDI AT BAVALI, WAYANAD"/>
    <x v="30"/>
    <n v="22"/>
    <n v="31"/>
    <n v="6.2"/>
    <n v="8"/>
    <n v="6.5"/>
    <n v="7.3"/>
    <n v="68"/>
    <n v="201"/>
    <n v="1"/>
    <n v="1.8"/>
    <n v="0.3"/>
    <n v="0.3"/>
    <n v="8"/>
    <n v="70"/>
    <n v="31"/>
    <n v="120"/>
    <n v="2"/>
    <n v="58"/>
  </r>
  <r>
    <n v="5226"/>
    <s v="RIVER PAPANASINI AT THIRUNELLY, WAYANAD"/>
    <x v="30"/>
    <n v="22"/>
    <n v="32"/>
    <n v="6.6"/>
    <n v="8.3000000000000007"/>
    <n v="6.5"/>
    <n v="7.2"/>
    <n v="41"/>
    <n v="111"/>
    <n v="1"/>
    <n v="1.5"/>
    <n v="0.3"/>
    <n v="0.3"/>
    <n v="4"/>
    <n v="130"/>
    <n v="12"/>
    <n v="210"/>
    <n v="2"/>
    <n v="79"/>
  </r>
  <r>
    <n v="30053"/>
    <s v="RIVER THENPENNAIYAR AT CHOKKARASANAHALLI_x000a_BRIDGE (BANGALORE)"/>
    <x v="26"/>
    <n v="24"/>
    <n v="26"/>
    <n v="0.3"/>
    <n v="0.3"/>
    <n v="7.3"/>
    <n v="7.9"/>
    <n v="1192"/>
    <n v="1474"/>
    <n v="8"/>
    <n v="89"/>
    <n v="0"/>
    <n v="66.099999999999994"/>
    <n v="130000"/>
    <n v="7000000"/>
    <n v="540000"/>
    <n v="92000000"/>
    <m/>
    <m/>
  </r>
  <r>
    <n v="24"/>
    <s v="RIVER SUBARNAREKHA AT JAMSHEDPUR"/>
    <x v="6"/>
    <n v="15"/>
    <n v="36"/>
    <n v="6.8"/>
    <n v="10.199999999999999"/>
    <n v="6.9"/>
    <n v="8.3000000000000007"/>
    <n v="189"/>
    <n v="352"/>
    <n v="1.3"/>
    <n v="2.8"/>
    <n v="0"/>
    <n v="0"/>
    <m/>
    <m/>
    <m/>
    <m/>
    <m/>
    <m/>
  </r>
  <r>
    <n v="48"/>
    <s v="RIVER SUBARNAREKHA AT CHANDIL BRIDGE"/>
    <x v="6"/>
    <n v="18.5"/>
    <n v="33"/>
    <n v="6.8"/>
    <n v="8.8000000000000007"/>
    <n v="7.1"/>
    <n v="7.8"/>
    <n v="212"/>
    <n v="388"/>
    <n v="1"/>
    <n v="2.7"/>
    <n v="0"/>
    <n v="0"/>
    <m/>
    <m/>
    <m/>
    <m/>
    <m/>
    <m/>
  </r>
  <r>
    <n v="49"/>
    <s v="RIVER SUBARNAREKHA AT D/S JAMSHEDPUR, (TATA_x000a_NAGAR)"/>
    <x v="6"/>
    <n v="16.5"/>
    <n v="35"/>
    <n v="6"/>
    <n v="7.7"/>
    <n v="6.3"/>
    <n v="8.3000000000000007"/>
    <n v="193"/>
    <n v="364"/>
    <n v="2.1"/>
    <n v="5"/>
    <n v="0"/>
    <n v="0"/>
    <m/>
    <m/>
    <m/>
    <m/>
    <m/>
    <m/>
  </r>
  <r>
    <n v="1641"/>
    <s v="RIVER SUBARNAREKHA AT RAJGHAT (THENGUDIA)"/>
    <x v="22"/>
    <n v="22"/>
    <n v="30"/>
    <n v="6"/>
    <n v="9.6"/>
    <n v="6.8"/>
    <n v="8.4"/>
    <n v="180"/>
    <n v="407"/>
    <n v="1.1000000000000001"/>
    <n v="1.8"/>
    <n v="0.32"/>
    <n v="0.92"/>
    <n v="130"/>
    <n v="2300"/>
    <n v="700"/>
    <n v="4900"/>
    <m/>
    <m/>
  </r>
  <r>
    <n v="2387"/>
    <s v="RIVER SUBARNAREKHA AT GHATISLA ROAD BRIDGE"/>
    <x v="6"/>
    <n v="15"/>
    <n v="37"/>
    <n v="6.5"/>
    <n v="8.8000000000000007"/>
    <n v="7.3"/>
    <n v="8.6"/>
    <n v="192"/>
    <n v="424"/>
    <n v="1"/>
    <n v="294"/>
    <n v="0"/>
    <n v="0"/>
    <m/>
    <m/>
    <m/>
    <m/>
    <m/>
    <m/>
  </r>
  <r>
    <n v="2399"/>
    <s v="RIVER SUBARNAREKHA AT CHANDIL DAM"/>
    <x v="6"/>
    <n v="18.399999999999999"/>
    <n v="32"/>
    <n v="7.1"/>
    <n v="9.4"/>
    <n v="7"/>
    <n v="7.6"/>
    <n v="222"/>
    <n v="343"/>
    <n v="1"/>
    <n v="2.4"/>
    <n v="0"/>
    <n v="0"/>
    <m/>
    <m/>
    <m/>
    <m/>
    <m/>
    <m/>
  </r>
  <r>
    <n v="4743"/>
    <s v="RIVER SUBARNAREKHA U/S HCL GHATSHILA, E.S"/>
    <x v="6"/>
    <n v="15.5"/>
    <n v="37"/>
    <n v="6.6"/>
    <n v="8.6"/>
    <n v="7"/>
    <n v="8.1"/>
    <n v="198"/>
    <n v="309"/>
    <n v="1.2"/>
    <n v="2.8"/>
    <n v="0"/>
    <n v="0"/>
    <m/>
    <m/>
    <m/>
    <m/>
    <m/>
    <m/>
  </r>
  <r>
    <n v="4744"/>
    <s v="RIVER SUBARNAREKHA BEFORE MEETING KHARKAI_x000a_RIVER"/>
    <x v="6"/>
    <n v="15.1"/>
    <n v="36"/>
    <n v="6.6"/>
    <n v="8.8000000000000007"/>
    <n v="7"/>
    <n v="7.8"/>
    <n v="228"/>
    <n v="349"/>
    <n v="1.3"/>
    <n v="3.3"/>
    <n v="0"/>
    <n v="0"/>
    <m/>
    <m/>
    <m/>
    <m/>
    <m/>
    <m/>
  </r>
  <r>
    <n v="4746"/>
    <s v="RIVER SUBARNAREKHA AFTER CONFLUENCE OF_x000a_KHARKAI RIVER"/>
    <x v="6"/>
    <n v="16.5"/>
    <n v="36"/>
    <n v="6.5"/>
    <n v="8.4"/>
    <n v="6.9"/>
    <n v="8.3000000000000007"/>
    <n v="214"/>
    <n v="462"/>
    <n v="1.3"/>
    <n v="4.0999999999999996"/>
    <n v="0"/>
    <n v="0"/>
    <m/>
    <m/>
    <m/>
    <m/>
    <m/>
    <m/>
  </r>
  <r>
    <n v="4748"/>
    <s v="RIVER SUBARNAREKHA AT BAHARAGORA ROAD_x000a_BRIDGE, P.O- BAHARAGORA, E.S"/>
    <x v="6"/>
    <n v="19.5"/>
    <n v="31"/>
    <n v="7.2"/>
    <n v="9.6"/>
    <n v="7.3"/>
    <n v="8.3000000000000007"/>
    <n v="216"/>
    <n v="466"/>
    <n v="1"/>
    <n v="2.4"/>
    <n v="0"/>
    <n v="0"/>
    <m/>
    <m/>
    <m/>
    <m/>
    <m/>
    <m/>
  </r>
  <r>
    <n v="30067"/>
    <s v="RIVER SUBARNAREKHA AT BEHRAGORA ODISHA-JHARKHAND"/>
    <x v="6"/>
    <n v="28"/>
    <n v="36"/>
    <n v="7"/>
    <n v="11.5"/>
    <n v="7"/>
    <n v="9.5"/>
    <n v="157"/>
    <n v="415"/>
    <n v="1"/>
    <n v="2"/>
    <n v="0.32"/>
    <n v="0.36"/>
    <n v="170"/>
    <n v="220000"/>
    <n v="1100"/>
    <n v="14000000"/>
    <n v="2"/>
    <n v="45"/>
  </r>
  <r>
    <n v="30068"/>
    <s v="RIVER SUBARNAREKHA AT GOPIBALLAVPUR (WEST_x000a_BENGAL)"/>
    <x v="7"/>
    <n v="25"/>
    <n v="35"/>
    <n v="6.8"/>
    <n v="12.5"/>
    <n v="7"/>
    <n v="8.1999999999999993"/>
    <n v="153"/>
    <n v="393"/>
    <n v="1"/>
    <n v="1"/>
    <n v="0.32"/>
    <n v="0.37"/>
    <n v="110"/>
    <n v="2200000"/>
    <n v="1400"/>
    <n v="35000000"/>
    <n v="2"/>
    <n v="78"/>
  </r>
  <r>
    <n v="30069"/>
    <s v="RIVER SUBARNAREKHA AT LAKHANNATH (ORISSA)"/>
    <x v="22"/>
    <n v="24"/>
    <n v="31"/>
    <n v="7.2"/>
    <n v="9.1999999999999993"/>
    <n v="7"/>
    <n v="8.5"/>
    <n v="152"/>
    <n v="334"/>
    <n v="1"/>
    <n v="1"/>
    <n v="0.32"/>
    <n v="0.32"/>
    <n v="170"/>
    <n v="1100000"/>
    <n v="1700"/>
    <n v="28000000"/>
    <n v="2"/>
    <n v="78"/>
  </r>
  <r>
    <n v="2423"/>
    <s v="RIVER BUDHABALANGA AT D/S OF BARIPADA TOWN"/>
    <x v="22"/>
    <n v="20"/>
    <n v="30"/>
    <n v="5.2"/>
    <n v="9.1999999999999993"/>
    <n v="7.2"/>
    <n v="8.4"/>
    <n v="146"/>
    <n v="326"/>
    <n v="1.3"/>
    <n v="2.2000000000000002"/>
    <n v="0"/>
    <n v="0.87"/>
    <n v="780"/>
    <n v="4900"/>
    <n v="2800"/>
    <n v="17000"/>
    <n v="5"/>
    <n v="49"/>
  </r>
  <r>
    <n v="3943"/>
    <s v="RIVER BUDHABALANGA AT BALASORE U/S"/>
    <x v="22"/>
    <n v="21"/>
    <n v="30"/>
    <n v="5.6"/>
    <n v="9.6"/>
    <n v="6.9"/>
    <n v="8.5"/>
    <n v="125"/>
    <n v="383"/>
    <n v="1.1000000000000001"/>
    <n v="2.4"/>
    <n v="0.32"/>
    <n v="0.86"/>
    <n v="230"/>
    <n v="2300"/>
    <n v="1300"/>
    <n v="4900"/>
    <m/>
    <m/>
  </r>
  <r>
    <n v="3942"/>
    <s v="RIVER SONO AT KANAKDURGA ROAD NEAR REMUNA,_x000a_HATOGOND"/>
    <x v="22"/>
    <n v="20"/>
    <n v="30"/>
    <n v="3.2"/>
    <n v="9.6"/>
    <n v="6.9"/>
    <n v="8.5"/>
    <n v="120"/>
    <n v="433"/>
    <n v="1.1000000000000001"/>
    <n v="1.8"/>
    <n v="0.32"/>
    <n v="0.93"/>
    <n v="78"/>
    <n v="13000"/>
    <n v="490"/>
    <n v="35000"/>
    <m/>
    <m/>
  </r>
  <r>
    <n v="2115"/>
    <s v="RIVER TAPTI AT NEPA NAGAR 100 METRE D/S AFTER_x000a_MIXING PANDHAR NALLA"/>
    <x v="10"/>
    <n v="20"/>
    <n v="22"/>
    <n v="6.6"/>
    <n v="7.7"/>
    <n v="7.7"/>
    <n v="8.6"/>
    <n v="202"/>
    <n v="572"/>
    <n v="1"/>
    <n v="1.8"/>
    <n v="0.56999999999999995"/>
    <n v="1.42"/>
    <n v="2"/>
    <n v="2"/>
    <n v="37"/>
    <n v="63"/>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28">
  <r>
    <n v="1001"/>
    <s v="RIVER BEAS AT U/S MANALI"/>
    <x v="0"/>
    <n v="2"/>
    <n v="24"/>
    <n v="7.8"/>
    <n v="9.1999999999999993"/>
    <n v="7.2"/>
    <n v="8.1999999999999993"/>
    <n v="68"/>
    <n v="380"/>
    <n v="1"/>
    <n v="2.8"/>
    <n v="0.32"/>
    <n v="1.1499999999999999"/>
    <n v="2"/>
    <n v="170"/>
    <n v="63"/>
    <n v="540"/>
    <n v="2"/>
    <n v="2"/>
  </r>
  <r>
    <n v="4444"/>
    <s v="RIVER BEAS D/S OF WASTE PROCESSING FACILITY AT_x000a_MANALI"/>
    <x v="0"/>
    <n v="2"/>
    <n v="13"/>
    <n v="7.8"/>
    <n v="8.8000000000000007"/>
    <n v="6.7"/>
    <n v="7.8"/>
    <n v="62"/>
    <n v="113"/>
    <n v="1"/>
    <n v="2.8"/>
    <n v="0.32"/>
    <n v="1.08"/>
    <n v="110"/>
    <n v="1600"/>
    <n v="350"/>
    <n v="1600"/>
    <n v="2"/>
    <n v="2"/>
  </r>
  <r>
    <n v="3866"/>
    <s v="RIVER BEAS U/S BEFORE CONF. OF MANALSU NALLAH"/>
    <x v="0"/>
    <n v="2"/>
    <n v="13"/>
    <n v="7.8"/>
    <n v="9.1"/>
    <n v="7"/>
    <n v="7.8"/>
    <n v="51"/>
    <n v="113"/>
    <n v="1"/>
    <n v="1"/>
    <n v="0.32"/>
    <n v="0.97"/>
    <n v="23"/>
    <n v="120"/>
    <n v="110"/>
    <n v="430"/>
    <n v="2"/>
    <n v="2"/>
  </r>
  <r>
    <n v="4445"/>
    <s v="RIVER BEAS D/S OF WASTE PROCESSING FACILITY AT_x000a_KULLU"/>
    <x v="0"/>
    <n v="4"/>
    <n v="16"/>
    <n v="7.6"/>
    <n v="8.4"/>
    <n v="6.6"/>
    <n v="7.7"/>
    <n v="73"/>
    <n v="170"/>
    <n v="1"/>
    <n v="1.6"/>
    <n v="0.32"/>
    <n v="0.96"/>
    <n v="47"/>
    <n v="150"/>
    <n v="280"/>
    <n v="920"/>
    <n v="2"/>
    <n v="2"/>
  </r>
  <r>
    <n v="1003"/>
    <s v="RIVER BEAS D/S AUT"/>
    <x v="0"/>
    <n v="5"/>
    <n v="16"/>
    <n v="7.5"/>
    <n v="8.1"/>
    <n v="7.2"/>
    <n v="8.1999999999999993"/>
    <n v="61"/>
    <n v="129"/>
    <n v="1"/>
    <n v="1"/>
    <n v="0.32"/>
    <n v="0.77"/>
    <n v="34"/>
    <n v="280"/>
    <n v="170"/>
    <n v="1600"/>
    <n v="2"/>
    <n v="2"/>
  </r>
  <r>
    <n v="2603"/>
    <s v="RIVER BEAS, D/S PANDOH DAM"/>
    <x v="0"/>
    <n v="8"/>
    <n v="26"/>
    <n v="8"/>
    <n v="9.3000000000000007"/>
    <n v="7.1"/>
    <n v="8.1999999999999993"/>
    <n v="61"/>
    <n v="202"/>
    <n v="1"/>
    <n v="1"/>
    <n v="0.32"/>
    <n v="1.1499999999999999"/>
    <n v="41"/>
    <n v="110"/>
    <n v="210"/>
    <n v="920"/>
    <n v="2"/>
    <n v="2"/>
  </r>
  <r>
    <n v="1550"/>
    <s v="BEAS RIVER, U/S OF MANDI TOWN"/>
    <x v="0"/>
    <n v="6"/>
    <n v="25"/>
    <n v="7.8"/>
    <n v="9.1999999999999993"/>
    <n v="7.2"/>
    <n v="8"/>
    <n v="80"/>
    <n v="190"/>
    <n v="1"/>
    <n v="1"/>
    <n v="0.32"/>
    <n v="0.98"/>
    <n v="23"/>
    <n v="94"/>
    <n v="120"/>
    <n v="430"/>
    <n v="2"/>
    <n v="2"/>
  </r>
  <r>
    <n v="2604"/>
    <s v="RIVER BEAS AT D/S JAISINGHPUR"/>
    <x v="0"/>
    <n v="13"/>
    <n v="22"/>
    <n v="8.6"/>
    <n v="9.4"/>
    <n v="7.2"/>
    <n v="8.1999999999999993"/>
    <n v="115"/>
    <n v="362"/>
    <n v="1"/>
    <n v="1"/>
    <n v="1.2"/>
    <n v="4.83"/>
    <n v="2"/>
    <n v="68"/>
    <n v="110"/>
    <n v="16000"/>
    <n v="2"/>
    <n v="2"/>
  </r>
  <r>
    <n v="3855"/>
    <s v="RIVER BEAS D/S NADAUN BRIDGE, VILL BHADOLI"/>
    <x v="0"/>
    <n v="14"/>
    <n v="22"/>
    <n v="6.8"/>
    <n v="9.3000000000000007"/>
    <n v="7.5"/>
    <n v="8.5"/>
    <n v="81"/>
    <n v="404"/>
    <n v="1"/>
    <n v="1.2"/>
    <n v="0.3"/>
    <n v="2.5299999999999998"/>
    <n v="2"/>
    <n v="93"/>
    <n v="39"/>
    <n v="5400"/>
    <n v="2"/>
    <n v="2"/>
  </r>
  <r>
    <n v="1867"/>
    <s v="RIVER SUTLEJ BEFORE CONF. WITH RIVER SPITI AT_x000a_KHAB"/>
    <x v="0"/>
    <n v="7"/>
    <n v="11.5"/>
    <n v="9.1"/>
    <n v="9.4"/>
    <n v="7.5"/>
    <n v="8.3000000000000007"/>
    <n v="141"/>
    <n v="534"/>
    <n v="1"/>
    <n v="1"/>
    <n v="0.32"/>
    <n v="1.49"/>
    <n v="2"/>
    <n v="33"/>
    <n v="9"/>
    <n v="280"/>
    <n v="2"/>
    <n v="2"/>
  </r>
  <r>
    <n v="2611"/>
    <s v="RIVER SUTLEJ AFTER CONF. WITH RIVER SPIT AT KHAB"/>
    <x v="0"/>
    <n v="7"/>
    <n v="11.5"/>
    <n v="9.1999999999999993"/>
    <n v="9.5"/>
    <n v="7.8"/>
    <n v="8.4"/>
    <n v="127"/>
    <n v="531"/>
    <n v="1"/>
    <n v="1"/>
    <n v="0.32"/>
    <n v="1.5"/>
    <n v="2"/>
    <n v="49"/>
    <n v="7"/>
    <n v="1600"/>
    <n v="2"/>
    <n v="2"/>
  </r>
  <r>
    <n v="3872"/>
    <s v="RIVER SUTLEJ D/S TIDONG HEP"/>
    <x v="0"/>
    <n v="7"/>
    <n v="11.5"/>
    <n v="9"/>
    <n v="9.3000000000000007"/>
    <n v="7.6"/>
    <n v="8.4"/>
    <n v="118"/>
    <n v="505"/>
    <n v="1"/>
    <n v="1"/>
    <n v="0.32"/>
    <n v="1.19"/>
    <n v="2"/>
    <n v="350"/>
    <n v="4"/>
    <n v="1600"/>
    <n v="2"/>
    <n v="2"/>
  </r>
  <r>
    <n v="4448"/>
    <s v="RIVER SUTLEJ BEFORE CONFLUENCES WITH RIVER_x000a_TIDONG"/>
    <x v="0"/>
    <n v="7.5"/>
    <n v="11.5"/>
    <n v="9"/>
    <n v="9.3000000000000007"/>
    <n v="7.6"/>
    <n v="8.4"/>
    <n v="118"/>
    <n v="490"/>
    <n v="1"/>
    <n v="1"/>
    <n v="0.32"/>
    <n v="1.4"/>
    <n v="7"/>
    <n v="33"/>
    <n v="17"/>
    <n v="350"/>
    <n v="2"/>
    <n v="2"/>
  </r>
  <r>
    <n v="4449"/>
    <s v="RIVER SUTLEJ AFTER CONFLUENCES WITH RIVER_x000a_TIDONG"/>
    <x v="0"/>
    <n v="7"/>
    <n v="11.5"/>
    <n v="9"/>
    <n v="9.3000000000000007"/>
    <n v="7.8"/>
    <n v="8.4"/>
    <n v="122"/>
    <n v="481"/>
    <n v="1"/>
    <n v="1"/>
    <n v="0.32"/>
    <n v="1.23"/>
    <n v="5"/>
    <n v="140"/>
    <n v="17"/>
    <n v="350"/>
    <n v="2"/>
    <n v="2"/>
  </r>
  <r>
    <n v="4452"/>
    <s v="RIVER SUTLEJ BEFORE CONFLUENCES OF RIVER_x000a_BASPA"/>
    <x v="0"/>
    <n v="7.5"/>
    <n v="12"/>
    <n v="8.6999999999999993"/>
    <n v="9.3000000000000007"/>
    <n v="7.5"/>
    <n v="8.3000000000000007"/>
    <n v="119"/>
    <n v="517"/>
    <n v="1"/>
    <n v="1"/>
    <n v="0.32"/>
    <n v="1.44"/>
    <n v="2"/>
    <n v="33"/>
    <n v="11"/>
    <n v="350"/>
    <n v="2"/>
    <n v="2"/>
  </r>
  <r>
    <n v="3871"/>
    <s v="RIVER SUTLEJ D/S POWER HOUSE KASHANG HEP"/>
    <x v="0"/>
    <n v="7"/>
    <n v="12"/>
    <n v="8.9"/>
    <n v="9.4"/>
    <n v="7.5"/>
    <n v="8.5"/>
    <n v="117"/>
    <n v="491"/>
    <n v="1"/>
    <n v="1"/>
    <n v="0.32"/>
    <n v="1.39"/>
    <n v="2"/>
    <n v="110"/>
    <n v="7"/>
    <n v="540"/>
    <n v="2"/>
    <n v="2"/>
  </r>
  <r>
    <n v="3870"/>
    <s v="RIVER SUTLEJ AFTER CONF. OF RIVER BASPA AT_x000a_KARCHAM DAM"/>
    <x v="0"/>
    <n v="7"/>
    <n v="12"/>
    <n v="8.8000000000000007"/>
    <n v="9.3000000000000007"/>
    <n v="7.8"/>
    <n v="8.4"/>
    <n v="121"/>
    <n v="460"/>
    <n v="1"/>
    <n v="1"/>
    <n v="0.32"/>
    <n v="1.39"/>
    <n v="2"/>
    <n v="27"/>
    <n v="8"/>
    <n v="540"/>
    <n v="2"/>
    <n v="2"/>
  </r>
  <r>
    <n v="1389"/>
    <s v="RIVER SUTLEJ AT WANGTOO BRIDGE"/>
    <x v="0"/>
    <n v="7.5"/>
    <n v="12"/>
    <n v="8.6999999999999993"/>
    <n v="9.3000000000000007"/>
    <n v="7.7"/>
    <n v="8.4"/>
    <n v="108"/>
    <n v="468"/>
    <n v="1"/>
    <n v="1"/>
    <n v="0.32"/>
    <n v="1.4"/>
    <n v="2"/>
    <n v="46"/>
    <n v="9"/>
    <n v="1600"/>
    <n v="2"/>
    <n v="2"/>
  </r>
  <r>
    <n v="4453"/>
    <s v="RIVER SUTLEJ AFTER CONFLUENCES OF RIVER BASPA"/>
    <x v="0"/>
    <n v="7"/>
    <n v="12"/>
    <n v="8.6999999999999993"/>
    <n v="9.3000000000000007"/>
    <n v="7.5"/>
    <n v="8.4"/>
    <n v="115"/>
    <n v="437"/>
    <n v="1"/>
    <n v="1"/>
    <n v="0.32"/>
    <n v="1.43"/>
    <n v="5"/>
    <n v="22"/>
    <n v="17"/>
    <n v="350"/>
    <n v="2"/>
    <n v="2"/>
  </r>
  <r>
    <n v="3869"/>
    <s v="RIVER SUTLEJ D/S TRT OF RAMPUR HYDEL ELECTRIC_x000a_PROJECT"/>
    <x v="0"/>
    <n v="7.5"/>
    <n v="13.5"/>
    <n v="8.6999999999999993"/>
    <n v="9.1999999999999993"/>
    <n v="7.5"/>
    <n v="8.3000000000000007"/>
    <n v="105"/>
    <n v="254"/>
    <n v="1"/>
    <n v="1"/>
    <n v="0.32"/>
    <n v="1.42"/>
    <n v="7"/>
    <n v="170"/>
    <n v="17"/>
    <n v="1600"/>
    <n v="2"/>
    <n v="2"/>
  </r>
  <r>
    <n v="1086"/>
    <s v="RIVER SUTLEJ AT U/S RAMPUR"/>
    <x v="0"/>
    <n v="7.5"/>
    <n v="13"/>
    <n v="8.5"/>
    <n v="9.3000000000000007"/>
    <n v="7.7"/>
    <n v="8.3000000000000007"/>
    <n v="107"/>
    <n v="251"/>
    <n v="1"/>
    <n v="1"/>
    <n v="0.32"/>
    <n v="0.95"/>
    <n v="2"/>
    <n v="39"/>
    <n v="17"/>
    <n v="350"/>
    <n v="2"/>
    <n v="2"/>
  </r>
  <r>
    <n v="1087"/>
    <s v="RIVER SUTLEJ AT D/S RAMPUR"/>
    <x v="0"/>
    <n v="8"/>
    <n v="13.5"/>
    <n v="8.6"/>
    <n v="9.1999999999999993"/>
    <n v="7.6"/>
    <n v="8.3000000000000007"/>
    <n v="100"/>
    <n v="249"/>
    <n v="1"/>
    <n v="1"/>
    <n v="0.32"/>
    <n v="0.95"/>
    <n v="2"/>
    <n v="280"/>
    <n v="5"/>
    <n v="1600"/>
    <n v="2"/>
    <n v="2"/>
  </r>
  <r>
    <n v="1013"/>
    <s v="RIVER SUTLEJ AT U/S TATAPANI"/>
    <x v="0"/>
    <n v="7.5"/>
    <n v="14"/>
    <n v="8.6"/>
    <n v="9.3000000000000007"/>
    <n v="6.5"/>
    <n v="8.1999999999999993"/>
    <n v="117"/>
    <n v="447"/>
    <n v="1"/>
    <n v="1"/>
    <n v="0.32"/>
    <n v="3.95"/>
    <n v="4"/>
    <n v="26"/>
    <n v="17"/>
    <n v="1600"/>
    <n v="2"/>
    <n v="2"/>
  </r>
  <r>
    <n v="4446"/>
    <s v="RIVER SUTLEJ U/S IANDFILL SITE RAMPUR"/>
    <x v="0"/>
    <n v="7"/>
    <n v="13"/>
    <n v="8.5"/>
    <n v="9.3000000000000007"/>
    <n v="7.5"/>
    <n v="8.3000000000000007"/>
    <n v="97"/>
    <n v="245"/>
    <n v="1"/>
    <n v="1"/>
    <n v="0.32"/>
    <n v="0.77"/>
    <n v="7"/>
    <n v="39"/>
    <n v="32"/>
    <n v="920"/>
    <n v="2"/>
    <n v="2"/>
  </r>
  <r>
    <n v="4447"/>
    <s v="RIVER STLUJ D/S LANDFILL SITE RAMPUR"/>
    <x v="0"/>
    <n v="7.5"/>
    <n v="13"/>
    <n v="8.6"/>
    <n v="9.1999999999999993"/>
    <n v="7.5"/>
    <n v="8.1999999999999993"/>
    <n v="104"/>
    <n v="253"/>
    <n v="1"/>
    <n v="1"/>
    <n v="0.32"/>
    <n v="0.89"/>
    <n v="2"/>
    <n v="79"/>
    <n v="7"/>
    <n v="1600"/>
    <n v="2"/>
    <n v="2"/>
  </r>
  <r>
    <n v="4032"/>
    <s v="RIVER SUTLEJ D/S ACC BARMANA"/>
    <x v="0"/>
    <n v="9"/>
    <n v="26"/>
    <n v="8.3000000000000007"/>
    <n v="9.1999999999999993"/>
    <n v="7.4"/>
    <n v="8"/>
    <n v="102"/>
    <n v="235"/>
    <n v="1"/>
    <n v="1"/>
    <n v="0.32"/>
    <n v="2.21"/>
    <n v="23"/>
    <n v="84"/>
    <n v="110"/>
    <n v="280"/>
    <n v="2"/>
    <n v="2"/>
  </r>
  <r>
    <n v="4033"/>
    <s v="RIVER SUTLEJ NEAR LUHNOO GROUND"/>
    <x v="0"/>
    <n v="10"/>
    <n v="33"/>
    <n v="8.1"/>
    <n v="8.9"/>
    <n v="6.8"/>
    <n v="8.3000000000000007"/>
    <n v="150"/>
    <n v="335"/>
    <n v="1"/>
    <n v="2.8"/>
    <n v="0.39"/>
    <n v="3.5"/>
    <n v="33"/>
    <n v="1600"/>
    <n v="240"/>
    <n v="1600"/>
    <n v="2"/>
    <n v="2"/>
  </r>
  <r>
    <n v="4450"/>
    <s v="RIVER SUTLEJ BEFORE CONFLUENCE WITH GANVI_x000a_KHAND"/>
    <x v="0"/>
    <n v="7"/>
    <n v="13"/>
    <n v="8.9"/>
    <n v="9.4"/>
    <n v="7.5"/>
    <n v="8.3000000000000007"/>
    <n v="117"/>
    <n v="258"/>
    <n v="1"/>
    <n v="1"/>
    <n v="0.32"/>
    <n v="1.01"/>
    <n v="5"/>
    <n v="26"/>
    <n v="17"/>
    <n v="350"/>
    <n v="2"/>
    <n v="2"/>
  </r>
  <r>
    <n v="4451"/>
    <s v="RIVER SUTLEJ AFTER CONFLUENCE WITH GANVI KHAD"/>
    <x v="0"/>
    <n v="7.5"/>
    <n v="13"/>
    <n v="8.9"/>
    <n v="9.4"/>
    <n v="7.6"/>
    <n v="8.1999999999999993"/>
    <n v="100"/>
    <n v="248"/>
    <n v="1"/>
    <n v="1"/>
    <n v="0.32"/>
    <n v="0.82"/>
    <n v="7"/>
    <n v="110"/>
    <n v="17"/>
    <n v="1600"/>
    <n v="2"/>
    <n v="2"/>
  </r>
  <r>
    <n v="30009"/>
    <s v="RIVER SUTLEJ AT NANGAL (H.P.)"/>
    <x v="0"/>
    <n v="16.5"/>
    <n v="23"/>
    <n v="7"/>
    <n v="9.8000000000000007"/>
    <n v="7.9"/>
    <n v="8.3000000000000007"/>
    <n v="230"/>
    <n v="356"/>
    <n v="1"/>
    <n v="1"/>
    <n v="0.42"/>
    <n v="0.71"/>
    <n v="20"/>
    <n v="4500"/>
    <n v="460"/>
    <n v="33000"/>
    <n v="17"/>
    <n v="130"/>
  </r>
  <r>
    <n v="1014"/>
    <s v="RIVER SUTLEJ U/S OF EXIT POINT OF DEHAR POWER_x000a_HOUSE"/>
    <x v="0"/>
    <n v="9"/>
    <n v="26"/>
    <n v="8.5"/>
    <n v="9.6"/>
    <n v="5.7"/>
    <n v="8"/>
    <n v="96"/>
    <n v="286"/>
    <n v="1"/>
    <n v="1"/>
    <n v="0.32"/>
    <n v="0.98"/>
    <n v="22"/>
    <n v="49"/>
    <n v="70"/>
    <n v="240"/>
    <n v="2"/>
    <n v="2"/>
  </r>
  <r>
    <n v="1015"/>
    <s v="RIVER SUTLEJ D/S OF EXIT POINT OF DEHAR POWER_x000a_HOUSE"/>
    <x v="0"/>
    <n v="9"/>
    <n v="26"/>
    <n v="8.1"/>
    <n v="9.1"/>
    <n v="7.3"/>
    <n v="8.1"/>
    <n v="94"/>
    <n v="240"/>
    <n v="1"/>
    <n v="1"/>
    <n v="0.32"/>
    <n v="2.08"/>
    <n v="32"/>
    <n v="84"/>
    <n v="110"/>
    <n v="430"/>
    <n v="2"/>
    <n v="2"/>
  </r>
  <r>
    <n v="1016"/>
    <s v="RIVER SUTLEJ D/S BHAKHRA"/>
    <x v="0"/>
    <n v="16"/>
    <n v="26"/>
    <n v="8.1999999999999993"/>
    <n v="9.3000000000000007"/>
    <n v="6.9"/>
    <n v="8.3000000000000007"/>
    <n v="203"/>
    <n v="354"/>
    <n v="1"/>
    <n v="2.2999999999999998"/>
    <n v="0.32"/>
    <n v="0.93"/>
    <n v="2"/>
    <n v="6"/>
    <n v="13"/>
    <n v="80"/>
    <n v="2"/>
    <n v="2"/>
  </r>
  <r>
    <n v="30087"/>
    <s v="RIVER SUTLEJ U/S AT OLINDA, NEAR BHAKRA DAM, H.P."/>
    <x v="0"/>
    <n v="19"/>
    <n v="23"/>
    <n v="7"/>
    <n v="10.7"/>
    <n v="7.9"/>
    <n v="8.4"/>
    <n v="223"/>
    <n v="273"/>
    <n v="1"/>
    <n v="1"/>
    <n v="0.42"/>
    <n v="2.4700000000000002"/>
    <n v="2"/>
    <n v="2600"/>
    <n v="13"/>
    <n v="54000"/>
    <n v="2"/>
    <n v="17"/>
  </r>
  <r>
    <n v="30088"/>
    <s v="RIVER SUTLEJ D/S OLINDA, NEAR BHAKRA DAM, H.P."/>
    <x v="0"/>
    <n v="18.5"/>
    <n v="23"/>
    <n v="7.1"/>
    <n v="10.4"/>
    <n v="8"/>
    <n v="8.3000000000000007"/>
    <n v="217"/>
    <n v="272"/>
    <n v="1"/>
    <n v="1"/>
    <n v="0.47"/>
    <n v="1.1299999999999999"/>
    <n v="4"/>
    <n v="2200"/>
    <n v="14"/>
    <n v="92000"/>
    <n v="2"/>
    <n v="490"/>
  </r>
  <r>
    <n v="30010"/>
    <s v="RIVER SUTLEJ AT NOORPUR BEDI ROAD (PUNJAB)"/>
    <x v="1"/>
    <n v="19.5"/>
    <n v="24"/>
    <n v="7.1"/>
    <n v="9.8000000000000007"/>
    <n v="7.7"/>
    <n v="8.3000000000000007"/>
    <n v="257"/>
    <n v="333"/>
    <n v="1"/>
    <n v="5"/>
    <n v="0.32"/>
    <n v="1.1000000000000001"/>
    <n v="200"/>
    <n v="13000"/>
    <n v="1700"/>
    <n v="350000"/>
    <n v="130"/>
    <n v="700"/>
  </r>
  <r>
    <n v="1814"/>
    <s v="RIVER SUTLEJ AT D/S KIRATPUR SAHIB, PUNJAB"/>
    <x v="1"/>
    <n v="14"/>
    <n v="28"/>
    <n v="7.2"/>
    <n v="9.4"/>
    <n v="7"/>
    <n v="8.3000000000000007"/>
    <n v="227"/>
    <n v="290"/>
    <n v="1"/>
    <n v="1"/>
    <n v="0.7"/>
    <n v="5.9"/>
    <n v="33"/>
    <n v="250"/>
    <n v="120"/>
    <n v="580"/>
    <m/>
    <m/>
  </r>
  <r>
    <n v="1380"/>
    <s v="RIVER SUTLEJ AT D/S NFL, PUNJAB"/>
    <x v="1"/>
    <n v="16"/>
    <n v="22"/>
    <n v="7"/>
    <n v="12.1"/>
    <n v="7.4"/>
    <n v="8.3000000000000007"/>
    <n v="206"/>
    <n v="274"/>
    <n v="1"/>
    <n v="1"/>
    <n v="0.8"/>
    <n v="3.1"/>
    <n v="17"/>
    <n v="100"/>
    <n v="70"/>
    <n v="330"/>
    <m/>
    <m/>
  </r>
  <r>
    <n v="2915"/>
    <s v="RIVER SUTLEJ AT 100 MT. D/S OF PACL, NANGAL"/>
    <x v="1"/>
    <n v="16"/>
    <n v="22"/>
    <n v="7"/>
    <n v="12.2"/>
    <n v="7.6"/>
    <n v="8.4"/>
    <n v="207"/>
    <n v="275"/>
    <n v="1"/>
    <n v="1"/>
    <n v="0.8"/>
    <n v="3.1"/>
    <n v="20"/>
    <n v="110"/>
    <n v="79"/>
    <n v="330"/>
    <m/>
    <m/>
  </r>
  <r>
    <n v="10020"/>
    <s v="RIVER SUTLEJ AT ANANDPUR SAHIB"/>
    <x v="1"/>
    <n v="15"/>
    <n v="23"/>
    <n v="7.4"/>
    <n v="12.3"/>
    <n v="7.1"/>
    <n v="8.5"/>
    <n v="202"/>
    <n v="298"/>
    <n v="1"/>
    <n v="1"/>
    <n v="0.9"/>
    <n v="6"/>
    <n v="22"/>
    <n v="210"/>
    <n v="110"/>
    <n v="470"/>
    <m/>
    <m/>
  </r>
  <r>
    <n v="10021"/>
    <s v="RIVER SUTLEJ AT BUNGA SAHIB"/>
    <x v="1"/>
    <n v="13"/>
    <n v="28"/>
    <n v="7.5"/>
    <n v="10"/>
    <n v="7"/>
    <n v="8.3000000000000007"/>
    <n v="210"/>
    <n v="302"/>
    <n v="1"/>
    <n v="1"/>
    <n v="0.9"/>
    <n v="2.4"/>
    <n v="38"/>
    <n v="380"/>
    <n v="140"/>
    <n v="840"/>
    <m/>
    <m/>
  </r>
  <r>
    <n v="10022"/>
    <s v="RIVER SUTLEJ AT PHILLAUR U/S"/>
    <x v="1"/>
    <n v="15"/>
    <n v="35"/>
    <n v="4.5999999999999996"/>
    <n v="8.4"/>
    <n v="7.6"/>
    <n v="8.1"/>
    <n v="248"/>
    <n v="574"/>
    <n v="1"/>
    <n v="3"/>
    <n v="0.3"/>
    <n v="1.4"/>
    <n v="200"/>
    <n v="1700"/>
    <n v="700"/>
    <n v="3900"/>
    <m/>
    <m/>
  </r>
  <r>
    <n v="10023"/>
    <s v="RIVER SUTLEJ AT PHAGWARA U/S (CHAHERU BRIDGE)"/>
    <x v="1"/>
    <n v="15"/>
    <n v="35"/>
    <n v="0.3"/>
    <n v="5.8"/>
    <n v="7.2"/>
    <n v="8.1"/>
    <n v="518"/>
    <n v="1144"/>
    <n v="4.5"/>
    <n v="14"/>
    <n v="0.4"/>
    <n v="2.8"/>
    <n v="330"/>
    <n v="2300"/>
    <n v="1400"/>
    <n v="4300"/>
    <m/>
    <m/>
  </r>
  <r>
    <n v="10024"/>
    <s v="RIVER SUTLEJ AT PHAGWARA D/S (KANGANIWAL_x000a_BRIDGE)"/>
    <x v="1"/>
    <n v="15"/>
    <n v="32"/>
    <n v="0.3"/>
    <n v="1.9"/>
    <n v="7.3"/>
    <n v="7.8"/>
    <n v="538"/>
    <n v="1248"/>
    <n v="4.8"/>
    <n v="21"/>
    <n v="0.4"/>
    <n v="2"/>
    <n v="1100"/>
    <n v="110000"/>
    <n v="6300"/>
    <n v="340000"/>
    <m/>
    <m/>
  </r>
  <r>
    <n v="10027"/>
    <s v="RIVER SUTLEJ AT LUDHIANA U/S"/>
    <x v="1"/>
    <n v="10"/>
    <n v="29"/>
    <n v="6.3"/>
    <n v="8.8000000000000007"/>
    <n v="7.6"/>
    <n v="8.3000000000000007"/>
    <n v="257"/>
    <n v="320"/>
    <n v="1"/>
    <n v="1.8"/>
    <n v="0.8"/>
    <n v="3.1"/>
    <n v="130"/>
    <n v="780"/>
    <n v="700"/>
    <n v="2600"/>
    <m/>
    <m/>
  </r>
  <r>
    <n v="10028"/>
    <s v="RIVER SUTLEJ AT LUDHIANA D/S"/>
    <x v="1"/>
    <n v="13"/>
    <n v="30"/>
    <n v="0.3"/>
    <n v="6.6"/>
    <n v="7.2"/>
    <n v="7.9"/>
    <n v="247"/>
    <n v="1245"/>
    <n v="2.2999999999999998"/>
    <n v="75"/>
    <n v="1.4"/>
    <n v="3.8"/>
    <n v="17000"/>
    <n v="1700000"/>
    <n v="54000"/>
    <n v="6300000"/>
    <m/>
    <m/>
  </r>
  <r>
    <n v="1017"/>
    <s v="RIVER SUTLEJ AT 100M U/S OF HEADWORKS, NANGAL"/>
    <x v="1"/>
    <n v="16"/>
    <n v="21"/>
    <n v="6.7"/>
    <n v="9.6"/>
    <n v="7.5"/>
    <n v="8.1"/>
    <n v="196"/>
    <n v="264"/>
    <n v="1"/>
    <n v="1"/>
    <n v="0.4"/>
    <n v="1.8"/>
    <n v="17"/>
    <n v="78"/>
    <n v="68"/>
    <n v="270"/>
    <m/>
    <m/>
  </r>
  <r>
    <n v="1018"/>
    <s v="RIVER SUTLEJ AT 100M D/S , NANGAL"/>
    <x v="1"/>
    <n v="17"/>
    <n v="24"/>
    <n v="7.6"/>
    <n v="11.4"/>
    <n v="7.6"/>
    <n v="8.5"/>
    <n v="200"/>
    <n v="270"/>
    <n v="1"/>
    <n v="1"/>
    <n v="0.8"/>
    <n v="2.2000000000000002"/>
    <n v="20"/>
    <n v="170"/>
    <n v="70"/>
    <n v="390"/>
    <m/>
    <m/>
  </r>
  <r>
    <n v="1293"/>
    <s v="RIVER SUTLEJ AT 1 KM. D/S OF ZENITH, PUNJAB"/>
    <x v="1"/>
    <n v="14"/>
    <n v="29"/>
    <n v="7"/>
    <n v="9.8000000000000007"/>
    <n v="7.3"/>
    <n v="8.5"/>
    <n v="243"/>
    <n v="363"/>
    <n v="1"/>
    <n v="1"/>
    <n v="0.7"/>
    <n v="2.7"/>
    <n v="78"/>
    <n v="700"/>
    <n v="490"/>
    <n v="1700"/>
    <m/>
    <m/>
  </r>
  <r>
    <n v="1019"/>
    <s v="RIVER SUTLEJ AT U/S HEAD WORKS ROPAR"/>
    <x v="1"/>
    <n v="14"/>
    <n v="27"/>
    <n v="6.4"/>
    <n v="9"/>
    <n v="7.5"/>
    <n v="8.1999999999999993"/>
    <n v="240"/>
    <n v="348"/>
    <n v="1"/>
    <n v="1.2"/>
    <n v="1.1000000000000001"/>
    <n v="2.6"/>
    <n v="61"/>
    <n v="460"/>
    <n v="330"/>
    <n v="1300"/>
    <m/>
    <m/>
  </r>
  <r>
    <n v="1690"/>
    <s v="RIVER SUTLEJ AT U/S BUDHA NALLAH (UPPER), PUNJAB"/>
    <x v="1"/>
    <n v="12"/>
    <n v="28"/>
    <n v="6.5"/>
    <n v="8.1"/>
    <n v="7.4"/>
    <n v="8.1999999999999993"/>
    <n v="259"/>
    <n v="394"/>
    <n v="1"/>
    <n v="2.8"/>
    <n v="1.1000000000000001"/>
    <n v="3.3"/>
    <n v="210"/>
    <n v="1300"/>
    <n v="790"/>
    <n v="3900"/>
    <m/>
    <m/>
  </r>
  <r>
    <n v="1020"/>
    <s v="RIVER SUTLEJ AT 100M D/S BUDHA NALA CONFL.,_x000a_LUDHIANA"/>
    <x v="1"/>
    <n v="12"/>
    <n v="30"/>
    <n v="0.3"/>
    <n v="2.1"/>
    <n v="7.2"/>
    <n v="7.8"/>
    <n v="505"/>
    <n v="1250"/>
    <n v="17"/>
    <n v="105"/>
    <n v="1.1000000000000001"/>
    <n v="8"/>
    <n v="79000"/>
    <n v="2200000"/>
    <n v="220000"/>
    <n v="7900000"/>
    <m/>
    <m/>
  </r>
  <r>
    <n v="1022"/>
    <s v="RIVER SUTLEJ AT BRIDGE HARIKE, AMRITSAR"/>
    <x v="1"/>
    <n v="11"/>
    <n v="30"/>
    <n v="4.2"/>
    <n v="7.5"/>
    <n v="7.2"/>
    <n v="7.9"/>
    <n v="271"/>
    <n v="442"/>
    <n v="1"/>
    <n v="3.6"/>
    <n v="1.1000000000000001"/>
    <n v="3.2"/>
    <n v="270"/>
    <n v="2200"/>
    <n v="700"/>
    <n v="5400"/>
    <m/>
    <m/>
  </r>
  <r>
    <n v="10025"/>
    <s v="RIVER SUTLEJ AT JALANDHAR U/S (PEERU SHAH KA_x000a_DARGAH)"/>
    <x v="1"/>
    <n v="15"/>
    <n v="34"/>
    <n v="0.3"/>
    <n v="0.3"/>
    <n v="6.9"/>
    <n v="7.8"/>
    <n v="937"/>
    <n v="1165"/>
    <n v="42"/>
    <n v="100"/>
    <n v="1.1000000000000001"/>
    <n v="2.8"/>
    <n v="63000"/>
    <n v="490000"/>
    <n v="220000"/>
    <n v="790000"/>
    <m/>
    <m/>
  </r>
  <r>
    <n v="10026"/>
    <s v="RIVER SUTLEJ AT JALANDHAR D/S (MALSIAN BRIDGE)"/>
    <x v="1"/>
    <n v="16"/>
    <n v="31"/>
    <n v="0.3"/>
    <n v="0.3"/>
    <n v="6.7"/>
    <n v="7.7"/>
    <n v="849"/>
    <n v="1309"/>
    <n v="35"/>
    <n v="79"/>
    <n v="0.82"/>
    <n v="5"/>
    <n v="63000"/>
    <n v="460000"/>
    <n v="210000"/>
    <n v="700000"/>
    <m/>
    <m/>
  </r>
  <r>
    <n v="1021"/>
    <s v="RIVER SUTLEJ AT BOAT BDG. DHARMKOTNAKODAR_x000a_ROAD, JALANDHAR"/>
    <x v="1"/>
    <n v="11"/>
    <n v="28"/>
    <n v="0.3"/>
    <n v="7.6"/>
    <n v="7.1"/>
    <n v="7.8"/>
    <n v="305"/>
    <n v="733"/>
    <n v="2.2000000000000002"/>
    <n v="41"/>
    <n v="1.3"/>
    <n v="4.5999999999999996"/>
    <n v="4900"/>
    <n v="1200000"/>
    <n v="17000"/>
    <n v="2800000"/>
    <m/>
    <m/>
  </r>
  <r>
    <n v="1381"/>
    <s v="RIVER SUTLEJ AT D/S EAST BEIN, PUNJAB"/>
    <x v="1"/>
    <n v="12"/>
    <n v="29"/>
    <n v="0.3"/>
    <n v="7.8"/>
    <n v="7.1"/>
    <n v="7.8"/>
    <n v="300"/>
    <n v="808"/>
    <n v="2"/>
    <n v="50"/>
    <n v="1.7"/>
    <n v="6.3"/>
    <n v="7900"/>
    <n v="1700000"/>
    <n v="17000"/>
    <n v="3500000"/>
    <m/>
    <m/>
  </r>
  <r>
    <n v="1691"/>
    <s v="RIVER SUTLEJ AT U/S HUSSANIWALA - H/W FEROZEPUR,_x000a_PUNJAB"/>
    <x v="1"/>
    <n v="12"/>
    <n v="30"/>
    <n v="4.8"/>
    <n v="9.1"/>
    <n v="7"/>
    <n v="8.1"/>
    <n v="248"/>
    <n v="422"/>
    <n v="1"/>
    <n v="2"/>
    <n v="1.1000000000000001"/>
    <n v="2.6"/>
    <n v="110"/>
    <n v="780"/>
    <n v="540"/>
    <n v="2600"/>
    <m/>
    <m/>
  </r>
  <r>
    <n v="1692"/>
    <s v="RIVER SUTLEJ AT D/S HUSSANIWALA-H/W FEROZEPUR,_x000a_PUNJAB"/>
    <x v="1"/>
    <n v="12"/>
    <n v="30"/>
    <n v="4.7"/>
    <n v="8.9"/>
    <n v="6.9"/>
    <n v="8"/>
    <n v="251"/>
    <n v="420"/>
    <n v="1"/>
    <n v="2.4"/>
    <n v="1.2"/>
    <n v="2.8"/>
    <n v="170"/>
    <n v="1100"/>
    <n v="540"/>
    <n v="2700"/>
    <m/>
    <m/>
  </r>
  <r>
    <n v="4059"/>
    <s v="RIVER RAVI AT RANJIT SAGAR DAM, AT PANAGAR_x000a_(BASOHIL)"/>
    <x v="2"/>
    <n v="12"/>
    <n v="26"/>
    <n v="7.4"/>
    <n v="7.5"/>
    <n v="7.5"/>
    <n v="8.1999999999999993"/>
    <n v="109"/>
    <n v="230"/>
    <n v="1"/>
    <n v="1"/>
    <n v="0"/>
    <n v="0"/>
    <m/>
    <m/>
    <m/>
    <m/>
    <m/>
    <m/>
  </r>
  <r>
    <n v="4060"/>
    <s v="RIVER RAVI AT DAM-SITE AT THEIN"/>
    <x v="2"/>
    <n v="12"/>
    <n v="26"/>
    <n v="7.4"/>
    <n v="7.4"/>
    <n v="7.4"/>
    <n v="8.1999999999999993"/>
    <n v="107"/>
    <n v="185"/>
    <n v="1"/>
    <n v="1"/>
    <n v="0"/>
    <n v="0"/>
    <m/>
    <m/>
    <m/>
    <m/>
    <m/>
    <m/>
  </r>
  <r>
    <n v="4061"/>
    <s v="RIVER RAVI AT LAKHANPUR, 1 KM D/S FROM_x000a_MADHOPUR BRIDGE"/>
    <x v="2"/>
    <n v="12"/>
    <n v="26"/>
    <n v="6.3"/>
    <n v="6.5"/>
    <n v="7.6"/>
    <n v="8.6"/>
    <n v="108"/>
    <n v="560"/>
    <n v="1"/>
    <n v="1.3"/>
    <n v="0"/>
    <n v="0"/>
    <m/>
    <m/>
    <m/>
    <m/>
    <m/>
    <m/>
  </r>
  <r>
    <n v="1089"/>
    <s v="RIVER RAVI U/S CHAMBA"/>
    <x v="0"/>
    <n v="10"/>
    <n v="18"/>
    <n v="8.6999999999999993"/>
    <n v="9.1"/>
    <n v="7.5"/>
    <n v="8.4"/>
    <n v="141"/>
    <n v="276"/>
    <n v="1"/>
    <n v="1"/>
    <n v="0.3"/>
    <n v="6.43"/>
    <n v="2"/>
    <n v="68"/>
    <n v="21"/>
    <n v="16000"/>
    <n v="2"/>
    <n v="2"/>
  </r>
  <r>
    <n v="1088"/>
    <s v="RIVER RAVI AT U/S MADHOPUR"/>
    <x v="0"/>
    <n v="9"/>
    <n v="22"/>
    <n v="8.1"/>
    <n v="9"/>
    <n v="7.4"/>
    <n v="8.1999999999999993"/>
    <n v="164"/>
    <n v="467"/>
    <n v="1"/>
    <n v="1"/>
    <n v="0.3"/>
    <n v="4.58"/>
    <n v="2"/>
    <n v="20"/>
    <n v="130"/>
    <n v="1400"/>
    <n v="2"/>
    <n v="2"/>
  </r>
  <r>
    <n v="2614"/>
    <s v="RIVER RAVI CHAMERA-I RESERVOIR"/>
    <x v="0"/>
    <n v="11"/>
    <n v="17.5"/>
    <n v="8.5"/>
    <n v="9.1999999999999993"/>
    <n v="6.9"/>
    <n v="8.1999999999999993"/>
    <n v="158"/>
    <n v="286"/>
    <n v="1"/>
    <n v="1"/>
    <n v="0.31"/>
    <n v="2.1800000000000002"/>
    <n v="2"/>
    <n v="27"/>
    <n v="110"/>
    <n v="5400"/>
    <n v="2"/>
    <n v="2"/>
  </r>
  <r>
    <n v="2615"/>
    <s v="RIVER RAVI D/S CHAMERA- III HEP DAM"/>
    <x v="0"/>
    <n v="9"/>
    <n v="17"/>
    <n v="8.9"/>
    <n v="9.1999999999999993"/>
    <n v="7.1"/>
    <n v="8.3000000000000007"/>
    <n v="136"/>
    <n v="274"/>
    <n v="1"/>
    <n v="1"/>
    <n v="0.41"/>
    <n v="3.61"/>
    <n v="2"/>
    <n v="40"/>
    <n v="27"/>
    <n v="3500"/>
    <n v="2"/>
    <n v="2"/>
  </r>
  <r>
    <n v="2613"/>
    <s v="RIVER RAVI AT D/S OF CHAMBA TOWN"/>
    <x v="0"/>
    <n v="10"/>
    <n v="17"/>
    <n v="8"/>
    <n v="9"/>
    <n v="7.5"/>
    <n v="8.1"/>
    <n v="130"/>
    <n v="266"/>
    <n v="1"/>
    <n v="1"/>
    <n v="0.3"/>
    <n v="3.23"/>
    <n v="2"/>
    <n v="78"/>
    <n v="26"/>
    <n v="16000"/>
    <n v="2"/>
    <n v="2"/>
  </r>
  <r>
    <n v="3873"/>
    <s v="RIVER RAVI U/S STP AT BHARGA"/>
    <x v="0"/>
    <n v="10"/>
    <n v="17.5"/>
    <n v="8.8000000000000007"/>
    <n v="9.1"/>
    <n v="7.5"/>
    <n v="8.4"/>
    <n v="142"/>
    <n v="281"/>
    <n v="1"/>
    <n v="1"/>
    <n v="0.59"/>
    <n v="4.71"/>
    <n v="2"/>
    <n v="40"/>
    <n v="21"/>
    <n v="9200"/>
    <n v="2"/>
    <n v="2"/>
  </r>
  <r>
    <n v="3874"/>
    <s v="RIVER RAVI D/S STP AT BHAGOT"/>
    <x v="0"/>
    <n v="10"/>
    <n v="18.5"/>
    <n v="8.3000000000000007"/>
    <n v="9"/>
    <n v="7.5"/>
    <n v="8.3000000000000007"/>
    <n v="140"/>
    <n v="264"/>
    <n v="1"/>
    <n v="1"/>
    <n v="0.3"/>
    <n v="3.06"/>
    <n v="2"/>
    <n v="110"/>
    <n v="32"/>
    <n v="9200"/>
    <n v="2"/>
    <n v="2"/>
  </r>
  <r>
    <n v="30089"/>
    <s v="RIVER RAVI AT LAKHANPUR,"/>
    <x v="2"/>
    <n v="19"/>
    <n v="31"/>
    <n v="8.6999999999999993"/>
    <n v="10.8"/>
    <n v="8"/>
    <n v="8.6999999999999993"/>
    <n v="175"/>
    <n v="351"/>
    <n v="1"/>
    <n v="3"/>
    <n v="0.32"/>
    <n v="0.83"/>
    <n v="2200"/>
    <n v="24000000"/>
    <n v="7000"/>
    <n v="160000000"/>
    <n v="11"/>
    <n v="540000"/>
  </r>
  <r>
    <n v="30085"/>
    <s v="RIVER RAVI AT MADHOPUR"/>
    <x v="1"/>
    <n v="18"/>
    <n v="24"/>
    <n v="9"/>
    <n v="10"/>
    <n v="7.9"/>
    <n v="8.4"/>
    <n v="172"/>
    <n v="237"/>
    <n v="1"/>
    <n v="1.3"/>
    <n v="0.39"/>
    <n v="1.79"/>
    <n v="37"/>
    <n v="28000"/>
    <n v="400"/>
    <n v="28000"/>
    <n v="13"/>
    <n v="790"/>
  </r>
  <r>
    <n v="1097"/>
    <s v="RIVER RAVI AT U/S OF MADHOPUR HEADWORKS,_x000a_GURDASPUR, PUNJAB"/>
    <x v="1"/>
    <n v="11"/>
    <n v="34"/>
    <n v="8.1"/>
    <n v="10.199999999999999"/>
    <n v="7.5"/>
    <n v="8.1999999999999993"/>
    <n v="152"/>
    <n v="207"/>
    <n v="1"/>
    <n v="1.1000000000000001"/>
    <n v="0.4"/>
    <n v="1.2"/>
    <n v="18"/>
    <n v="40"/>
    <n v="70"/>
    <n v="140"/>
    <m/>
    <m/>
  </r>
  <r>
    <n v="1290"/>
    <s v="RIVER PARVATI BEFORE CONF. TO RIVER BEAS AT_x000a_BHUNTER"/>
    <x v="0"/>
    <n v="4"/>
    <n v="16"/>
    <n v="7"/>
    <n v="8.6"/>
    <n v="6.5"/>
    <n v="8.1"/>
    <n v="42"/>
    <n v="100"/>
    <n v="1"/>
    <n v="1"/>
    <n v="0.32"/>
    <n v="0.85"/>
    <n v="43"/>
    <n v="170"/>
    <n v="220"/>
    <n v="920"/>
    <n v="2"/>
    <n v="2"/>
  </r>
  <r>
    <n v="1090"/>
    <s v="RIVER SAINJ D/S LARJI"/>
    <x v="0"/>
    <n v="6"/>
    <n v="15"/>
    <n v="7.4"/>
    <n v="8.1999999999999993"/>
    <n v="7"/>
    <n v="8"/>
    <n v="60"/>
    <n v="145"/>
    <n v="1"/>
    <n v="1"/>
    <n v="0.32"/>
    <n v="0.84"/>
    <n v="22"/>
    <n v="110"/>
    <n v="94"/>
    <n v="920"/>
    <n v="2"/>
    <n v="2"/>
  </r>
  <r>
    <n v="2605"/>
    <s v="RIVER PARVATI AT U/S MANIKARAN"/>
    <x v="0"/>
    <n v="3"/>
    <n v="15"/>
    <n v="7.2"/>
    <n v="8.8000000000000007"/>
    <n v="6.8"/>
    <n v="8.3000000000000007"/>
    <n v="40"/>
    <n v="94"/>
    <n v="1"/>
    <n v="1"/>
    <n v="0.32"/>
    <n v="1.06"/>
    <n v="17"/>
    <n v="47"/>
    <n v="63"/>
    <n v="220"/>
    <n v="2"/>
    <n v="2"/>
  </r>
  <r>
    <n v="2606"/>
    <s v="RIVER PARVATI AT D/S MANIKARAN"/>
    <x v="0"/>
    <n v="3"/>
    <n v="16"/>
    <n v="7.1"/>
    <n v="8.6999999999999993"/>
    <n v="6.8"/>
    <n v="8"/>
    <n v="42"/>
    <n v="100"/>
    <n v="1"/>
    <n v="1"/>
    <n v="0.32"/>
    <n v="1.23"/>
    <n v="22"/>
    <n v="94"/>
    <n v="70"/>
    <n v="350"/>
    <n v="2"/>
    <n v="2"/>
  </r>
  <r>
    <n v="1551"/>
    <s v="RIVER SIRSA U/S SITOMAJRI NALLAH"/>
    <x v="0"/>
    <n v="12"/>
    <n v="23"/>
    <n v="5.8"/>
    <n v="7.1"/>
    <n v="7.4"/>
    <n v="8.1999999999999993"/>
    <n v="331"/>
    <n v="766"/>
    <n v="1"/>
    <n v="7.2"/>
    <n v="1.73"/>
    <n v="15.8"/>
    <n v="2"/>
    <n v="920"/>
    <n v="26"/>
    <n v="1600"/>
    <n v="2"/>
    <n v="2"/>
  </r>
  <r>
    <n v="1552"/>
    <s v="RIVER SIRSA D/S NALAGARH BRIDGE"/>
    <x v="0"/>
    <n v="12"/>
    <n v="26"/>
    <n v="5.5"/>
    <n v="7.1"/>
    <n v="7.3"/>
    <n v="8.1"/>
    <n v="408"/>
    <n v="1436"/>
    <n v="1"/>
    <n v="6"/>
    <n v="2.62"/>
    <n v="15.54"/>
    <n v="4"/>
    <n v="920"/>
    <n v="21"/>
    <n v="1600"/>
    <n v="2"/>
    <n v="2"/>
  </r>
  <r>
    <n v="1868"/>
    <s v="RIVER SIRSA D/S NALAGARH TOWN"/>
    <x v="0"/>
    <n v="11"/>
    <n v="26"/>
    <n v="3.4"/>
    <n v="7.1"/>
    <n v="7.1"/>
    <n v="8.1"/>
    <n v="403"/>
    <n v="1611"/>
    <n v="1"/>
    <n v="3.9"/>
    <n v="3.05"/>
    <n v="15.31"/>
    <n v="2"/>
    <n v="540"/>
    <n v="26"/>
    <n v="1600"/>
    <n v="2"/>
    <n v="2"/>
  </r>
  <r>
    <n v="4485"/>
    <s v="RIVER SIRSA U/S SANDHOLI NALLAH"/>
    <x v="0"/>
    <n v="11"/>
    <n v="24"/>
    <n v="6"/>
    <n v="7.1"/>
    <n v="7.5"/>
    <n v="8.1999999999999993"/>
    <n v="329"/>
    <n v="768"/>
    <n v="1"/>
    <n v="3.8"/>
    <n v="1.86"/>
    <n v="11.86"/>
    <n v="4"/>
    <n v="46"/>
    <n v="34"/>
    <n v="920"/>
    <n v="2"/>
    <n v="2"/>
  </r>
  <r>
    <n v="4486"/>
    <s v="RIVER BALD D/S LANDFILLSITE AT BADDI"/>
    <x v="0"/>
    <n v="12"/>
    <n v="24"/>
    <n v="4"/>
    <n v="7.6"/>
    <n v="7.2"/>
    <n v="8.1"/>
    <n v="302"/>
    <n v="1754"/>
    <n v="1"/>
    <n v="24"/>
    <n v="1.4"/>
    <n v="9.23"/>
    <n v="2"/>
    <n v="1600"/>
    <n v="12"/>
    <n v="1600"/>
    <n v="2"/>
    <n v="2"/>
  </r>
  <r>
    <n v="4487"/>
    <s v="RIVER SIRSA D/S HOUSING BOARD NALLAH"/>
    <x v="0"/>
    <n v="11"/>
    <n v="25"/>
    <n v="3"/>
    <n v="6.9"/>
    <n v="7.6"/>
    <n v="8.1999999999999993"/>
    <n v="360"/>
    <n v="1913"/>
    <n v="1"/>
    <n v="16"/>
    <n v="1.48"/>
    <n v="14.24"/>
    <n v="7"/>
    <n v="1600"/>
    <n v="39"/>
    <n v="1600"/>
    <n v="2"/>
    <n v="9"/>
  </r>
  <r>
    <n v="4489"/>
    <s v="RIVER SIRSA AFTER CONF. TO RIVER RATTA"/>
    <x v="0"/>
    <n v="12"/>
    <n v="24"/>
    <n v="5.2"/>
    <n v="7.1"/>
    <n v="7.7"/>
    <n v="8.3000000000000007"/>
    <n v="418"/>
    <n v="1385"/>
    <n v="1"/>
    <n v="5.6"/>
    <n v="1.93"/>
    <n v="12.83"/>
    <n v="4"/>
    <n v="540"/>
    <n v="33"/>
    <n v="1600"/>
    <n v="2"/>
    <n v="2"/>
  </r>
  <r>
    <n v="30012"/>
    <s v="RIVER SARSA AT BADDI , ,GHANOLI VILLAGE) PUNJAB"/>
    <x v="1"/>
    <n v="19"/>
    <n v="27"/>
    <n v="6"/>
    <n v="6.8"/>
    <n v="7.6"/>
    <n v="8.1"/>
    <n v="330"/>
    <n v="1269"/>
    <n v="3"/>
    <n v="45"/>
    <n v="1.27"/>
    <n v="5.52"/>
    <n v="3400"/>
    <n v="490000"/>
    <n v="28000"/>
    <n v="1600000"/>
    <n v="1700"/>
    <n v="4900"/>
  </r>
  <r>
    <n v="4161"/>
    <s v="RIVER CONFLUENCE POINT OF SARSA NADI WITH_x000a_SUTLEJ, NR VILL ASPUR, ROOPNAGAR"/>
    <x v="1"/>
    <n v="12"/>
    <n v="29"/>
    <n v="6.5"/>
    <n v="12.2"/>
    <n v="7.2"/>
    <n v="8.3000000000000007"/>
    <n v="262"/>
    <n v="554"/>
    <n v="1"/>
    <n v="1.2"/>
    <n v="0.9"/>
    <n v="4.7"/>
    <n v="78"/>
    <n v="460"/>
    <n v="210"/>
    <n v="1100"/>
    <m/>
    <m/>
  </r>
  <r>
    <n v="2616"/>
    <s v="RIVER BAIRA SIUL D/S SURGANI"/>
    <x v="0"/>
    <n v="10"/>
    <n v="16"/>
    <n v="8.6999999999999993"/>
    <n v="9.1999999999999993"/>
    <n v="6.7"/>
    <n v="8.1"/>
    <n v="64"/>
    <n v="283"/>
    <n v="1"/>
    <n v="1"/>
    <n v="0.37"/>
    <n v="3.32"/>
    <n v="2"/>
    <n v="14"/>
    <n v="70"/>
    <n v="1700"/>
    <n v="2"/>
    <n v="2"/>
  </r>
  <r>
    <n v="2607"/>
    <s v="SUKETI KHAD BEFORE CONF. WITH RIVER BEAS"/>
    <x v="0"/>
    <n v="10"/>
    <n v="27"/>
    <n v="8"/>
    <n v="8.9"/>
    <n v="7.1"/>
    <n v="8.3000000000000007"/>
    <n v="210"/>
    <n v="385"/>
    <n v="1"/>
    <n v="2"/>
    <n v="0.32"/>
    <n v="3.22"/>
    <n v="63"/>
    <n v="1600"/>
    <n v="350"/>
    <n v="1600"/>
    <n v="2"/>
    <n v="2"/>
  </r>
  <r>
    <n v="2608"/>
    <s v="RIVER BINWA AT D/S PAPROLA/BAIJNATH"/>
    <x v="0"/>
    <n v="15"/>
    <n v="20"/>
    <n v="8.6"/>
    <n v="9.1999999999999993"/>
    <n v="7.3"/>
    <n v="8.1999999999999993"/>
    <n v="57"/>
    <n v="294"/>
    <n v="1"/>
    <n v="1"/>
    <n v="0.59"/>
    <n v="3.1"/>
    <n v="2"/>
    <n v="40"/>
    <n v="49"/>
    <n v="9200"/>
    <n v="2"/>
    <n v="2"/>
  </r>
  <r>
    <n v="2609"/>
    <s v="NEUGAL KHAD D/S THURAL"/>
    <x v="0"/>
    <n v="12"/>
    <n v="22"/>
    <n v="8.5"/>
    <n v="9.1"/>
    <n v="7.1"/>
    <n v="8.5"/>
    <n v="88"/>
    <n v="283"/>
    <n v="1"/>
    <n v="1"/>
    <n v="0.95"/>
    <n v="4.18"/>
    <n v="2"/>
    <n v="45"/>
    <n v="70"/>
    <n v="16000"/>
    <n v="2"/>
    <n v="2"/>
  </r>
  <r>
    <n v="2610"/>
    <s v="RIVER SPITI BEFORE CONF.WITH RIVER SUTLEJ AT_x000a_KHAB"/>
    <x v="0"/>
    <n v="7"/>
    <n v="11.5"/>
    <n v="9.1999999999999993"/>
    <n v="9.6999999999999993"/>
    <n v="7.6"/>
    <n v="8.4"/>
    <n v="129"/>
    <n v="509"/>
    <n v="1"/>
    <n v="1"/>
    <n v="0.32"/>
    <n v="0.82"/>
    <n v="2"/>
    <n v="70"/>
    <n v="2"/>
    <n v="280"/>
    <n v="2"/>
    <n v="2"/>
  </r>
  <r>
    <n v="2612"/>
    <s v="RIVER BASPA U/S RESERVOIR BASPA HEP AT KUPPA"/>
    <x v="0"/>
    <n v="7"/>
    <n v="12"/>
    <n v="9.3000000000000007"/>
    <n v="9.8000000000000007"/>
    <n v="7.5"/>
    <n v="8.4"/>
    <n v="104"/>
    <n v="304"/>
    <n v="1"/>
    <n v="1"/>
    <n v="0.32"/>
    <n v="1.45"/>
    <n v="2"/>
    <n v="39"/>
    <n v="9"/>
    <n v="280"/>
    <n v="2"/>
    <n v="2"/>
  </r>
  <r>
    <n v="5767"/>
    <s v="RIVER ANDHRA B/C TO RIVER PABBAR AT CHIRGAON"/>
    <x v="0"/>
    <n v="6"/>
    <n v="10.4"/>
    <n v="7.6"/>
    <n v="8.6999999999999993"/>
    <n v="7"/>
    <n v="8.4"/>
    <n v="42"/>
    <n v="136"/>
    <n v="1"/>
    <n v="1"/>
    <n v="0.32"/>
    <n v="0.66"/>
    <n v="2"/>
    <n v="20"/>
    <n v="2"/>
    <n v="280"/>
    <n v="2"/>
    <n v="2"/>
  </r>
  <r>
    <n v="5769"/>
    <s v="BANOI KHAD AT KALAPUL ON CANT ROAD_x000a_DHARAMSHALA"/>
    <x v="0"/>
    <n v="12"/>
    <n v="19"/>
    <n v="9"/>
    <n v="9.1"/>
    <n v="7.5"/>
    <n v="8.1999999999999993"/>
    <n v="79"/>
    <n v="213"/>
    <n v="1"/>
    <n v="1"/>
    <n v="0.69"/>
    <n v="3.12"/>
    <n v="2"/>
    <n v="93"/>
    <n v="26"/>
    <n v="5400"/>
    <n v="2"/>
    <n v="2"/>
  </r>
  <r>
    <n v="2755"/>
    <s v="RIVER BANGANGA (BATHING GHAT), KATRA,"/>
    <x v="2"/>
    <n v="11"/>
    <n v="22"/>
    <n v="2.6"/>
    <n v="7.8"/>
    <n v="8.1"/>
    <n v="8.8000000000000007"/>
    <n v="280"/>
    <n v="487"/>
    <n v="1"/>
    <n v="2.7"/>
    <n v="0"/>
    <n v="0.77"/>
    <m/>
    <m/>
    <n v="500"/>
    <n v="3000"/>
    <m/>
    <m/>
  </r>
  <r>
    <n v="2756"/>
    <s v="RIVER BANGANGA (IN FRONT OF PONY SHED NEAR_x000a_REASI BRIDGE)KATRA"/>
    <x v="2"/>
    <n v="11"/>
    <n v="22"/>
    <n v="2.4"/>
    <n v="6.2"/>
    <n v="8"/>
    <n v="8.5"/>
    <n v="264"/>
    <n v="589"/>
    <n v="1.3"/>
    <n v="3"/>
    <n v="0"/>
    <n v="1.1000000000000001"/>
    <m/>
    <m/>
    <n v="700"/>
    <n v="3000"/>
    <m/>
    <m/>
  </r>
  <r>
    <n v="2752"/>
    <s v="RIVER BASANTER U/S (R.H.S) SAMBA (BELOW NH-1A_x000a_BRIDGE),"/>
    <x v="2"/>
    <n v="7.8"/>
    <n v="24"/>
    <n v="4.7"/>
    <n v="7.2"/>
    <n v="7.3"/>
    <n v="8"/>
    <n v="234"/>
    <n v="386"/>
    <n v="1"/>
    <n v="2.2999999999999998"/>
    <n v="0"/>
    <n v="0.32"/>
    <m/>
    <m/>
    <n v="700"/>
    <n v="700"/>
    <m/>
    <m/>
  </r>
  <r>
    <n v="2753"/>
    <s v="RIVER BASANTER D/S(R.H.S.) SAMBA (AT CHAK MANGA_x000a_GUJJAR"/>
    <x v="2"/>
    <n v="14"/>
    <n v="26"/>
    <n v="3.1"/>
    <n v="6.5"/>
    <n v="7.5"/>
    <n v="8.1999999999999993"/>
    <n v="224"/>
    <n v="446"/>
    <n v="1"/>
    <n v="3.7"/>
    <n v="0"/>
    <n v="0.79"/>
    <m/>
    <m/>
    <n v="600"/>
    <n v="1000"/>
    <m/>
    <m/>
  </r>
  <r>
    <n v="2747"/>
    <s v="RIVER TAWI AT SURAJPUR CHATHA(10 KM D/S TAWI_x000a_BRIDGE)BELOW BRIDGE NEAR CHATHA MSW DUMPING_x000a_SITE, J&amp;K"/>
    <x v="2"/>
    <n v="17"/>
    <n v="26"/>
    <n v="6.7"/>
    <n v="7.2"/>
    <n v="7.6"/>
    <n v="8.4"/>
    <n v="160"/>
    <n v="324"/>
    <n v="1"/>
    <n v="1"/>
    <n v="0"/>
    <n v="0.32"/>
    <m/>
    <m/>
    <n v="600"/>
    <n v="1300"/>
    <m/>
    <m/>
  </r>
  <r>
    <n v="2748"/>
    <s v="RIVER CHENAB AT L.H.S.(BELOW BRIDGE CHENAB)"/>
    <x v="2"/>
    <n v="9"/>
    <n v="16"/>
    <n v="7.2"/>
    <n v="7.6"/>
    <n v="7.1"/>
    <n v="7.5"/>
    <n v="110"/>
    <n v="224"/>
    <n v="1"/>
    <n v="1.1000000000000001"/>
    <n v="0"/>
    <n v="0.32"/>
    <m/>
    <m/>
    <m/>
    <m/>
    <m/>
    <m/>
  </r>
  <r>
    <n v="2749"/>
    <s v="RIVER CHENAB AT BLIND CURVE SHAMSHAN GHAT (1.5_x000a_KM U/S FROM SPOT)"/>
    <x v="2"/>
    <n v="9"/>
    <n v="16"/>
    <n v="7.2"/>
    <n v="7.6"/>
    <n v="7.2"/>
    <n v="7.5"/>
    <n v="110"/>
    <n v="206"/>
    <n v="1"/>
    <n v="1.1000000000000001"/>
    <n v="0"/>
    <n v="0.32"/>
    <m/>
    <m/>
    <m/>
    <m/>
    <m/>
    <m/>
  </r>
  <r>
    <n v="2750"/>
    <s v="RIVER CHENAB AT CHADRA GAON VIEW POINT(4 KM U/S_x000a_FROM SPOT)"/>
    <x v="2"/>
    <n v="9"/>
    <n v="16"/>
    <n v="7.3"/>
    <n v="7.5"/>
    <n v="7.2"/>
    <n v="7.5"/>
    <n v="110"/>
    <n v="204"/>
    <n v="1"/>
    <n v="1.1000000000000001"/>
    <n v="0"/>
    <n v="0.32"/>
    <m/>
    <m/>
    <m/>
    <m/>
    <m/>
    <m/>
  </r>
  <r>
    <n v="2751"/>
    <s v="RIVER CHENAB AT JAL PATAN MANDIR AFTER MEETING_x000a_WITH MAIN DRAIN OF AKHNOOR CITY(1.5 KMD/S FROM_x000a_SPOT)"/>
    <x v="2"/>
    <n v="9"/>
    <n v="16"/>
    <n v="6.8"/>
    <n v="7"/>
    <n v="7.3"/>
    <n v="7.9"/>
    <n v="114"/>
    <n v="227"/>
    <n v="1.1000000000000001"/>
    <n v="1.6"/>
    <n v="0"/>
    <n v="1.19"/>
    <m/>
    <m/>
    <n v="600"/>
    <n v="1000"/>
    <m/>
    <m/>
  </r>
  <r>
    <n v="2754"/>
    <s v="RIVER DEVAK UDHAMPUR(NEAR SHIV MANDIR_x000a_D/S)L.H.S."/>
    <x v="2"/>
    <n v="16"/>
    <n v="26"/>
    <n v="3.1"/>
    <n v="5.3"/>
    <n v="7.9"/>
    <n v="8.1999999999999993"/>
    <n v="312"/>
    <n v="627"/>
    <n v="2.2999999999999998"/>
    <n v="4.4000000000000004"/>
    <n v="0"/>
    <n v="4.32"/>
    <m/>
    <m/>
    <n v="800"/>
    <n v="2000"/>
    <m/>
    <m/>
  </r>
  <r>
    <n v="2757"/>
    <s v="RIVER DEVAK AT UTTERBEHNI"/>
    <x v="2"/>
    <n v="17"/>
    <n v="22"/>
    <n v="6.4"/>
    <n v="7.3"/>
    <n v="7.6"/>
    <n v="8.6"/>
    <n v="164"/>
    <n v="314"/>
    <n v="1"/>
    <n v="1"/>
    <n v="0"/>
    <n v="0.32"/>
    <m/>
    <m/>
    <m/>
    <m/>
    <m/>
    <m/>
  </r>
  <r>
    <n v="4058"/>
    <s v="RIVER DEVAK AT PURMANDAL, NEAR TEMPLE"/>
    <x v="2"/>
    <n v="17"/>
    <n v="24"/>
    <n v="5"/>
    <n v="7.3"/>
    <n v="8.3000000000000007"/>
    <n v="8.6999999999999993"/>
    <n v="412"/>
    <n v="589"/>
    <n v="1"/>
    <n v="1.3"/>
    <n v="0"/>
    <n v="0.32"/>
    <m/>
    <m/>
    <m/>
    <m/>
    <m/>
    <m/>
  </r>
  <r>
    <n v="4062"/>
    <s v="RIVER DEVAK 2 KM D/S FROM SHIV MANDIR AT_x000a_UDHAMPUR,"/>
    <x v="2"/>
    <n v="16"/>
    <n v="26"/>
    <n v="5.8"/>
    <n v="7.8"/>
    <n v="7.6"/>
    <n v="8.3000000000000007"/>
    <n v="300"/>
    <n v="542"/>
    <n v="1"/>
    <n v="1.9"/>
    <n v="0"/>
    <n v="1.55"/>
    <m/>
    <m/>
    <n v="700"/>
    <n v="3000"/>
    <m/>
    <m/>
  </r>
  <r>
    <n v="4063"/>
    <s v="RIVER DEVAK ABOUT 10 KM D/S FROM SHIV MANDIR,_x000a_BELOW RAILWAY BRIDGE, UDHAMPUR"/>
    <x v="2"/>
    <n v="16"/>
    <n v="26"/>
    <n v="5.6"/>
    <n v="8"/>
    <n v="7.3"/>
    <n v="8.5"/>
    <n v="286"/>
    <n v="420"/>
    <n v="1"/>
    <n v="2"/>
    <n v="0"/>
    <n v="0.32"/>
    <m/>
    <m/>
    <n v="700"/>
    <n v="2000"/>
    <m/>
    <m/>
  </r>
  <r>
    <n v="4081"/>
    <s v="SURAN RIVER BELOW SHER-E-KASHMIR BRIDGE AT_x000a_POONCH"/>
    <x v="2"/>
    <n v="17"/>
    <n v="24"/>
    <n v="7.4"/>
    <n v="7.6"/>
    <n v="7.5"/>
    <n v="7.6"/>
    <n v="110"/>
    <n v="165"/>
    <n v="1"/>
    <n v="1"/>
    <n v="0.32"/>
    <n v="0.32"/>
    <m/>
    <m/>
    <m/>
    <m/>
    <m/>
    <m/>
  </r>
  <r>
    <n v="3277"/>
    <s v="RIVER JHELUM AT BARAMULLA D/S"/>
    <x v="2"/>
    <n v="5.5"/>
    <n v="23"/>
    <n v="5.8"/>
    <n v="9.8000000000000007"/>
    <n v="7.4"/>
    <n v="8.1999999999999993"/>
    <n v="160"/>
    <n v="325"/>
    <n v="2.5"/>
    <n v="3.8"/>
    <n v="0"/>
    <n v="0"/>
    <m/>
    <m/>
    <m/>
    <m/>
    <m/>
    <m/>
  </r>
  <r>
    <n v="1410"/>
    <s v="RIVER JHELAM AT DALAGATE (INLET), SRINAGAR"/>
    <x v="2"/>
    <n v="6.1"/>
    <n v="25.1"/>
    <n v="4.5999999999999996"/>
    <n v="8.9"/>
    <n v="7.3"/>
    <n v="8"/>
    <n v="155"/>
    <n v="366"/>
    <n v="1.9"/>
    <n v="5.9"/>
    <n v="0"/>
    <n v="0"/>
    <m/>
    <m/>
    <m/>
    <m/>
    <m/>
    <m/>
  </r>
  <r>
    <n v="1411"/>
    <s v="RIVER JHELAM AT CHATTABAL WEIR (OUTLET"/>
    <x v="2"/>
    <n v="7.3"/>
    <n v="25.1"/>
    <n v="4.0999999999999996"/>
    <n v="8.1999999999999993"/>
    <n v="7.3"/>
    <n v="8.1"/>
    <n v="154"/>
    <n v="371"/>
    <n v="2.9"/>
    <n v="7.8"/>
    <n v="0"/>
    <n v="0"/>
    <m/>
    <m/>
    <m/>
    <m/>
    <m/>
    <m/>
  </r>
  <r>
    <n v="3272"/>
    <s v="RIVER JHELUM AT VERINAG"/>
    <x v="2"/>
    <n v="7"/>
    <n v="19.5"/>
    <n v="6"/>
    <n v="9.6999999999999993"/>
    <n v="7.1"/>
    <n v="7.9"/>
    <n v="152"/>
    <n v="351"/>
    <n v="1"/>
    <n v="4.2"/>
    <n v="0"/>
    <n v="0"/>
    <m/>
    <m/>
    <m/>
    <m/>
    <m/>
    <m/>
  </r>
  <r>
    <n v="3273"/>
    <s v="RIVER JHELUM AT SANGAM, CONFLUENCE POINT OF_x000a_VISHAV NALLAH"/>
    <x v="2"/>
    <n v="8"/>
    <n v="22"/>
    <n v="5.9"/>
    <n v="9"/>
    <n v="7.7"/>
    <n v="8"/>
    <n v="120"/>
    <n v="281"/>
    <n v="1.8"/>
    <n v="4.4000000000000004"/>
    <n v="0"/>
    <n v="0"/>
    <m/>
    <m/>
    <m/>
    <m/>
    <m/>
    <m/>
  </r>
  <r>
    <n v="3274"/>
    <s v="RIVER JHELUM AT AWANTIPORA"/>
    <x v="2"/>
    <n v="7.5"/>
    <n v="22.2"/>
    <n v="6"/>
    <n v="9.9"/>
    <n v="7.5"/>
    <n v="8.1"/>
    <n v="118"/>
    <n v="297"/>
    <n v="2"/>
    <n v="3.2"/>
    <n v="0"/>
    <n v="0"/>
    <m/>
    <m/>
    <m/>
    <m/>
    <m/>
    <m/>
  </r>
  <r>
    <n v="3275"/>
    <s v="RIVER JHELUM AT PAMPORE"/>
    <x v="2"/>
    <n v="7.6"/>
    <n v="22.1"/>
    <n v="5.9"/>
    <n v="9.8000000000000007"/>
    <n v="7.3"/>
    <n v="8.1"/>
    <n v="114"/>
    <n v="312"/>
    <n v="2.1"/>
    <n v="4.2"/>
    <n v="0"/>
    <n v="0"/>
    <m/>
    <m/>
    <m/>
    <m/>
    <m/>
    <m/>
  </r>
  <r>
    <n v="3276"/>
    <s v="RIVER JHELUM AT SOPORE, CONFLUENCE POINT OF_x000a_WULAR LAKE"/>
    <x v="2"/>
    <n v="5"/>
    <n v="23.4"/>
    <n v="6"/>
    <n v="10.8"/>
    <n v="7.3"/>
    <n v="8.1999999999999993"/>
    <n v="153"/>
    <n v="354"/>
    <n v="1.6"/>
    <n v="3.2"/>
    <n v="0"/>
    <n v="0"/>
    <m/>
    <m/>
    <m/>
    <m/>
    <m/>
    <m/>
  </r>
  <r>
    <n v="4053"/>
    <s v="RIVER JHELUM AT BIJEHARA"/>
    <x v="2"/>
    <n v="8.4"/>
    <n v="22.8"/>
    <n v="5.3"/>
    <n v="9.4"/>
    <n v="7.6"/>
    <n v="7.9"/>
    <n v="121"/>
    <n v="310"/>
    <n v="2"/>
    <n v="3.8"/>
    <n v="0"/>
    <n v="0"/>
    <m/>
    <m/>
    <m/>
    <m/>
    <m/>
    <m/>
  </r>
  <r>
    <n v="4054"/>
    <s v="RIVER JHELUM AT PANTHACHOWK"/>
    <x v="2"/>
    <n v="7.5"/>
    <n v="22.3"/>
    <n v="5.5"/>
    <n v="9.9"/>
    <n v="7.5"/>
    <n v="8"/>
    <n v="114"/>
    <n v="316"/>
    <n v="2"/>
    <n v="32"/>
    <n v="0"/>
    <n v="0"/>
    <m/>
    <m/>
    <m/>
    <m/>
    <m/>
    <m/>
  </r>
  <r>
    <n v="2742"/>
    <s v="RIVER TAWI AT SHETALI LIFTING POINT NAGROTA(5KM_x000a_U/S TAWI BRIDGE)"/>
    <x v="2"/>
    <n v="16"/>
    <n v="26"/>
    <n v="7.2"/>
    <n v="7.6"/>
    <n v="7.3"/>
    <n v="8.1999999999999993"/>
    <n v="166"/>
    <n v="455"/>
    <n v="1"/>
    <n v="1"/>
    <n v="0"/>
    <n v="0.32"/>
    <m/>
    <m/>
    <m/>
    <m/>
    <m/>
    <m/>
  </r>
  <r>
    <n v="2743"/>
    <s v="RIVER TAWI AT BAGH-E-BAHU LIFTING POINT(1 KM U/S_x000a_TAWI BRIDGE)"/>
    <x v="2"/>
    <n v="17"/>
    <n v="26"/>
    <n v="6.8"/>
    <n v="7.5"/>
    <n v="7.5"/>
    <n v="8.5"/>
    <n v="176"/>
    <n v="370"/>
    <n v="1"/>
    <n v="1"/>
    <n v="0"/>
    <n v="0.32"/>
    <m/>
    <m/>
    <m/>
    <m/>
    <m/>
    <m/>
  </r>
  <r>
    <n v="1412"/>
    <s v="RIVER TAWI AT JAMMU U/S, (TAWI BRIDGE )"/>
    <x v="2"/>
    <n v="14"/>
    <n v="28"/>
    <n v="4.8"/>
    <n v="6"/>
    <n v="7.9"/>
    <n v="8.4"/>
    <n v="420"/>
    <n v="442"/>
    <n v="2"/>
    <n v="3.6"/>
    <n v="0"/>
    <n v="0.26"/>
    <m/>
    <m/>
    <m/>
    <m/>
    <m/>
    <m/>
  </r>
  <r>
    <n v="2744"/>
    <s v="RIVER TAWI BELOW TAWI BRIDGE"/>
    <x v="2"/>
    <n v="17"/>
    <n v="26"/>
    <n v="3"/>
    <n v="7.5"/>
    <n v="7.9"/>
    <n v="8.9"/>
    <n v="185"/>
    <n v="372"/>
    <n v="1.1000000000000001"/>
    <n v="4"/>
    <n v="0"/>
    <n v="1.42"/>
    <m/>
    <m/>
    <n v="700"/>
    <n v="800"/>
    <m/>
    <m/>
  </r>
  <r>
    <n v="2745"/>
    <s v="RIVER TAWI BAGHWATI NAGAR (2KM D/S TAWI BRIDGE"/>
    <x v="2"/>
    <n v="17"/>
    <n v="17"/>
    <n v="3"/>
    <n v="3"/>
    <n v="9"/>
    <n v="9"/>
    <n v="176"/>
    <n v="176"/>
    <n v="9"/>
    <n v="9"/>
    <n v="0"/>
    <n v="0"/>
    <m/>
    <m/>
    <m/>
    <m/>
    <m/>
    <m/>
  </r>
  <r>
    <n v="2746"/>
    <s v="RIVER TAWI AT BELICHARANA(4KM D/S TAWI BRIDGE)"/>
    <x v="2"/>
    <n v="17"/>
    <n v="26"/>
    <n v="6.5"/>
    <n v="7.2"/>
    <n v="7.9"/>
    <n v="8.5"/>
    <n v="156"/>
    <n v="360"/>
    <n v="1"/>
    <n v="1"/>
    <n v="0"/>
    <n v="0.32"/>
    <m/>
    <m/>
    <n v="500"/>
    <n v="1500"/>
    <m/>
    <m/>
  </r>
  <r>
    <n v="4055"/>
    <s v="RIVER TAWI AT 1 KM D/S BELOW STP DISCHARGE POINT_x000a_AT BHAGWATI NAGAR"/>
    <x v="2"/>
    <n v="18"/>
    <n v="18"/>
    <n v="2.2999999999999998"/>
    <n v="2.2999999999999998"/>
    <n v="8.9"/>
    <n v="8.9"/>
    <n v="172"/>
    <n v="172"/>
    <n v="9.5"/>
    <n v="9.5"/>
    <n v="0"/>
    <n v="0"/>
    <m/>
    <m/>
    <m/>
    <m/>
    <m/>
    <m/>
  </r>
  <r>
    <n v="4056"/>
    <s v="RIVER TAWI AT BALOL NALLAH, NEAR NIT COLLEGE,_x000a_MIRAN SAHIB, BEFORE MIXING"/>
    <x v="2"/>
    <n v="16"/>
    <n v="28"/>
    <n v="2.9"/>
    <n v="6"/>
    <n v="7.7"/>
    <n v="8.1999999999999993"/>
    <n v="326"/>
    <n v="612"/>
    <n v="1"/>
    <n v="4.9000000000000004"/>
    <n v="0"/>
    <n v="0.31"/>
    <m/>
    <m/>
    <m/>
    <m/>
    <m/>
    <m/>
  </r>
  <r>
    <n v="3284"/>
    <s v="RIVER SINDH AT SONAMARG D/S"/>
    <x v="2"/>
    <n v="4.0999999999999996"/>
    <n v="10.8"/>
    <n v="7.3"/>
    <n v="10.199999999999999"/>
    <n v="7.3"/>
    <n v="8.4"/>
    <n v="203"/>
    <n v="454"/>
    <n v="1"/>
    <n v="1.8"/>
    <n v="0"/>
    <n v="0"/>
    <m/>
    <m/>
    <m/>
    <m/>
    <m/>
    <m/>
  </r>
  <r>
    <n v="3285"/>
    <s v="RIVER SINDH AT WAIL BRIDGE"/>
    <x v="2"/>
    <n v="3.5"/>
    <n v="16"/>
    <n v="7.2"/>
    <n v="10.9"/>
    <n v="7.6"/>
    <n v="8.3000000000000007"/>
    <n v="143"/>
    <n v="340"/>
    <n v="1"/>
    <n v="2"/>
    <n v="0"/>
    <n v="0"/>
    <m/>
    <m/>
    <m/>
    <m/>
    <m/>
    <m/>
  </r>
  <r>
    <n v="3286"/>
    <s v="RIVER SINDH AT DUDERHAMA"/>
    <x v="2"/>
    <n v="4.0999999999999996"/>
    <n v="17.2"/>
    <n v="7.4"/>
    <n v="9.6999999999999993"/>
    <n v="7.4"/>
    <n v="8.1999999999999993"/>
    <n v="146"/>
    <n v="344"/>
    <n v="1"/>
    <n v="2.6"/>
    <n v="0"/>
    <n v="0"/>
    <m/>
    <m/>
    <m/>
    <m/>
    <m/>
    <m/>
  </r>
  <r>
    <n v="3287"/>
    <s v="RIVER SINDH AT RANGIL, SRINAGAR"/>
    <x v="2"/>
    <n v="4"/>
    <n v="18.8"/>
    <n v="7.5"/>
    <n v="10.8"/>
    <n v="7.5"/>
    <n v="8.1999999999999993"/>
    <n v="156"/>
    <n v="359"/>
    <n v="1"/>
    <n v="2.6"/>
    <n v="0"/>
    <n v="0"/>
    <m/>
    <m/>
    <m/>
    <m/>
    <m/>
    <m/>
  </r>
  <r>
    <n v="4023"/>
    <s v="MANJHI KHAD U/S DHARAMSHALA OF KHANIYARA"/>
    <x v="0"/>
    <n v="11"/>
    <n v="20"/>
    <n v="8.1999999999999993"/>
    <n v="9.1"/>
    <n v="7.5"/>
    <n v="8.4"/>
    <n v="59"/>
    <n v="228"/>
    <n v="1"/>
    <n v="1"/>
    <n v="0.41"/>
    <n v="2.76"/>
    <n v="2"/>
    <n v="20"/>
    <n v="22"/>
    <n v="3500"/>
    <n v="2"/>
    <n v="2"/>
  </r>
  <r>
    <n v="4024"/>
    <s v="MANJHI KHAD D/S DHARAMSHALA AT CHETRU"/>
    <x v="0"/>
    <n v="12"/>
    <n v="20"/>
    <n v="8.1999999999999993"/>
    <n v="9.1999999999999993"/>
    <n v="7.6"/>
    <n v="8.5"/>
    <n v="59"/>
    <n v="242"/>
    <n v="1"/>
    <n v="1"/>
    <n v="0.49"/>
    <n v="2.67"/>
    <n v="2"/>
    <n v="20"/>
    <n v="39"/>
    <n v="5400"/>
    <n v="2"/>
    <n v="2"/>
  </r>
  <r>
    <n v="4025"/>
    <s v="MOL KHAD U/S PALAMPUR"/>
    <x v="0"/>
    <n v="12"/>
    <n v="21"/>
    <n v="8.6"/>
    <n v="9.1999999999999993"/>
    <n v="7.3"/>
    <n v="8"/>
    <n v="74"/>
    <n v="329"/>
    <n v="1"/>
    <n v="1"/>
    <n v="0.3"/>
    <n v="2.04"/>
    <n v="2"/>
    <n v="45"/>
    <n v="13"/>
    <n v="9200"/>
    <n v="2"/>
    <n v="2"/>
  </r>
  <r>
    <n v="4026"/>
    <s v="MOL KHAD D/S PALAMPUR"/>
    <x v="0"/>
    <n v="10"/>
    <n v="21"/>
    <n v="8.4"/>
    <n v="9.3000000000000007"/>
    <n v="7"/>
    <n v="8.1999999999999993"/>
    <n v="74"/>
    <n v="368"/>
    <n v="1"/>
    <n v="1"/>
    <n v="0.3"/>
    <n v="2.62"/>
    <n v="2"/>
    <n v="45"/>
    <n v="22"/>
    <n v="16000"/>
    <n v="2"/>
    <n v="2"/>
  </r>
  <r>
    <n v="4038"/>
    <s v="RIVER TIRTHAN BEFORE CONF. TO RIVER SUTLEJ"/>
    <x v="0"/>
    <n v="7"/>
    <n v="19"/>
    <n v="7.8"/>
    <n v="8.5"/>
    <n v="7.2"/>
    <n v="8"/>
    <n v="61"/>
    <n v="280"/>
    <n v="1"/>
    <n v="1"/>
    <n v="0.32"/>
    <n v="4.93"/>
    <n v="21"/>
    <n v="79"/>
    <n v="79"/>
    <n v="430"/>
    <n v="2"/>
    <n v="2"/>
  </r>
  <r>
    <n v="4424"/>
    <s v="RAW WATER FOR LWSS OF NAUTI KHAD AT GUMMA_x000a_(BASANTPUR)"/>
    <x v="0"/>
    <n v="8"/>
    <n v="18"/>
    <n v="7.2"/>
    <n v="8.1"/>
    <n v="7.2"/>
    <n v="8.3000000000000007"/>
    <n v="105"/>
    <n v="800"/>
    <n v="1"/>
    <n v="1"/>
    <n v="0.32"/>
    <n v="2.34"/>
    <n v="4"/>
    <n v="220"/>
    <n v="17"/>
    <n v="920"/>
    <n v="2"/>
    <n v="7"/>
  </r>
  <r>
    <n v="4432"/>
    <s v="DHAULI KHAD AT CHARAN GANGA MEDI"/>
    <x v="0"/>
    <n v="17"/>
    <n v="33.4"/>
    <n v="6.9"/>
    <n v="8"/>
    <n v="7.4"/>
    <n v="8.3000000000000007"/>
    <n v="344"/>
    <n v="517"/>
    <n v="1"/>
    <n v="3"/>
    <n v="0.32"/>
    <n v="5.94"/>
    <n v="2"/>
    <n v="6"/>
    <n v="14"/>
    <n v="170"/>
    <n v="2"/>
    <n v="2"/>
  </r>
  <r>
    <n v="4457"/>
    <s v="BANER KHAD U/S CHAMUNDA TEMPLE"/>
    <x v="0"/>
    <n v="16"/>
    <n v="20"/>
    <n v="8.8000000000000007"/>
    <n v="9.4"/>
    <n v="7.1"/>
    <n v="8.1"/>
    <n v="97"/>
    <n v="201"/>
    <n v="1"/>
    <n v="1"/>
    <n v="0.48"/>
    <n v="3.68"/>
    <n v="2"/>
    <n v="40"/>
    <n v="33"/>
    <n v="16000"/>
    <n v="2"/>
    <n v="2"/>
  </r>
  <r>
    <n v="4458"/>
    <s v="BANER KHAD D/S CHAMUNDA TEMPLE"/>
    <x v="0"/>
    <n v="16"/>
    <n v="21"/>
    <n v="8.8000000000000007"/>
    <n v="9.1999999999999993"/>
    <n v="7.3"/>
    <n v="8.3000000000000007"/>
    <n v="95"/>
    <n v="187"/>
    <n v="1"/>
    <n v="1"/>
    <n v="0.56999999999999995"/>
    <n v="3.26"/>
    <n v="2"/>
    <n v="78"/>
    <n v="79"/>
    <n v="16000"/>
    <n v="2"/>
    <n v="2"/>
  </r>
  <r>
    <n v="4460"/>
    <s v="CHARAN KHAND U/S BHAGSUNAG"/>
    <x v="0"/>
    <n v="12"/>
    <n v="19"/>
    <n v="9.1"/>
    <n v="9.1999999999999993"/>
    <n v="7.6"/>
    <n v="8.1999999999999993"/>
    <n v="74"/>
    <n v="197"/>
    <n v="1"/>
    <n v="1"/>
    <n v="0.3"/>
    <n v="5.53"/>
    <n v="2"/>
    <n v="20"/>
    <n v="13"/>
    <n v="3500"/>
    <n v="2"/>
    <n v="2"/>
  </r>
  <r>
    <n v="4469"/>
    <s v="GAJ KHAD NEAR WATER SUPPLY SCHEME_x000a_DHARAMSHALA CANTT."/>
    <x v="0"/>
    <n v="11"/>
    <n v="18"/>
    <n v="8.8000000000000007"/>
    <n v="9.1"/>
    <n v="7.7"/>
    <n v="8.6"/>
    <n v="67"/>
    <n v="237"/>
    <n v="1"/>
    <n v="1"/>
    <n v="0.3"/>
    <n v="6.43"/>
    <n v="2"/>
    <n v="7"/>
    <n v="11"/>
    <n v="790"/>
    <n v="2"/>
    <n v="2"/>
  </r>
  <r>
    <n v="4470"/>
    <s v="BATHER KHAD WATER SUPPLY SCHEME AT DAL LAKE"/>
    <x v="0"/>
    <n v="10"/>
    <n v="18"/>
    <n v="9"/>
    <n v="9.1999999999999993"/>
    <n v="7.4"/>
    <n v="8.4"/>
    <n v="70"/>
    <n v="196"/>
    <n v="1"/>
    <n v="1"/>
    <n v="0.3"/>
    <n v="5.96"/>
    <n v="2"/>
    <n v="20"/>
    <n v="11"/>
    <n v="1300"/>
    <n v="2"/>
    <n v="2"/>
  </r>
  <r>
    <n v="4471"/>
    <s v="NEUGAL KHAD NEAR WATER SUPPLY SCHEME AT_x000a_BANDLA, PALAMPUR"/>
    <x v="0"/>
    <n v="9"/>
    <n v="17"/>
    <n v="8.9"/>
    <n v="9.6"/>
    <n v="7.2"/>
    <n v="8"/>
    <n v="77"/>
    <n v="480"/>
    <n v="1"/>
    <n v="1"/>
    <n v="0.3"/>
    <n v="4.12"/>
    <n v="2"/>
    <n v="20"/>
    <n v="8"/>
    <n v="5400"/>
    <n v="2"/>
    <n v="2"/>
  </r>
  <r>
    <n v="4488"/>
    <s v="RIVER RATTA BEFORE CONF. TO RIVER SIRSA"/>
    <x v="0"/>
    <n v="14"/>
    <n v="23"/>
    <n v="5.8"/>
    <n v="7.1"/>
    <n v="7.5"/>
    <n v="8"/>
    <n v="615"/>
    <n v="1384"/>
    <n v="1"/>
    <n v="5.4"/>
    <n v="1.69"/>
    <n v="17.260000000000002"/>
    <n v="5"/>
    <n v="220"/>
    <n v="34"/>
    <n v="1600"/>
    <n v="2"/>
    <n v="2"/>
  </r>
  <r>
    <n v="5489"/>
    <s v="RIVER BHAWA KHAD AT RESERVIOR SITE OF ALLIAN_x000a_DUHANGAN HEP,PRINI,MANALI"/>
    <x v="0"/>
    <n v="9"/>
    <n v="9"/>
    <n v="9.6"/>
    <n v="9.6"/>
    <n v="8.3000000000000007"/>
    <n v="8.3000000000000007"/>
    <n v="87"/>
    <n v="87"/>
    <n v="1"/>
    <n v="1"/>
    <n v="0.61"/>
    <n v="0.61"/>
    <n v="11"/>
    <n v="11"/>
    <n v="26"/>
    <n v="26"/>
    <n v="2"/>
    <n v="2"/>
  </r>
  <r>
    <n v="5766"/>
    <s v="CHAKKI KHAD AT LAHROO D/S OF PHINNA SINGH_x000a_IRRIGATION SCHEME"/>
    <x v="0"/>
    <n v="10"/>
    <n v="16"/>
    <n v="8.8000000000000007"/>
    <n v="9"/>
    <n v="7.3"/>
    <n v="8"/>
    <n v="125"/>
    <n v="259"/>
    <n v="1"/>
    <n v="1"/>
    <n v="0.73"/>
    <n v="2.68"/>
    <n v="4"/>
    <n v="45"/>
    <n v="350"/>
    <n v="5400"/>
    <n v="2"/>
    <n v="2"/>
  </r>
  <r>
    <n v="1306"/>
    <s v="RIVER GAWKADAL, SRG (SHERGHARI, SRG)"/>
    <x v="2"/>
    <n v="6.6"/>
    <n v="25.2"/>
    <n v="4.7"/>
    <n v="7.8"/>
    <n v="7.4"/>
    <n v="8.1"/>
    <n v="149"/>
    <n v="357"/>
    <n v="2.2999999999999998"/>
    <n v="5"/>
    <n v="0"/>
    <n v="0"/>
    <m/>
    <m/>
    <m/>
    <m/>
    <m/>
    <m/>
  </r>
  <r>
    <n v="5248"/>
    <s v="RIVER UHL D/S OF IIT, MANDI"/>
    <x v="0"/>
    <n v="4"/>
    <n v="23"/>
    <n v="8.5"/>
    <n v="9.6"/>
    <n v="7.1"/>
    <n v="8.1"/>
    <n v="62"/>
    <n v="205"/>
    <n v="1"/>
    <n v="1"/>
    <n v="0.32"/>
    <n v="1.01"/>
    <n v="23"/>
    <n v="79"/>
    <n v="170"/>
    <n v="350"/>
    <n v="2"/>
    <n v="2"/>
  </r>
  <r>
    <n v="5251"/>
    <s v="SUKETI KHAD D/S SWM SITE AT SUNDER NAGAR"/>
    <x v="0"/>
    <n v="12"/>
    <n v="27"/>
    <n v="7"/>
    <n v="8.8000000000000007"/>
    <n v="7.1"/>
    <n v="8.1999999999999993"/>
    <n v="210"/>
    <n v="414"/>
    <n v="1"/>
    <n v="2.8"/>
    <n v="0.49"/>
    <n v="3.25"/>
    <n v="58"/>
    <n v="920"/>
    <n v="280"/>
    <n v="1600"/>
    <n v="2"/>
    <n v="2"/>
  </r>
  <r>
    <n v="5252"/>
    <s v="SEER KHAD U/S INTAKE POINT OF WSS GHUMARWIN_x000a_TOWN"/>
    <x v="0"/>
    <n v="5"/>
    <n v="32"/>
    <n v="8.1999999999999993"/>
    <n v="9.3000000000000007"/>
    <n v="7.2"/>
    <n v="8.1999999999999993"/>
    <n v="185"/>
    <n v="285"/>
    <n v="1"/>
    <n v="1"/>
    <n v="0.32"/>
    <n v="1.83"/>
    <n v="11"/>
    <n v="79"/>
    <n v="33"/>
    <n v="350"/>
    <n v="2"/>
    <n v="2"/>
  </r>
  <r>
    <n v="5254"/>
    <s v="RIVER BHAGGA U/S BEFORE CONFLUENCE TO RIVER_x000a_CHENAB"/>
    <x v="0"/>
    <n v="3"/>
    <n v="12"/>
    <n v="7.5"/>
    <n v="8.9"/>
    <n v="7.2"/>
    <n v="8.1"/>
    <n v="92"/>
    <n v="225"/>
    <n v="1"/>
    <n v="1"/>
    <n v="0.32"/>
    <n v="0.55000000000000004"/>
    <n v="23"/>
    <n v="39"/>
    <n v="140"/>
    <n v="280"/>
    <n v="2"/>
    <n v="2"/>
  </r>
  <r>
    <n v="5255"/>
    <s v="RIVER CHANDRA U/S BEFORE CONFLUENCE TO RIVER_x000a_CHENAB"/>
    <x v="0"/>
    <n v="3"/>
    <n v="10"/>
    <n v="7.6"/>
    <n v="8.5"/>
    <n v="7.2"/>
    <n v="8.1"/>
    <n v="88"/>
    <n v="221"/>
    <n v="1"/>
    <n v="1"/>
    <n v="0.32"/>
    <n v="0.64"/>
    <n v="2"/>
    <n v="39"/>
    <n v="45"/>
    <n v="210"/>
    <n v="2"/>
    <n v="2"/>
  </r>
  <r>
    <n v="5256"/>
    <s v="RIVER CHENAB D/S AT TANDI (L &amp; S)"/>
    <x v="0"/>
    <n v="4"/>
    <n v="12"/>
    <n v="7.6"/>
    <n v="9.1"/>
    <n v="7.2"/>
    <n v="8.1999999999999993"/>
    <n v="87"/>
    <n v="218"/>
    <n v="1"/>
    <n v="1"/>
    <n v="0.32"/>
    <n v="0.95"/>
    <n v="26"/>
    <n v="47"/>
    <n v="170"/>
    <n v="240"/>
    <n v="2"/>
    <n v="2"/>
  </r>
  <r>
    <n v="1491"/>
    <s v="RIVER BHAGIRATHI AT GANGOTRI,"/>
    <x v="3"/>
    <n v="7"/>
    <n v="7"/>
    <n v="11"/>
    <n v="11"/>
    <n v="8.4"/>
    <n v="8.4"/>
    <n v="84"/>
    <n v="84"/>
    <n v="1"/>
    <n v="1"/>
    <n v="0.32"/>
    <n v="0.32"/>
    <n v="2"/>
    <n v="2"/>
    <n v="2"/>
    <n v="2"/>
    <n v="2"/>
    <n v="2"/>
  </r>
  <r>
    <n v="5451"/>
    <s v="RIVER MANDAKINI AT KEDARNATH"/>
    <x v="3"/>
    <n v="10"/>
    <n v="10"/>
    <n v="11.4"/>
    <n v="11.4"/>
    <n v="8"/>
    <n v="8"/>
    <n v="50"/>
    <n v="50"/>
    <n v="1"/>
    <n v="1"/>
    <n v="0.32"/>
    <n v="0.32"/>
    <n v="2"/>
    <n v="2"/>
    <n v="2"/>
    <n v="2"/>
    <n v="2"/>
    <n v="2"/>
  </r>
  <r>
    <n v="5452"/>
    <s v="RIVER ALAKNANDA AT BADRINATH"/>
    <x v="3"/>
    <n v="13.5"/>
    <n v="13.5"/>
    <n v="11.2"/>
    <n v="11.2"/>
    <n v="7.3"/>
    <n v="7.3"/>
    <n v="43"/>
    <n v="43"/>
    <n v="1"/>
    <n v="1"/>
    <n v="0.32"/>
    <n v="0.32"/>
    <n v="2"/>
    <n v="2"/>
    <n v="2"/>
    <n v="2"/>
    <n v="2"/>
    <n v="2"/>
  </r>
  <r>
    <n v="1484"/>
    <s v="RIVER ALAKNANDA B/C TO RIVER MANDAKINI AT RUDRA_x000a_PRAYAG"/>
    <x v="3"/>
    <n v="15"/>
    <n v="17"/>
    <n v="10"/>
    <n v="10.6"/>
    <n v="7.6"/>
    <n v="8.3000000000000007"/>
    <n v="47"/>
    <n v="137"/>
    <n v="1"/>
    <n v="1"/>
    <n v="0.32"/>
    <n v="0.35"/>
    <n v="2"/>
    <n v="2"/>
    <n v="2"/>
    <n v="4"/>
    <n v="2"/>
    <n v="2"/>
  </r>
  <r>
    <n v="1485"/>
    <s v="RIVER MANDAKINI B/C TO RIVER ALKALNADA AT_x000a_RUDRAPRAYAG,"/>
    <x v="3"/>
    <n v="14"/>
    <n v="17"/>
    <n v="9.8000000000000007"/>
    <n v="10.8"/>
    <n v="7.6"/>
    <n v="7.8"/>
    <n v="61"/>
    <n v="80"/>
    <n v="1"/>
    <n v="1"/>
    <n v="0.32"/>
    <n v="0.33"/>
    <n v="2"/>
    <n v="2"/>
    <n v="2"/>
    <n v="4"/>
    <n v="2"/>
    <n v="2"/>
  </r>
  <r>
    <n v="1486"/>
    <s v="RIVER ALAKNANDA A/C OF RIVER MANDAKINI AND_x000a_RIVER ALAKNANDA AT RUDRAPRAYAG"/>
    <x v="3"/>
    <n v="14"/>
    <n v="17"/>
    <n v="10.199999999999999"/>
    <n v="10.8"/>
    <n v="7.4"/>
    <n v="8.1999999999999993"/>
    <n v="58"/>
    <n v="122"/>
    <n v="1"/>
    <n v="1"/>
    <n v="0.32"/>
    <n v="0.33"/>
    <n v="2"/>
    <n v="2"/>
    <n v="2"/>
    <n v="4"/>
    <n v="2"/>
    <n v="2"/>
  </r>
  <r>
    <n v="1487"/>
    <s v="RIVER ALAKNANDA B/C TORIVER BHAGIRATHI AT_x000a_DEVPRAYAG,"/>
    <x v="3"/>
    <n v="15"/>
    <n v="19"/>
    <n v="10"/>
    <n v="10.6"/>
    <n v="7.8"/>
    <n v="8.3000000000000007"/>
    <n v="89"/>
    <n v="128"/>
    <n v="1"/>
    <n v="1"/>
    <n v="0.32"/>
    <n v="0.33"/>
    <n v="2"/>
    <n v="2"/>
    <n v="2"/>
    <n v="4"/>
    <n v="2"/>
    <n v="2"/>
  </r>
  <r>
    <n v="1488"/>
    <s v="RIVER BHAGIRATHI B/C TO RIVER ALAKNANDA AT_x000a_DEVPRAYAG,DIST-TEHRI GARHWAL"/>
    <x v="3"/>
    <n v="16"/>
    <n v="20"/>
    <n v="9.8000000000000007"/>
    <n v="10.8"/>
    <n v="7.8"/>
    <n v="8.1"/>
    <n v="76"/>
    <n v="117"/>
    <n v="1"/>
    <n v="1"/>
    <n v="0.32"/>
    <n v="0.36"/>
    <n v="2"/>
    <n v="2"/>
    <n v="2"/>
    <n v="2"/>
    <n v="2"/>
    <n v="2"/>
  </r>
  <r>
    <n v="1489"/>
    <s v="RIVER GANGA AFTER CONFLUENCE OF RIVER_x000a_BHAGIRATHI AND RIVER ALAKNANDA AT DEVPRAYAG_x000a_,DIST-TEFRI GARHWAL"/>
    <x v="3"/>
    <n v="15"/>
    <n v="20"/>
    <n v="10"/>
    <n v="10.8"/>
    <n v="7.5"/>
    <n v="8.1999999999999993"/>
    <n v="87"/>
    <n v="110"/>
    <n v="1"/>
    <n v="1"/>
    <n v="0.32"/>
    <n v="0.33"/>
    <n v="2"/>
    <n v="2"/>
    <n v="2"/>
    <n v="4"/>
    <n v="2"/>
    <n v="2"/>
  </r>
  <r>
    <n v="5776"/>
    <s v="RIVER GANGA AT SWARG ASHRAM ,RISHIKESH"/>
    <x v="3"/>
    <n v="13"/>
    <n v="24"/>
    <n v="9"/>
    <n v="10.6"/>
    <n v="7.2"/>
    <n v="8.4"/>
    <n v="84"/>
    <n v="265"/>
    <n v="1"/>
    <n v="1"/>
    <n v="0.32"/>
    <n v="0.43"/>
    <n v="31"/>
    <n v="48"/>
    <n v="39"/>
    <n v="49"/>
    <n v="2"/>
    <n v="2"/>
  </r>
  <r>
    <n v="1060"/>
    <s v="RIVER GANGA U/S AT LAXMANJHULA,RISHIKESH"/>
    <x v="3"/>
    <n v="12"/>
    <n v="23"/>
    <n v="9.6"/>
    <n v="11"/>
    <n v="7.1"/>
    <n v="8.3000000000000007"/>
    <n v="70"/>
    <n v="154"/>
    <n v="1"/>
    <n v="1"/>
    <n v="0"/>
    <n v="0.37"/>
    <n v="21"/>
    <n v="43"/>
    <n v="26"/>
    <n v="48"/>
    <n v="2"/>
    <n v="2"/>
  </r>
  <r>
    <n v="5777"/>
    <s v="RIVER GANGA NEAR VISTHAPHIT COLONY, RISHIKESH"/>
    <x v="3"/>
    <n v="14"/>
    <n v="28"/>
    <n v="8.1999999999999993"/>
    <n v="10.199999999999999"/>
    <n v="7"/>
    <n v="8.1999999999999993"/>
    <n v="90"/>
    <n v="431"/>
    <n v="1"/>
    <n v="1.7"/>
    <n v="0.32"/>
    <n v="0.48"/>
    <n v="27"/>
    <n v="84"/>
    <n v="34"/>
    <n v="94"/>
    <n v="2"/>
    <n v="26"/>
  </r>
  <r>
    <n v="10147"/>
    <s v="RIVER GANGA D/S AT BAIRAAJ,RISHIKESH"/>
    <x v="3"/>
    <n v="14"/>
    <n v="22"/>
    <n v="9.1999999999999993"/>
    <n v="10.8"/>
    <n v="7.1"/>
    <n v="8.5"/>
    <n v="67"/>
    <n v="141"/>
    <n v="1"/>
    <n v="1.2"/>
    <n v="0.32"/>
    <n v="0.39"/>
    <n v="2"/>
    <n v="43"/>
    <n v="2"/>
    <n v="49"/>
    <n v="2"/>
    <n v="2"/>
  </r>
  <r>
    <n v="2725"/>
    <s v="RIVER GANGA AFTER CONFLUENCE OF SONG NEAR_x000a_SATYANARAYAN TEMPLE D/S RAIWALA, DEHRADUN"/>
    <x v="3"/>
    <n v="13"/>
    <n v="29"/>
    <n v="8.1999999999999993"/>
    <n v="10"/>
    <n v="7.1"/>
    <n v="8.5"/>
    <n v="157"/>
    <n v="325"/>
    <n v="1.1000000000000001"/>
    <n v="1.7"/>
    <n v="0.32"/>
    <n v="0.38"/>
    <n v="33"/>
    <n v="63"/>
    <n v="58"/>
    <n v="94"/>
    <n v="2"/>
    <n v="6"/>
  </r>
  <r>
    <n v="10148"/>
    <s v="RIVER GANGA AT HAR-KI-PAURI GHAT"/>
    <x v="3"/>
    <n v="14.8"/>
    <n v="26.2"/>
    <n v="8"/>
    <n v="10.3"/>
    <n v="7.3"/>
    <n v="8.3000000000000007"/>
    <n v="166"/>
    <n v="351"/>
    <n v="1"/>
    <n v="2"/>
    <n v="0.32"/>
    <n v="1.65"/>
    <n v="21"/>
    <n v="79"/>
    <n v="63"/>
    <n v="170"/>
    <n v="9"/>
    <n v="43"/>
  </r>
  <r>
    <n v="3997"/>
    <s v="RIVER GANGA U/S AT ABINDUGHAT, DUDHIYABAD,_x000a_HARIDWAR"/>
    <x v="3"/>
    <n v="16.8"/>
    <n v="25.3"/>
    <n v="7.6"/>
    <n v="9.8000000000000007"/>
    <n v="7.3"/>
    <n v="8.3000000000000007"/>
    <n v="219"/>
    <n v="421"/>
    <n v="1.2"/>
    <n v="2.6"/>
    <n v="0.32"/>
    <n v="1.5"/>
    <n v="31"/>
    <n v="94"/>
    <n v="79"/>
    <n v="170"/>
    <n v="6"/>
    <n v="46"/>
  </r>
  <r>
    <n v="1061"/>
    <s v="RIVER GANGA D/S AT BALKUMARI MANDIR, AJEETPUR,_x000a_HARIDWAR"/>
    <x v="3"/>
    <n v="17.899999999999999"/>
    <n v="26.3"/>
    <n v="7.1"/>
    <n v="9.9"/>
    <n v="7.2"/>
    <n v="8.5"/>
    <n v="146"/>
    <n v="648"/>
    <n v="1"/>
    <n v="2.6"/>
    <n v="0.34"/>
    <n v="1.49"/>
    <n v="32"/>
    <n v="94"/>
    <n v="70"/>
    <n v="210"/>
    <n v="9"/>
    <n v="63"/>
  </r>
  <r>
    <n v="5778"/>
    <s v="RIVER GANGA NEAR BISHANPUR KUNDI, HARIDWAR"/>
    <x v="3"/>
    <n v="18.2"/>
    <n v="26.4"/>
    <n v="7.6"/>
    <n v="9.8000000000000007"/>
    <n v="7.2"/>
    <n v="8.4"/>
    <n v="178"/>
    <n v="3203"/>
    <n v="1"/>
    <n v="2.4"/>
    <n v="0.33"/>
    <n v="1.57"/>
    <n v="24"/>
    <n v="94"/>
    <n v="79"/>
    <n v="220"/>
    <n v="11"/>
    <n v="43"/>
  </r>
  <r>
    <n v="2727"/>
    <s v="UPPER GANGA CANAL D/S AT ROORKEE, HARIDWAR"/>
    <x v="3"/>
    <n v="14.7"/>
    <n v="27"/>
    <n v="7.4"/>
    <n v="9.6999999999999993"/>
    <n v="7.4"/>
    <n v="8.3000000000000007"/>
    <n v="219"/>
    <n v="435"/>
    <n v="1.2"/>
    <n v="2.4"/>
    <n v="0.32"/>
    <n v="1.85"/>
    <n v="21"/>
    <n v="94"/>
    <n v="79"/>
    <n v="170"/>
    <n v="10"/>
    <n v="63"/>
  </r>
  <r>
    <n v="30005"/>
    <s v="RIVER GANGA AT SULTANPUR (UTTARAKHAND)"/>
    <x v="3"/>
    <n v="21.5"/>
    <n v="30.7"/>
    <n v="7"/>
    <n v="8.6"/>
    <n v="7.3"/>
    <n v="8"/>
    <n v="165"/>
    <n v="273"/>
    <n v="1.2"/>
    <n v="2.7"/>
    <n v="0.32"/>
    <n v="0.41"/>
    <n v="2"/>
    <n v="490000"/>
    <n v="2000"/>
    <n v="1100000"/>
    <m/>
    <m/>
  </r>
  <r>
    <n v="30006"/>
    <s v="RIVER GANGA AT BIJNOR (U.P.)"/>
    <x v="4"/>
    <n v="16"/>
    <n v="16"/>
    <n v="7.2"/>
    <n v="8.5"/>
    <n v="7.6"/>
    <n v="8.1"/>
    <n v="180"/>
    <n v="289"/>
    <n v="1"/>
    <n v="2"/>
    <n v="0.32"/>
    <n v="0.72"/>
    <n v="330"/>
    <n v="93000"/>
    <n v="780"/>
    <n v="1400000"/>
    <n v="13"/>
    <n v="1300"/>
  </r>
  <r>
    <n v="10149"/>
    <s v="RIVER GANGA AT U/S BRIJ GHAT ,GHARMUKTESHWAR"/>
    <x v="4"/>
    <n v="12"/>
    <n v="30"/>
    <n v="8.5"/>
    <n v="12"/>
    <n v="7"/>
    <n v="7.6"/>
    <n v="170"/>
    <n v="252"/>
    <n v="1"/>
    <n v="2.6"/>
    <n v="0"/>
    <n v="0.49"/>
    <n v="170"/>
    <n v="920"/>
    <n v="350"/>
    <n v="1600"/>
    <n v="94"/>
    <n v="280"/>
  </r>
  <r>
    <n v="1062"/>
    <s v="RIVER GANGA AT D/S GARHMUKTESHWAR, U.P"/>
    <x v="4"/>
    <n v="12"/>
    <n v="30"/>
    <n v="8.1999999999999993"/>
    <n v="11.7"/>
    <n v="7.3"/>
    <n v="7.6"/>
    <n v="174"/>
    <n v="255"/>
    <n v="1"/>
    <n v="2.9"/>
    <n v="0.3"/>
    <n v="0.5"/>
    <n v="240"/>
    <n v="1300"/>
    <n v="540"/>
    <n v="2200"/>
    <n v="130"/>
    <n v="540"/>
  </r>
  <r>
    <n v="2488"/>
    <s v="RIVER GANGA U/S, ANOOPSHAHAR"/>
    <x v="4"/>
    <n v="16"/>
    <n v="32"/>
    <n v="7.1"/>
    <n v="11"/>
    <n v="7.1"/>
    <n v="7.3"/>
    <n v="94"/>
    <n v="198"/>
    <n v="1"/>
    <n v="2.7"/>
    <n v="0"/>
    <n v="0"/>
    <n v="170"/>
    <n v="920"/>
    <n v="350"/>
    <n v="1600"/>
    <m/>
    <m/>
  </r>
  <r>
    <n v="2489"/>
    <s v="RIVER GANGA D/S, ANOOPSHAHAR"/>
    <x v="4"/>
    <n v="16"/>
    <n v="31"/>
    <n v="7.2"/>
    <n v="10.6"/>
    <n v="7.1"/>
    <n v="7.4"/>
    <n v="101"/>
    <n v="179"/>
    <n v="1"/>
    <n v="2.6"/>
    <n v="0"/>
    <n v="0"/>
    <n v="170"/>
    <n v="1100"/>
    <n v="350"/>
    <n v="1700"/>
    <m/>
    <m/>
  </r>
  <r>
    <n v="1145"/>
    <s v="RIVER GANGA AT NARORA (BULANDSAHAR), U.P."/>
    <x v="4"/>
    <n v="17"/>
    <n v="32"/>
    <n v="7.3"/>
    <n v="10.4"/>
    <n v="7"/>
    <n v="7.4"/>
    <n v="106"/>
    <n v="177"/>
    <n v="1"/>
    <n v="2.8"/>
    <n v="0"/>
    <n v="0"/>
    <n v="170"/>
    <n v="930"/>
    <n v="350"/>
    <n v="1700"/>
    <m/>
    <m/>
  </r>
  <r>
    <n v="2490"/>
    <s v="RIVER GANGA AT KACHHLA GHAT, ALIGARH"/>
    <x v="4"/>
    <n v="18"/>
    <n v="38"/>
    <n v="8.4"/>
    <n v="10.9"/>
    <n v="7.4"/>
    <n v="7.7"/>
    <n v="143"/>
    <n v="16350"/>
    <n v="1.1000000000000001"/>
    <n v="1.6"/>
    <n v="0.3"/>
    <n v="4.2"/>
    <n v="2"/>
    <n v="480"/>
    <n v="260"/>
    <n v="630"/>
    <n v="2"/>
    <n v="350"/>
  </r>
  <r>
    <n v="10151"/>
    <s v="RIVER GANGA AT GHATIYAGHAT FARRUKABAD"/>
    <x v="4"/>
    <n v="14"/>
    <n v="31"/>
    <n v="6.5"/>
    <n v="10.9"/>
    <n v="8"/>
    <n v="8.5"/>
    <n v="181"/>
    <n v="346"/>
    <n v="2.6"/>
    <n v="3.7"/>
    <n v="0"/>
    <n v="0"/>
    <n v="1100"/>
    <n v="2600"/>
    <n v="1600"/>
    <n v="3300"/>
    <n v="2"/>
    <n v="2"/>
  </r>
  <r>
    <n v="1063"/>
    <s v="RIVER GANGA AT KANNAUJ U/S (NEAR MEHNDIGHAT_x000a_BRIDGE), U.P"/>
    <x v="4"/>
    <n v="14"/>
    <n v="30"/>
    <n v="6.1"/>
    <n v="10.9"/>
    <n v="8.1"/>
    <n v="8.6"/>
    <n v="199"/>
    <n v="366"/>
    <n v="3"/>
    <n v="3.9"/>
    <n v="0"/>
    <n v="0"/>
    <n v="900"/>
    <n v="2700"/>
    <n v="1600"/>
    <n v="4300"/>
    <n v="2"/>
    <n v="2"/>
  </r>
  <r>
    <n v="1066"/>
    <s v="RIVER GANGA AT DURJANPUR, KANNAUJ D/S, U.P"/>
    <x v="4"/>
    <n v="14"/>
    <n v="31"/>
    <n v="6.3"/>
    <n v="11.6"/>
    <n v="8"/>
    <n v="8.5"/>
    <n v="218"/>
    <n v="388"/>
    <n v="3.2"/>
    <n v="6.3"/>
    <n v="0"/>
    <n v="0"/>
    <n v="252"/>
    <n v="3400"/>
    <n v="2700"/>
    <n v="4900"/>
    <n v="2"/>
    <n v="2"/>
  </r>
  <r>
    <n v="5709"/>
    <s v="RIVER GANGAÂ NANAMAU GANGA BRIDGE, LUCKNOW_x000a_MOHAN-HASANGANJ- RASULABAD MARG, KARTI_x000a_AKBERPUR SENG"/>
    <x v="4"/>
    <n v="18"/>
    <n v="23"/>
    <n v="6.6"/>
    <n v="10.1"/>
    <n v="8.1"/>
    <n v="8.5"/>
    <n v="274"/>
    <n v="376"/>
    <n v="3"/>
    <n v="3.3"/>
    <n v="0"/>
    <n v="0"/>
    <n v="2300"/>
    <n v="2700"/>
    <n v="3100"/>
    <n v="4600"/>
    <m/>
    <m/>
  </r>
  <r>
    <n v="1146"/>
    <s v="RIVER GANGA AT BITHOOR (KANPUR), U.P."/>
    <x v="4"/>
    <n v="14"/>
    <n v="31"/>
    <n v="6.2"/>
    <n v="11.2"/>
    <n v="7.8"/>
    <n v="8.5"/>
    <n v="224"/>
    <n v="356"/>
    <n v="3"/>
    <n v="11.6"/>
    <n v="0"/>
    <n v="0"/>
    <n v="1700"/>
    <n v="2700"/>
    <n v="3100"/>
    <n v="4300"/>
    <n v="2"/>
    <n v="45"/>
  </r>
  <r>
    <n v="10154"/>
    <s v="RIVER GANGA AT BATHING GHAT (BHARAOGHAT)"/>
    <x v="4"/>
    <n v="14"/>
    <n v="31"/>
    <n v="6.1"/>
    <n v="10.8"/>
    <n v="7.8"/>
    <n v="8.5"/>
    <n v="226"/>
    <n v="441"/>
    <n v="3"/>
    <n v="4.3"/>
    <n v="0"/>
    <n v="0"/>
    <n v="2100"/>
    <n v="4900"/>
    <n v="3100"/>
    <n v="7900"/>
    <n v="2"/>
    <n v="78"/>
  </r>
  <r>
    <n v="1067"/>
    <s v="RIVER GANGA AT KANPUR U/S (SHUKLAGANJ U/S), U.P"/>
    <x v="4"/>
    <n v="14"/>
    <n v="31"/>
    <n v="6.1"/>
    <n v="11.1"/>
    <n v="7.5"/>
    <n v="8.6999999999999993"/>
    <n v="214"/>
    <n v="443"/>
    <n v="3"/>
    <n v="4.4000000000000004"/>
    <n v="0"/>
    <n v="0"/>
    <n v="2000"/>
    <n v="3100"/>
    <n v="3100"/>
    <n v="5000"/>
    <n v="2"/>
    <n v="20"/>
  </r>
  <r>
    <n v="10155"/>
    <s v="RIVER GANGA AT D/S (SHUKLAGANJ)"/>
    <x v="4"/>
    <n v="14"/>
    <n v="31"/>
    <n v="6"/>
    <n v="10.9"/>
    <n v="7.5"/>
    <n v="8.9"/>
    <n v="232"/>
    <n v="465"/>
    <n v="3.2"/>
    <n v="4.5999999999999996"/>
    <n v="0"/>
    <n v="0"/>
    <n v="2100"/>
    <n v="3400"/>
    <n v="3800"/>
    <n v="6300"/>
    <n v="2"/>
    <n v="20"/>
  </r>
  <r>
    <n v="10156"/>
    <s v="RIVER GANGA AT BATHING GHAT (GOLA GHAT)"/>
    <x v="4"/>
    <n v="14"/>
    <n v="31"/>
    <n v="5.9"/>
    <n v="10.6"/>
    <n v="7.8"/>
    <n v="8.8000000000000007"/>
    <n v="223"/>
    <n v="431"/>
    <n v="3.4"/>
    <n v="13.2"/>
    <n v="0"/>
    <n v="0"/>
    <n v="2200"/>
    <n v="4600"/>
    <n v="3100"/>
    <n v="7000"/>
    <n v="2"/>
    <n v="2"/>
  </r>
  <r>
    <n v="10157"/>
    <s v="RIVER GANGA AT BATHING GHAT (JAJMAU BRIDGE)"/>
    <x v="4"/>
    <n v="14"/>
    <n v="30"/>
    <n v="6"/>
    <n v="10.4"/>
    <n v="7.7"/>
    <n v="8.5"/>
    <n v="266"/>
    <n v="630"/>
    <n v="3.4"/>
    <n v="4.9000000000000004"/>
    <n v="0"/>
    <n v="0"/>
    <n v="2100"/>
    <n v="7900"/>
    <n v="3400"/>
    <n v="13000"/>
    <n v="20"/>
    <n v="20"/>
  </r>
  <r>
    <n v="1068"/>
    <s v="RIVER GANGA AT KANPUR D/S (JANA VILLAGE), U.P"/>
    <x v="4"/>
    <n v="14"/>
    <n v="31"/>
    <n v="5.6"/>
    <n v="10.199999999999999"/>
    <n v="7.4"/>
    <n v="8.6"/>
    <n v="269"/>
    <n v="645"/>
    <n v="3.7"/>
    <n v="14.8"/>
    <n v="0"/>
    <n v="0"/>
    <n v="4100"/>
    <n v="17000"/>
    <n v="7800"/>
    <n v="20000"/>
    <n v="2"/>
    <n v="2"/>
  </r>
  <r>
    <n v="5710"/>
    <s v="RIVER GANGA PURANA RAJAPUR, RAJAPUR, KANPUR"/>
    <x v="4"/>
    <n v="15"/>
    <n v="23"/>
    <n v="6.1"/>
    <n v="10.4"/>
    <n v="7.8"/>
    <n v="8.4"/>
    <n v="232"/>
    <n v="560"/>
    <n v="3.4"/>
    <n v="3.8"/>
    <n v="0"/>
    <n v="0"/>
    <n v="2300"/>
    <n v="4300"/>
    <n v="4100"/>
    <n v="7000"/>
    <m/>
    <m/>
  </r>
  <r>
    <n v="5711"/>
    <s v="RIVER GANGA A/C PANDU RIVER AT MADEVESHWAR_x000a_BABA TAMPLE DEOMAI AHT."/>
    <x v="4"/>
    <n v="26.9"/>
    <n v="29.8"/>
    <n v="7.5"/>
    <n v="8.6"/>
    <n v="7.8"/>
    <n v="8.3000000000000007"/>
    <n v="253"/>
    <n v="269"/>
    <n v="2.4"/>
    <n v="2.7"/>
    <n v="0.62"/>
    <n v="0.67"/>
    <n v="610"/>
    <n v="680"/>
    <n v="1500"/>
    <n v="2000"/>
    <m/>
    <m/>
  </r>
  <r>
    <n v="1147"/>
    <s v="RIVER GANGA AT DALMAU (RAI BAREILLY), U.P."/>
    <x v="4"/>
    <n v="21"/>
    <n v="26"/>
    <n v="3"/>
    <n v="10.5"/>
    <n v="7.7"/>
    <n v="8"/>
    <n v="268"/>
    <n v="377"/>
    <n v="2.5"/>
    <n v="3.9"/>
    <n v="0.78"/>
    <n v="0.98"/>
    <n v="1300"/>
    <n v="2400"/>
    <n v="2200"/>
    <n v="3900"/>
    <n v="8"/>
    <n v="22"/>
  </r>
  <r>
    <n v="2498"/>
    <s v="RIVER GANGA AT KALA KANKAR, RAEBARELI"/>
    <x v="4"/>
    <n v="21"/>
    <n v="26"/>
    <n v="0.3"/>
    <n v="10.6"/>
    <n v="7.8"/>
    <n v="8"/>
    <n v="265"/>
    <n v="373"/>
    <n v="2.4"/>
    <n v="3.8"/>
    <n v="0.76"/>
    <n v="0.88"/>
    <n v="1100"/>
    <n v="2300"/>
    <n v="2200"/>
    <n v="3400"/>
    <n v="7"/>
    <n v="22"/>
  </r>
  <r>
    <n v="2487"/>
    <s v="RIVER GANGA AT KADAGHAT, KAUSHAMABI"/>
    <x v="4"/>
    <n v="20.5"/>
    <n v="30.7"/>
    <n v="6.9"/>
    <n v="9.3000000000000007"/>
    <n v="7.7"/>
    <n v="8.4"/>
    <n v="246"/>
    <n v="286"/>
    <n v="2.6"/>
    <n v="2.9"/>
    <n v="0.64"/>
    <n v="0.74"/>
    <n v="400"/>
    <n v="680"/>
    <n v="1300"/>
    <n v="2000"/>
    <m/>
    <m/>
  </r>
  <r>
    <n v="5713"/>
    <s v="RIVER GANGA AT GANGA BRIDGE .NH19, DHEEMI"/>
    <x v="4"/>
    <n v="24"/>
    <n v="25"/>
    <n v="7.8"/>
    <n v="8.6"/>
    <n v="7.8"/>
    <n v="7.9"/>
    <n v="271"/>
    <n v="334"/>
    <n v="3.1"/>
    <n v="3.2"/>
    <n v="0.76"/>
    <n v="0.78"/>
    <n v="1700"/>
    <n v="2200"/>
    <n v="2700"/>
    <n v="3200"/>
    <n v="14"/>
    <n v="20"/>
  </r>
  <r>
    <n v="1046"/>
    <s v="RIVER GANGA AT PRAYAGRAJ (RASOOLABAD), U.P."/>
    <x v="4"/>
    <n v="20.399999999999999"/>
    <n v="30.8"/>
    <n v="7.2"/>
    <n v="9.1999999999999993"/>
    <n v="7.8"/>
    <n v="8.4"/>
    <n v="220"/>
    <n v="273"/>
    <n v="2.7"/>
    <n v="2.9"/>
    <n v="0.6"/>
    <n v="0.76"/>
    <n v="450"/>
    <n v="920"/>
    <n v="1700"/>
    <n v="2400"/>
    <m/>
    <m/>
  </r>
  <r>
    <n v="1049"/>
    <s v="RIVER GANGA AT PRAYAGRAJ D/S (SANGAM), U.P."/>
    <x v="4"/>
    <n v="20.399999999999999"/>
    <n v="30.8"/>
    <n v="7.1"/>
    <n v="9.1"/>
    <n v="7.8"/>
    <n v="8.4"/>
    <n v="258"/>
    <n v="292"/>
    <n v="2.6"/>
    <n v="3"/>
    <n v="0.53"/>
    <n v="0.73"/>
    <n v="680"/>
    <n v="930"/>
    <n v="2200"/>
    <n v="2700"/>
    <m/>
    <m/>
  </r>
  <r>
    <n v="5714"/>
    <s v="RIVER GANGA B/CÂ TAMSA RIVER AT PRACHIN_x000a_SHIVALAYA DUMDUMA GHAT"/>
    <x v="4"/>
    <n v="25.8"/>
    <n v="29.7"/>
    <n v="7.5"/>
    <n v="8.6999999999999993"/>
    <n v="7.7"/>
    <n v="8.1"/>
    <n v="260"/>
    <n v="284"/>
    <n v="2.5"/>
    <n v="2.9"/>
    <n v="0.56999999999999995"/>
    <n v="0.7"/>
    <n v="610"/>
    <n v="780"/>
    <n v="1500"/>
    <n v="2100"/>
    <m/>
    <m/>
  </r>
  <r>
    <n v="10158"/>
    <s v="RIVER GANGA A/C TAMSA RIVER, SIRSA, SON BARSA"/>
    <x v="4"/>
    <n v="20.5"/>
    <n v="30.7"/>
    <n v="7.2"/>
    <n v="8.9"/>
    <n v="7.4"/>
    <n v="8.4"/>
    <n v="260"/>
    <n v="297"/>
    <n v="2.6"/>
    <n v="3"/>
    <n v="0.61"/>
    <n v="0.72"/>
    <n v="610"/>
    <n v="920"/>
    <n v="1500"/>
    <n v="2500"/>
    <m/>
    <m/>
  </r>
  <r>
    <n v="2485"/>
    <s v="RIVER GANGA U/S, VINDHYACHAL, MIRZAPUR"/>
    <x v="4"/>
    <n v="22.5"/>
    <n v="31"/>
    <n v="7.3"/>
    <n v="9.4"/>
    <n v="7.9"/>
    <n v="8.4"/>
    <n v="324"/>
    <n v="542"/>
    <n v="2.2000000000000002"/>
    <n v="2.9"/>
    <n v="0.62"/>
    <n v="124"/>
    <n v="700"/>
    <n v="1300"/>
    <n v="1200"/>
    <n v="2000"/>
    <n v="380"/>
    <n v="700"/>
  </r>
  <r>
    <n v="2486"/>
    <s v="RIVER GANGA D/S, MIRZAPUR"/>
    <x v="4"/>
    <n v="22.5"/>
    <n v="31"/>
    <n v="6.6"/>
    <n v="8.5"/>
    <n v="7.6"/>
    <n v="8"/>
    <n v="332"/>
    <n v="552"/>
    <n v="3.3"/>
    <n v="4.5"/>
    <n v="0"/>
    <n v="1.96"/>
    <n v="7900"/>
    <n v="14000"/>
    <n v="13000"/>
    <n v="22000"/>
    <n v="3400"/>
    <n v="9400"/>
  </r>
  <r>
    <n v="10153"/>
    <s v="RIVER GANGA AT CHUNAR"/>
    <x v="4"/>
    <n v="23"/>
    <n v="31.5"/>
    <n v="7"/>
    <n v="9"/>
    <n v="7.7"/>
    <n v="8.1999999999999993"/>
    <n v="328"/>
    <n v="548"/>
    <n v="2.8"/>
    <n v="3.8"/>
    <n v="0.68"/>
    <n v="1.88"/>
    <n v="5800"/>
    <n v="11000"/>
    <n v="8400"/>
    <n v="17000"/>
    <n v="630"/>
    <n v="6300"/>
  </r>
  <r>
    <n v="1070"/>
    <s v="RIVER GANGA AT VARANASI U/S NEAR VISHWASUNDARI_x000a_BRIDGE B/C DRAINS( NAGWA NALA, SAMNE GHAT_x000a_NALA,NAKHHI NALA)"/>
    <x v="4"/>
    <n v="22.5"/>
    <n v="31"/>
    <n v="7.2"/>
    <n v="9.6"/>
    <n v="7.8"/>
    <n v="8.4"/>
    <n v="320"/>
    <n v="542"/>
    <n v="2.1"/>
    <n v="2.8"/>
    <n v="0.57999999999999996"/>
    <n v="1.56"/>
    <n v="680"/>
    <n v="1100"/>
    <n v="1100"/>
    <n v="2000"/>
    <n v="310"/>
    <n v="550"/>
  </r>
  <r>
    <n v="1071"/>
    <s v="RIVER GANGA AT VARANASI D/S , A/C RIVER VARUNA ,_x000a_U.P"/>
    <x v="4"/>
    <n v="22.5"/>
    <n v="31"/>
    <n v="6.7"/>
    <n v="8.5"/>
    <n v="7.6"/>
    <n v="8.1"/>
    <n v="332"/>
    <n v="550"/>
    <n v="3.3"/>
    <n v="4.5"/>
    <n v="0.72"/>
    <n v="2.25"/>
    <n v="7900"/>
    <n v="17000"/>
    <n v="14000"/>
    <n v="23000"/>
    <n v="4900"/>
    <n v="9200"/>
  </r>
  <r>
    <n v="5715"/>
    <s v="RIVER GANGAÂ B/C GOMTI RIVER AT BALUA GHAT_x000a_BRIDGE, VARANASI"/>
    <x v="4"/>
    <n v="27"/>
    <n v="29"/>
    <n v="7"/>
    <n v="7.8"/>
    <n v="7.7"/>
    <n v="8"/>
    <n v="328"/>
    <n v="540"/>
    <n v="3.2"/>
    <n v="4.2"/>
    <n v="0.68"/>
    <n v="1.86"/>
    <n v="6300"/>
    <n v="11000"/>
    <n v="9400"/>
    <n v="17000"/>
    <n v="4600"/>
    <n v="6300"/>
  </r>
  <r>
    <n v="10152"/>
    <s v="RIVER GANGA A/C GOMTI RIVER, BHUSAULA"/>
    <x v="4"/>
    <n v="23"/>
    <n v="33.5"/>
    <n v="7"/>
    <n v="8.8000000000000007"/>
    <n v="7.8"/>
    <n v="8.1999999999999993"/>
    <n v="324"/>
    <n v="546"/>
    <n v="2.8"/>
    <n v="3.8"/>
    <n v="0.65"/>
    <n v="1.98"/>
    <n v="4600"/>
    <n v="11000"/>
    <n v="8400"/>
    <n v="17000"/>
    <n v="4100"/>
    <n v="9800"/>
  </r>
  <r>
    <n v="5716"/>
    <s v="RIVER GANGAÂ ZAMANIA GANGA BRIDGE , ZAMANIZ,_x000a_UP"/>
    <x v="4"/>
    <n v="27"/>
    <n v="29"/>
    <n v="7.4"/>
    <n v="8.4"/>
    <n v="7.3"/>
    <n v="8.1999999999999993"/>
    <n v="320"/>
    <n v="536"/>
    <n v="2.8"/>
    <n v="3.6"/>
    <n v="0.6"/>
    <n v="1.76"/>
    <n v="4600"/>
    <n v="7000"/>
    <n v="6300"/>
    <n v="11000"/>
    <n v="2700"/>
    <n v="4900"/>
  </r>
  <r>
    <n v="1073"/>
    <s v="RIVER GANGA AT TARIGHAT (GHAZIPUR), U.P"/>
    <x v="4"/>
    <n v="23"/>
    <n v="31.5"/>
    <n v="6.5"/>
    <n v="8.1999999999999993"/>
    <n v="7.7"/>
    <n v="8"/>
    <n v="336"/>
    <n v="768"/>
    <n v="3.5"/>
    <n v="4.7"/>
    <n v="0.78"/>
    <n v="2.3199999999999998"/>
    <n v="9400"/>
    <n v="17000"/>
    <n v="15000"/>
    <n v="26000"/>
    <n v="6300"/>
    <n v="13000"/>
  </r>
  <r>
    <n v="10113"/>
    <s v="RIVER GANGA AT U/S JAIL GHAT, BUXAR"/>
    <x v="5"/>
    <n v="16"/>
    <n v="33"/>
    <n v="6.9"/>
    <n v="8.8000000000000007"/>
    <n v="7.2"/>
    <n v="8.1999999999999993"/>
    <n v="225"/>
    <n v="617"/>
    <n v="1"/>
    <n v="2.5"/>
    <n v="0.3"/>
    <n v="0.3"/>
    <n v="780"/>
    <n v="92000"/>
    <n v="2300"/>
    <n v="160000"/>
    <n v="2"/>
    <n v="490"/>
  </r>
  <r>
    <n v="1074"/>
    <s v="RIVER GANGA CHUSA AT BUXAR"/>
    <x v="5"/>
    <n v="17"/>
    <n v="32"/>
    <n v="7"/>
    <n v="9"/>
    <n v="7.1"/>
    <n v="8.3000000000000007"/>
    <n v="247"/>
    <n v="646"/>
    <n v="1"/>
    <n v="2.1"/>
    <n v="0.3"/>
    <n v="0.34"/>
    <n v="2200"/>
    <n v="54000"/>
    <n v="3300"/>
    <n v="92000"/>
    <n v="2"/>
    <n v="330"/>
  </r>
  <r>
    <n v="2551"/>
    <s v="RIVER GANGA AT BUXAR, RAMREKHAGHAT"/>
    <x v="5"/>
    <n v="16"/>
    <n v="33"/>
    <n v="6.7"/>
    <n v="8.5"/>
    <n v="7.3"/>
    <n v="8.4"/>
    <n v="243"/>
    <n v="635"/>
    <n v="1"/>
    <n v="2.6"/>
    <n v="0.3"/>
    <n v="0.3"/>
    <n v="1300"/>
    <n v="92000"/>
    <n v="2300"/>
    <n v="160000"/>
    <n v="2"/>
    <n v="1100"/>
  </r>
  <r>
    <n v="3113"/>
    <s v="RIVER GANGA AT D/S BUXAR NEAR VEER KUNWAR_x000a_SINGH ROAD BRIDGE"/>
    <x v="5"/>
    <n v="16"/>
    <n v="31"/>
    <n v="6.5"/>
    <n v="8.9"/>
    <n v="7.3"/>
    <n v="8.1999999999999993"/>
    <n v="249"/>
    <n v="610"/>
    <n v="1"/>
    <n v="2.6"/>
    <n v="0.3"/>
    <n v="0.33"/>
    <n v="1300"/>
    <n v="54000"/>
    <n v="2300"/>
    <n v="92000"/>
    <n v="2"/>
    <n v="220"/>
  </r>
  <r>
    <n v="10162"/>
    <s v="RIVER GANGA AT ARA- CHAPRA ROAD BRIDGE_x000a_(KOIILWAR BARHARA-CHAPRA ROAD)"/>
    <x v="5"/>
    <n v="17"/>
    <n v="32"/>
    <n v="7.3"/>
    <n v="8.9"/>
    <n v="7.2"/>
    <n v="8.3000000000000007"/>
    <n v="219"/>
    <n v="432"/>
    <n v="1"/>
    <n v="2.5"/>
    <n v="0.3"/>
    <n v="0.35"/>
    <n v="130"/>
    <n v="35000"/>
    <n v="230"/>
    <n v="54000"/>
    <n v="2"/>
    <n v="540"/>
  </r>
  <r>
    <n v="2564"/>
    <s v="RIVER GANGA AT THE BALUGHAT, DORIGANJ, SARAN"/>
    <x v="5"/>
    <n v="16"/>
    <n v="32"/>
    <n v="6.6"/>
    <n v="9"/>
    <n v="7.4"/>
    <n v="8.4"/>
    <n v="211"/>
    <n v="483"/>
    <n v="1"/>
    <n v="2.8"/>
    <n v="0.3"/>
    <n v="0.32"/>
    <n v="780"/>
    <n v="92000"/>
    <n v="2300"/>
    <n v="160000"/>
    <n v="2"/>
    <n v="1300"/>
  </r>
  <r>
    <n v="10114"/>
    <s v="RIVER GANGA AT MAA AMBIKA ASTHAN, AAMI, SARAN"/>
    <x v="5"/>
    <n v="15"/>
    <n v="32"/>
    <n v="6.9"/>
    <n v="8.8000000000000007"/>
    <n v="7.4"/>
    <n v="8"/>
    <n v="209"/>
    <n v="409"/>
    <n v="1.2"/>
    <n v="2.6"/>
    <n v="0.3"/>
    <n v="0.3"/>
    <n v="780"/>
    <n v="92000"/>
    <n v="2300"/>
    <n v="160000"/>
    <n v="2"/>
    <n v="790"/>
  </r>
  <r>
    <n v="3114"/>
    <s v="RIVER GANGA NEAR DANAPUR (NEAR PIPA PUL) ,PATNA"/>
    <x v="5"/>
    <n v="13"/>
    <n v="33"/>
    <n v="6.8"/>
    <n v="9.9"/>
    <n v="7.2"/>
    <n v="8.4"/>
    <n v="268"/>
    <n v="542"/>
    <n v="1"/>
    <n v="2.2000000000000002"/>
    <n v="0.3"/>
    <n v="0.34"/>
    <n v="1100"/>
    <n v="54000"/>
    <n v="1400"/>
    <n v="92000"/>
    <n v="2"/>
    <n v="490"/>
  </r>
  <r>
    <n v="1077"/>
    <s v="RIVER GANGA AT DIGHA, NEAR J P SETU, PATNA U/S"/>
    <x v="5"/>
    <n v="13"/>
    <n v="32"/>
    <n v="6.9"/>
    <n v="9.8000000000000007"/>
    <n v="7.2"/>
    <n v="8.4"/>
    <n v="251"/>
    <n v="417"/>
    <n v="1"/>
    <n v="2.2000000000000002"/>
    <n v="0.3"/>
    <n v="0.3"/>
    <n v="2300"/>
    <n v="92000"/>
    <n v="3300"/>
    <n v="160000"/>
    <n v="2"/>
    <n v="490"/>
  </r>
  <r>
    <n v="2552"/>
    <s v="RIVER GANGA AT GANDHIGHAT, NIT PATNA"/>
    <x v="5"/>
    <n v="13"/>
    <n v="32"/>
    <n v="6.1"/>
    <n v="9.5"/>
    <n v="7.1"/>
    <n v="8.3000000000000007"/>
    <n v="242"/>
    <n v="415"/>
    <n v="1"/>
    <n v="2.5"/>
    <n v="0.3"/>
    <n v="0.3"/>
    <n v="17000"/>
    <n v="92000"/>
    <n v="28000"/>
    <n v="160000"/>
    <n v="2"/>
    <n v="5400"/>
  </r>
  <r>
    <n v="10115"/>
    <s v="RIVER GANGA AT GULABI GHAT, PATNA"/>
    <x v="5"/>
    <n v="13"/>
    <n v="31"/>
    <n v="6.3"/>
    <n v="9"/>
    <n v="7.2"/>
    <n v="8.4"/>
    <n v="251"/>
    <n v="398"/>
    <n v="1.2"/>
    <n v="2.5"/>
    <n v="0.3"/>
    <n v="0.3"/>
    <n v="13000"/>
    <n v="92000"/>
    <n v="22000"/>
    <n v="160000"/>
    <n v="2"/>
    <n v="35000"/>
  </r>
  <r>
    <n v="1079"/>
    <s v="RIVER GANGA AT PATNA D/S (GANGA BRIDGE),_x000a_GAIGHAT, PATNA"/>
    <x v="5"/>
    <n v="13"/>
    <n v="33"/>
    <n v="6.1"/>
    <n v="9.4"/>
    <n v="7.22"/>
    <n v="8.3800000000000008"/>
    <n v="240"/>
    <n v="418"/>
    <n v="1.1000000000000001"/>
    <n v="2.6"/>
    <n v="0.3"/>
    <n v="0.32"/>
    <n v="2300"/>
    <n v="92000"/>
    <n v="3300"/>
    <n v="160000"/>
    <n v="2"/>
    <n v="2400"/>
  </r>
  <r>
    <n v="3122"/>
    <s v="RIVER GANGA AT MALSALAMI, PATNA CITY, PATNA"/>
    <x v="5"/>
    <n v="13"/>
    <n v="33"/>
    <n v="6.5"/>
    <n v="9.3000000000000007"/>
    <n v="7.2"/>
    <n v="8.3000000000000007"/>
    <n v="238"/>
    <n v="406"/>
    <n v="1"/>
    <n v="2.9"/>
    <n v="0.3"/>
    <n v="0.3"/>
    <n v="1300"/>
    <n v="92000"/>
    <n v="2300"/>
    <n v="160000"/>
    <n v="2"/>
    <n v="1300"/>
  </r>
  <r>
    <n v="4297"/>
    <s v="RIVER GANGA AT KACHCHI-DARGAH-BIDUPUR NEAR_x000a_ROAD BRIDGE, PATNA"/>
    <x v="5"/>
    <n v="13"/>
    <n v="32"/>
    <n v="6.3"/>
    <n v="9.5"/>
    <n v="7.1"/>
    <n v="8.4"/>
    <n v="240"/>
    <n v="410"/>
    <n v="1"/>
    <n v="2.2999999999999998"/>
    <n v="0.3"/>
    <n v="0.3"/>
    <n v="2300"/>
    <n v="54000"/>
    <n v="4600"/>
    <n v="92000"/>
    <n v="2"/>
    <n v="1300"/>
  </r>
  <r>
    <n v="10122"/>
    <s v="RIVER GANGA AT TRIVENI GHAT, PATNA"/>
    <x v="5"/>
    <n v="14"/>
    <n v="33"/>
    <n v="6.1"/>
    <n v="8.8000000000000007"/>
    <n v="7.2"/>
    <n v="8.4"/>
    <n v="232"/>
    <n v="417"/>
    <n v="1.2"/>
    <n v="2.6"/>
    <n v="0.3"/>
    <n v="0.3"/>
    <n v="2300"/>
    <n v="35000"/>
    <n v="3300"/>
    <n v="92000"/>
    <n v="2"/>
    <n v="490"/>
  </r>
  <r>
    <n v="2553"/>
    <s v="RIVER GANGA AT KEWALA GHAT,FATUHA, PATNA"/>
    <x v="5"/>
    <n v="14"/>
    <n v="33"/>
    <n v="6"/>
    <n v="8.5"/>
    <n v="7"/>
    <n v="8.3000000000000007"/>
    <n v="238"/>
    <n v="502"/>
    <n v="1.3"/>
    <n v="2.5"/>
    <n v="0.3"/>
    <n v="0.31"/>
    <n v="2300"/>
    <n v="92000"/>
    <n v="3300"/>
    <n v="160000"/>
    <n v="2"/>
    <n v="3500"/>
  </r>
  <r>
    <n v="4301"/>
    <s v="RIVER GANGA AT BAKHTIYARPUR-TAJPUR BRIDGE ON_x000a_GANGA, ATHMALGOLA, PATNA"/>
    <x v="5"/>
    <n v="15"/>
    <n v="31"/>
    <n v="7.2"/>
    <n v="9.4"/>
    <n v="7.4"/>
    <n v="8.1999999999999993"/>
    <n v="199"/>
    <n v="439"/>
    <n v="1"/>
    <n v="2.2999999999999998"/>
    <n v="0.3"/>
    <n v="0.3"/>
    <n v="130"/>
    <n v="54000"/>
    <n v="230"/>
    <n v="160000"/>
    <n v="2"/>
    <n v="110"/>
  </r>
  <r>
    <n v="3115"/>
    <s v="RIVER GANGA AT UMA NATH MANDIR,BARH"/>
    <x v="5"/>
    <n v="16"/>
    <n v="32"/>
    <n v="7.2"/>
    <n v="9.1"/>
    <n v="7.4"/>
    <n v="8.1999999999999993"/>
    <n v="188"/>
    <n v="436"/>
    <n v="1.1000000000000001"/>
    <n v="2.5"/>
    <n v="0.3"/>
    <n v="0.31"/>
    <n v="490"/>
    <n v="92000"/>
    <n v="790"/>
    <n v="160000"/>
    <n v="2"/>
    <n v="1300"/>
  </r>
  <r>
    <n v="10130"/>
    <s v="RIVER GANGA U/S OF M/S NTPC, BARH WATER INTAKE_x000a_POINT, BARH"/>
    <x v="5"/>
    <n v="16"/>
    <n v="32"/>
    <n v="7.3"/>
    <n v="9.5"/>
    <n v="7.3"/>
    <n v="8.1999999999999993"/>
    <n v="184"/>
    <n v="457"/>
    <n v="1"/>
    <n v="2.7"/>
    <n v="0.3"/>
    <n v="0.3"/>
    <n v="490"/>
    <n v="92000"/>
    <n v="700"/>
    <n v="160000"/>
    <n v="2"/>
    <n v="490"/>
  </r>
  <r>
    <n v="10131"/>
    <s v="RIVER GANGA D/S OF M/S NTPC, BARH WATER INTAKE_x000a_POINT,PATHANICHAK, BINDTOLA BARH"/>
    <x v="5"/>
    <n v="17"/>
    <n v="32"/>
    <n v="7"/>
    <n v="8.1999999999999993"/>
    <n v="7.4"/>
    <n v="8.1"/>
    <n v="179"/>
    <n v="380"/>
    <n v="1.5"/>
    <n v="2.2000000000000002"/>
    <n v="0.3"/>
    <n v="0.3"/>
    <n v="2300"/>
    <n v="17000"/>
    <n v="3300"/>
    <n v="22000"/>
    <n v="2"/>
    <n v="170"/>
  </r>
  <r>
    <n v="1817"/>
    <s v="RIVER GANGA AT MOKAMA (U/S), MAHADEO ASTHAN,_x000a_PATNA"/>
    <x v="5"/>
    <n v="16"/>
    <n v="33"/>
    <n v="7.2"/>
    <n v="9.5"/>
    <n v="7.2"/>
    <n v="8.4"/>
    <n v="190"/>
    <n v="435"/>
    <n v="1"/>
    <n v="2.8"/>
    <n v="0.3"/>
    <n v="0.3"/>
    <n v="2300"/>
    <n v="92000"/>
    <n v="3300"/>
    <n v="160000"/>
    <n v="2"/>
    <n v="330"/>
  </r>
  <r>
    <n v="1815"/>
    <s v="RIVER GANGA AT MOKAMA (D/S), NEAR RAJENDRA_x000a_BRIDGE , SIMIRIYA GHAT"/>
    <x v="5"/>
    <n v="12"/>
    <n v="34"/>
    <n v="7"/>
    <n v="9.9"/>
    <n v="7.1"/>
    <n v="8.3000000000000007"/>
    <n v="226"/>
    <n v="440"/>
    <n v="1"/>
    <n v="2.8"/>
    <n v="0.3"/>
    <n v="0.3"/>
    <n v="1700"/>
    <n v="92000"/>
    <n v="3300"/>
    <n v="160000"/>
    <n v="2"/>
    <n v="330"/>
  </r>
  <r>
    <n v="3123"/>
    <s v="RIVER GANGA AT BARAHIYA, NEPALITOLA, MARANCHI,_x000a_HATHIDAH AT MOKAMA, PATNA"/>
    <x v="5"/>
    <n v="15"/>
    <n v="33"/>
    <n v="6.9"/>
    <n v="9.4"/>
    <n v="7.2"/>
    <n v="8.3000000000000007"/>
    <n v="198"/>
    <n v="482"/>
    <n v="1"/>
    <n v="2.6"/>
    <n v="0.3"/>
    <n v="0.3"/>
    <n v="1300"/>
    <n v="92000"/>
    <n v="2300"/>
    <n v="160000"/>
    <n v="2"/>
    <n v="330"/>
  </r>
  <r>
    <n v="3116"/>
    <s v="RIVER GANGA AT U/S MUNGER KASHATHARNI GHAT"/>
    <x v="5"/>
    <n v="13"/>
    <n v="34"/>
    <n v="6.7"/>
    <n v="10"/>
    <n v="7.4"/>
    <n v="8.3000000000000007"/>
    <n v="229"/>
    <n v="413"/>
    <n v="1"/>
    <n v="3"/>
    <n v="0.3"/>
    <n v="0.3"/>
    <n v="3300"/>
    <n v="92000"/>
    <n v="7000"/>
    <n v="160000"/>
    <n v="2"/>
    <n v="1300"/>
  </r>
  <r>
    <n v="1818"/>
    <s v="RIVER GANGA AT MUNGER D/S, CREAMINATION GHAT"/>
    <x v="5"/>
    <n v="13"/>
    <n v="34"/>
    <n v="6.6"/>
    <n v="9.9"/>
    <n v="7.4"/>
    <n v="8.3000000000000007"/>
    <n v="227"/>
    <n v="433"/>
    <n v="1"/>
    <n v="2.7"/>
    <n v="0.3"/>
    <n v="0.3"/>
    <n v="2300"/>
    <n v="92000"/>
    <n v="3300"/>
    <n v="160000"/>
    <n v="2"/>
    <n v="1300"/>
  </r>
  <r>
    <n v="3117"/>
    <s v="RIVER GANGA AT U/S AJGABINATH MANDIR_x000a_SULTANGANJ, BHAGALPUR"/>
    <x v="5"/>
    <n v="14"/>
    <n v="38"/>
    <n v="6.7"/>
    <n v="9.8000000000000007"/>
    <n v="7.2"/>
    <n v="8.3000000000000007"/>
    <n v="225"/>
    <n v="440"/>
    <n v="1"/>
    <n v="2.5"/>
    <n v="0.3"/>
    <n v="0.3"/>
    <n v="1300"/>
    <n v="92000"/>
    <n v="2300"/>
    <n v="160000"/>
    <n v="2"/>
    <n v="790"/>
  </r>
  <r>
    <n v="2554"/>
    <s v="RIVER GANGA D/S CREMINATION GHAT AT_x000a_SULTANGANJ, BHAGALPUR"/>
    <x v="5"/>
    <n v="14"/>
    <n v="37"/>
    <n v="6.3"/>
    <n v="9.6"/>
    <n v="7.3"/>
    <n v="8.3000000000000007"/>
    <n v="222"/>
    <n v="414"/>
    <n v="1"/>
    <n v="2.4"/>
    <n v="0.3"/>
    <n v="0.31"/>
    <n v="2300"/>
    <n v="92000"/>
    <n v="3300"/>
    <n v="160000"/>
    <n v="2"/>
    <n v="1300"/>
  </r>
  <r>
    <n v="10138"/>
    <s v="RIVER GANGA AT CHAMPANAGAR, RASIDPUR,_x000a_BHAGALPUR"/>
    <x v="5"/>
    <n v="15"/>
    <n v="30"/>
    <n v="6.4"/>
    <n v="10"/>
    <n v="7.2"/>
    <n v="8.1999999999999993"/>
    <n v="187"/>
    <n v="479"/>
    <n v="1"/>
    <n v="2.1"/>
    <n v="0.3"/>
    <n v="0.3"/>
    <n v="2300"/>
    <n v="92000"/>
    <n v="3300"/>
    <n v="160000"/>
    <n v="2"/>
    <n v="3500"/>
  </r>
  <r>
    <n v="1819"/>
    <s v="RIVER GANGA AT BHAGALPUR, OPP. KUPPA GHAT"/>
    <x v="5"/>
    <n v="10"/>
    <n v="33"/>
    <n v="6.3"/>
    <n v="9"/>
    <n v="7.2"/>
    <n v="8.3000000000000007"/>
    <n v="219"/>
    <n v="463"/>
    <n v="1"/>
    <n v="2.9"/>
    <n v="0.3"/>
    <n v="0.33"/>
    <n v="1300"/>
    <n v="54000"/>
    <n v="2300"/>
    <n v="92000"/>
    <n v="2"/>
    <n v="230"/>
  </r>
  <r>
    <n v="4398"/>
    <s v="RIVER GANGA AT WATER INTAKE POINT, BHAGALPUR"/>
    <x v="5"/>
    <n v="12"/>
    <n v="29"/>
    <n v="5.5"/>
    <n v="9.6999999999999993"/>
    <n v="7.2"/>
    <n v="8.1"/>
    <n v="212"/>
    <n v="1240"/>
    <n v="1"/>
    <n v="2.7"/>
    <n v="0.3"/>
    <n v="0.31"/>
    <n v="450"/>
    <n v="54000"/>
    <n v="1300"/>
    <n v="92000"/>
    <n v="2"/>
    <n v="1700"/>
  </r>
  <r>
    <n v="3118"/>
    <s v="RIVER GANGA AT D/S BHAGALPUR NEAR BARARIGHAT"/>
    <x v="5"/>
    <n v="12"/>
    <n v="29"/>
    <n v="5.9"/>
    <n v="12.1"/>
    <n v="7.2"/>
    <n v="8.1999999999999993"/>
    <n v="211"/>
    <n v="522"/>
    <n v="1.1000000000000001"/>
    <n v="5.5"/>
    <n v="0.3"/>
    <n v="0.39"/>
    <n v="1300"/>
    <n v="92000"/>
    <n v="2300"/>
    <n v="160000"/>
    <n v="2"/>
    <n v="3500"/>
  </r>
  <r>
    <n v="1816"/>
    <s v="RIVER GANGA, JHAJGHAT AT KAHALGAON"/>
    <x v="5"/>
    <n v="16"/>
    <n v="34"/>
    <n v="6.5"/>
    <n v="9.1999999999999993"/>
    <n v="7"/>
    <n v="8.3000000000000007"/>
    <n v="214"/>
    <n v="434"/>
    <n v="1"/>
    <n v="2.6"/>
    <n v="0.3"/>
    <n v="0.3"/>
    <n v="1300"/>
    <n v="92000"/>
    <n v="2300"/>
    <n v="160000"/>
    <n v="2"/>
    <n v="920"/>
  </r>
  <r>
    <n v="10143"/>
    <s v="RIVER GANGA D/S NEAR CREMATION GHAT, KHALGOAN"/>
    <x v="5"/>
    <n v="16"/>
    <n v="34"/>
    <n v="6.7"/>
    <n v="9.1"/>
    <n v="7.4"/>
    <n v="8.3000000000000007"/>
    <n v="218"/>
    <n v="441"/>
    <n v="1"/>
    <n v="2.5"/>
    <n v="0.3"/>
    <n v="0.3"/>
    <n v="2300"/>
    <n v="92000"/>
    <n v="3300"/>
    <n v="160000"/>
    <n v="2"/>
    <n v="490"/>
  </r>
  <r>
    <n v="30076"/>
    <s v="RIVER GANGA AT MANJHIGHAT DIST. CHHAPRA(BIHAR)"/>
    <x v="5"/>
    <n v="22"/>
    <n v="28.2"/>
    <n v="7.9"/>
    <n v="8.4"/>
    <n v="7.8"/>
    <n v="8.5"/>
    <n v="296"/>
    <n v="700"/>
    <n v="2.1"/>
    <n v="5.8"/>
    <n v="0.32"/>
    <n v="0.69"/>
    <n v="200"/>
    <n v="13000"/>
    <n v="450"/>
    <n v="3500000"/>
    <m/>
    <m/>
  </r>
  <r>
    <n v="10144"/>
    <s v="RIVER GANGA U/S NEAR LCT GHAT"/>
    <x v="6"/>
    <n v="16"/>
    <n v="39"/>
    <n v="7"/>
    <n v="7.5"/>
    <n v="7.4"/>
    <n v="7.8"/>
    <n v="94"/>
    <n v="236"/>
    <n v="1.1000000000000001"/>
    <n v="1.3"/>
    <n v="0"/>
    <n v="0"/>
    <m/>
    <m/>
    <m/>
    <m/>
    <m/>
    <m/>
  </r>
  <r>
    <n v="10145"/>
    <s v="RIVER GANGA D/S NEAR JANTA GHAT"/>
    <x v="6"/>
    <n v="15"/>
    <n v="38"/>
    <n v="7.1"/>
    <n v="7.5"/>
    <n v="7.5"/>
    <n v="7.7"/>
    <n v="98"/>
    <n v="258"/>
    <n v="1.1000000000000001"/>
    <n v="1.4"/>
    <n v="0"/>
    <n v="0"/>
    <m/>
    <m/>
    <m/>
    <m/>
    <m/>
    <m/>
  </r>
  <r>
    <n v="1059"/>
    <s v="RIVER GANGA AT RAJMAHAL, BIHAR"/>
    <x v="6"/>
    <n v="15"/>
    <n v="38"/>
    <n v="6.7"/>
    <n v="7.3"/>
    <n v="7.3"/>
    <n v="7.7"/>
    <n v="102"/>
    <n v="159"/>
    <n v="1.1000000000000001"/>
    <n v="1.4"/>
    <n v="0"/>
    <n v="0"/>
    <m/>
    <m/>
    <m/>
    <m/>
    <m/>
    <m/>
  </r>
  <r>
    <n v="10146"/>
    <s v="RIVER GANGA AT SANGI DALAN"/>
    <x v="6"/>
    <n v="16"/>
    <n v="37"/>
    <n v="6.9"/>
    <n v="7.4"/>
    <n v="7.4"/>
    <n v="7.8"/>
    <n v="102"/>
    <n v="245"/>
    <n v="1.1000000000000001"/>
    <n v="1.3"/>
    <n v="0"/>
    <n v="0"/>
    <m/>
    <m/>
    <m/>
    <m/>
    <m/>
    <m/>
  </r>
  <r>
    <n v="5162"/>
    <s v="RIVER GANGA AT FARAKKA, MUSHIDABAD"/>
    <x v="7"/>
    <n v="17"/>
    <n v="35"/>
    <n v="5.5"/>
    <n v="9.8000000000000007"/>
    <n v="6.7"/>
    <n v="9"/>
    <n v="223"/>
    <n v="436"/>
    <n v="1.3"/>
    <n v="2.9"/>
    <n v="0.32"/>
    <n v="0.96"/>
    <n v="130"/>
    <n v="1700"/>
    <n v="220"/>
    <n v="5400"/>
    <n v="23"/>
    <n v="79"/>
  </r>
  <r>
    <n v="10160"/>
    <s v="RIVER GANGA AT BEHRAMPORE, (GORA_x000a_BAZAR),MURSHIDABAD"/>
    <x v="7"/>
    <n v="16"/>
    <n v="36"/>
    <n v="6.4"/>
    <n v="9.5"/>
    <n v="6.8"/>
    <n v="8.6999999999999993"/>
    <n v="227"/>
    <n v="429"/>
    <n v="1.4"/>
    <n v="2.9"/>
    <n v="0.32"/>
    <n v="0.71"/>
    <n v="790"/>
    <n v="17000"/>
    <n v="3300"/>
    <n v="24000"/>
    <n v="110"/>
    <n v="790"/>
  </r>
  <r>
    <n v="1080"/>
    <s v="RIVER GANGA AT BAHARAMPORE, MURSHIDABAD,_x000a_WEST BENGAL"/>
    <x v="7"/>
    <n v="16"/>
    <n v="36"/>
    <n v="5.9"/>
    <n v="9.9"/>
    <n v="6.7"/>
    <n v="9"/>
    <n v="219"/>
    <n v="439"/>
    <n v="1.3"/>
    <n v="2.8"/>
    <n v="0.32"/>
    <n v="0.89"/>
    <n v="1700"/>
    <n v="24000"/>
    <n v="3300"/>
    <n v="49000"/>
    <n v="130"/>
    <n v="1300"/>
  </r>
  <r>
    <n v="10159"/>
    <s v="RIVER GANGA AT BEHRAMPORE(KHAGRA),_x000a_MURSHIDABAD"/>
    <x v="7"/>
    <n v="16"/>
    <n v="36"/>
    <n v="6"/>
    <n v="9.8000000000000007"/>
    <n v="6.8"/>
    <n v="8.4"/>
    <n v="229"/>
    <n v="424"/>
    <n v="1.4"/>
    <n v="2.9"/>
    <n v="0.32"/>
    <n v="0.57999999999999996"/>
    <n v="130"/>
    <n v="3500"/>
    <n v="790"/>
    <n v="9200"/>
    <n v="23"/>
    <n v="170"/>
  </r>
  <r>
    <n v="2511"/>
    <s v="RIVER NABADIP ON GANGA, GHOSHPARA NEAR_x000a_MONIPURGHAT,NADIA"/>
    <x v="7"/>
    <n v="16"/>
    <n v="36"/>
    <n v="5.4"/>
    <n v="9.4"/>
    <n v="7"/>
    <n v="8.6"/>
    <n v="246"/>
    <n v="468"/>
    <n v="1"/>
    <n v="2.9"/>
    <n v="0.32"/>
    <n v="1.2"/>
    <n v="210"/>
    <n v="3500"/>
    <n v="1100"/>
    <n v="11000"/>
    <n v="49"/>
    <n v="240"/>
  </r>
  <r>
    <n v="2506"/>
    <s v="RIVER TRIBENI ON GANGA, NEAR BURNING GHAT,_x000a_HOOGHLY"/>
    <x v="7"/>
    <n v="15"/>
    <n v="36"/>
    <n v="5.0999999999999996"/>
    <n v="9.6999999999999993"/>
    <n v="6.7"/>
    <n v="8.5"/>
    <n v="224"/>
    <n v="427"/>
    <n v="1"/>
    <n v="3"/>
    <n v="0.32"/>
    <n v="0.62"/>
    <n v="240"/>
    <n v="5400"/>
    <n v="1100"/>
    <n v="14000"/>
    <n v="23"/>
    <n v="790"/>
  </r>
  <r>
    <n v="1054"/>
    <s v="RIVER GANGA AT PALTA WEST BENGAL"/>
    <x v="7"/>
    <n v="15"/>
    <n v="36"/>
    <n v="5.2"/>
    <n v="9.9"/>
    <n v="7.1"/>
    <n v="8.4"/>
    <n v="232"/>
    <n v="444"/>
    <n v="1.4"/>
    <n v="2.9"/>
    <n v="0.32"/>
    <n v="0.83"/>
    <n v="3500"/>
    <n v="49000"/>
    <n v="13000"/>
    <n v="79000"/>
    <n v="330"/>
    <n v="1400"/>
  </r>
  <r>
    <n v="10161"/>
    <s v="RIVER GANGA AT PALTA, SHITALTALA,"/>
    <x v="7"/>
    <n v="14"/>
    <n v="36"/>
    <n v="5.0999999999999996"/>
    <n v="9.6"/>
    <n v="7.1"/>
    <n v="8.6999999999999993"/>
    <n v="240"/>
    <n v="484"/>
    <n v="1.4"/>
    <n v="2.9"/>
    <n v="0.32"/>
    <n v="0.73"/>
    <n v="1700"/>
    <n v="49000"/>
    <n v="6300"/>
    <n v="110000"/>
    <n v="130"/>
    <n v="1400"/>
  </r>
  <r>
    <n v="1472"/>
    <s v="RIVER GANGA AT SERAMPORE, HOOGHLY,WEST_x000a_BENGAL"/>
    <x v="7"/>
    <n v="16"/>
    <n v="36"/>
    <n v="5.3"/>
    <n v="9.6999999999999993"/>
    <n v="7.1"/>
    <n v="8.4"/>
    <n v="268"/>
    <n v="4223"/>
    <n v="1.4"/>
    <n v="2.9"/>
    <n v="0.32"/>
    <n v="0.99"/>
    <n v="5400"/>
    <n v="54000"/>
    <n v="14000"/>
    <n v="79000"/>
    <n v="330"/>
    <n v="9400"/>
  </r>
  <r>
    <n v="1053"/>
    <s v="RIVER GANGA AT DAKSHMINESHWAR, KOLKATA, WEST_x000a_BENGAL"/>
    <x v="7"/>
    <n v="18"/>
    <n v="35"/>
    <n v="5"/>
    <n v="7.5"/>
    <n v="6.9"/>
    <n v="8.1"/>
    <n v="230"/>
    <n v="451"/>
    <n v="2.4"/>
    <n v="3.3"/>
    <n v="0.32"/>
    <n v="1.33"/>
    <n v="23000"/>
    <n v="84000"/>
    <n v="79000"/>
    <n v="170000"/>
    <n v="260"/>
    <n v="540"/>
  </r>
  <r>
    <n v="1471"/>
    <s v="RIVER GANGA AT HOWRAH-SHIVPUR WEST BENGAL"/>
    <x v="7"/>
    <n v="20"/>
    <n v="34"/>
    <n v="5"/>
    <n v="7.8"/>
    <n v="6.8"/>
    <n v="7.9"/>
    <n v="222"/>
    <n v="483"/>
    <n v="2.4"/>
    <n v="3.6"/>
    <n v="0.35"/>
    <n v="1.56"/>
    <n v="31000"/>
    <n v="79000"/>
    <n v="70000"/>
    <n v="140000"/>
    <n v="170"/>
    <n v="490"/>
  </r>
  <r>
    <n v="1470"/>
    <s v="RIVER GANGA AT GARDEN REACH, KOLKATA, WEST_x000a_BENGAL"/>
    <x v="7"/>
    <n v="20"/>
    <n v="36"/>
    <n v="5"/>
    <n v="7.8"/>
    <n v="6.9"/>
    <n v="8"/>
    <n v="243"/>
    <n v="469"/>
    <n v="2"/>
    <n v="3.9"/>
    <n v="0.33"/>
    <n v="1.84"/>
    <n v="33000"/>
    <n v="94000"/>
    <n v="70000"/>
    <n v="170000"/>
    <n v="210"/>
    <n v="580"/>
  </r>
  <r>
    <n v="1052"/>
    <s v="RIVER GANGA AT ULUBERIA , HOWRAH,WEST BENGAL"/>
    <x v="7"/>
    <n v="23"/>
    <n v="35"/>
    <n v="5"/>
    <n v="6.8"/>
    <n v="6.8"/>
    <n v="8"/>
    <n v="254"/>
    <n v="1224"/>
    <n v="2.2999999999999998"/>
    <n v="3.1"/>
    <n v="0.53"/>
    <n v="1.75"/>
    <n v="17000"/>
    <n v="34000"/>
    <n v="27000"/>
    <n v="49000"/>
    <n v="110"/>
    <n v="330"/>
  </r>
  <r>
    <n v="1469"/>
    <s v="RIVER GANGA AT DIAMOND HARBOUR, 24 PARGANAS_x000a_(S)WEST BENGAL"/>
    <x v="7"/>
    <n v="21"/>
    <n v="37"/>
    <n v="5.2"/>
    <n v="6.9"/>
    <n v="6.8"/>
    <n v="8.1999999999999993"/>
    <n v="508"/>
    <n v="10296"/>
    <n v="2.1"/>
    <n v="3.2"/>
    <n v="0.61"/>
    <n v="1.85"/>
    <n v="1300"/>
    <n v="7800"/>
    <n v="2200"/>
    <n v="11000"/>
    <n v="11"/>
    <n v="110"/>
  </r>
  <r>
    <n v="1335"/>
    <s v="RIVER GANGA AT PATIKALI NEAR DURGA CHAK WEST_x000a_BENGAL"/>
    <x v="7"/>
    <n v="22"/>
    <n v="34"/>
    <n v="5.4"/>
    <n v="7.5"/>
    <n v="7.8"/>
    <n v="8.5"/>
    <n v="705"/>
    <n v="17930"/>
    <n v="1"/>
    <n v="2.6"/>
    <n v="0.32"/>
    <n v="1.87"/>
    <n v="3600"/>
    <n v="7900"/>
    <n v="7900"/>
    <n v="14000"/>
    <n v="170"/>
    <n v="320"/>
  </r>
  <r>
    <n v="1492"/>
    <s v="RIVER YAMUNA AT YAMUNOTRI"/>
    <x v="3"/>
    <n v="4"/>
    <n v="4"/>
    <n v="11.2"/>
    <n v="11.2"/>
    <n v="7.8"/>
    <n v="7.8"/>
    <n v="31"/>
    <n v="31"/>
    <n v="1"/>
    <n v="1"/>
    <n v="0.32"/>
    <n v="0.32"/>
    <n v="2"/>
    <n v="2"/>
    <n v="2"/>
    <n v="2"/>
    <n v="2"/>
    <n v="2"/>
  </r>
  <r>
    <n v="1493"/>
    <s v="RIVER YAMUNA AT HANUMANCHATTI"/>
    <x v="3"/>
    <n v="10"/>
    <n v="10"/>
    <n v="10.8"/>
    <n v="10.8"/>
    <n v="7.6"/>
    <n v="7.6"/>
    <n v="56"/>
    <n v="56"/>
    <n v="1"/>
    <n v="1"/>
    <n v="0.33"/>
    <n v="0.33"/>
    <n v="2"/>
    <n v="2"/>
    <n v="2"/>
    <n v="2"/>
    <n v="2"/>
    <n v="2"/>
  </r>
  <r>
    <n v="1494"/>
    <s v="RIVER YAMUNA AT U/S OF LAKHWAR DAM"/>
    <x v="3"/>
    <n v="9"/>
    <n v="21"/>
    <n v="9.4"/>
    <n v="10.8"/>
    <n v="7.7"/>
    <n v="8.4"/>
    <n v="105"/>
    <n v="214"/>
    <n v="1"/>
    <n v="1"/>
    <n v="0.32"/>
    <n v="0.6"/>
    <n v="2"/>
    <n v="2"/>
    <n v="2"/>
    <n v="2"/>
    <n v="2"/>
    <n v="2"/>
  </r>
  <r>
    <n v="30025"/>
    <s v="RIVER YAMUNA AT DAK PATHER (UTTARAKHAND)"/>
    <x v="3"/>
    <n v="17"/>
    <n v="21"/>
    <n v="9.4"/>
    <n v="10.8"/>
    <n v="8.1999999999999993"/>
    <n v="8.4"/>
    <n v="128"/>
    <n v="286"/>
    <n v="1"/>
    <n v="9"/>
    <n v="0.32"/>
    <n v="0.47"/>
    <n v="2"/>
    <n v="4000"/>
    <n v="13"/>
    <n v="17000"/>
    <n v="2"/>
    <n v="230"/>
  </r>
  <r>
    <n v="1490"/>
    <s v="RIVER YAMUNA AT U/S DAKPATHER, DEHRADUN"/>
    <x v="3"/>
    <n v="10"/>
    <n v="22"/>
    <n v="9.1999999999999993"/>
    <n v="10.6"/>
    <n v="7"/>
    <n v="8.1"/>
    <n v="72"/>
    <n v="186"/>
    <n v="1"/>
    <n v="1"/>
    <n v="0.32"/>
    <n v="0.37"/>
    <n v="41"/>
    <n v="84"/>
    <n v="70"/>
    <n v="94"/>
    <n v="6"/>
    <n v="14"/>
  </r>
  <r>
    <n v="30027"/>
    <s v="RIVER YAMUNA AT PONTA SAHIB (H.P)"/>
    <x v="0"/>
    <n v="20"/>
    <n v="24.3"/>
    <n v="9"/>
    <n v="10.5"/>
    <n v="8"/>
    <n v="8.4"/>
    <n v="134"/>
    <n v="518"/>
    <n v="1"/>
    <n v="9"/>
    <n v="0.49"/>
    <n v="1.32"/>
    <n v="7"/>
    <n v="7800"/>
    <n v="170"/>
    <n v="33000"/>
    <n v="4"/>
    <n v="2400"/>
  </r>
  <r>
    <n v="1553"/>
    <s v="RIVER YAMUNA U/S PAONTA SAHIB"/>
    <x v="0"/>
    <n v="16"/>
    <n v="23"/>
    <n v="6.3"/>
    <n v="8.4"/>
    <n v="7"/>
    <n v="8.4"/>
    <n v="264"/>
    <n v="702"/>
    <n v="1"/>
    <n v="2.5"/>
    <n v="0.54"/>
    <n v="0.9"/>
    <n v="2"/>
    <n v="94"/>
    <n v="49"/>
    <n v="220"/>
    <n v="2"/>
    <n v="2"/>
  </r>
  <r>
    <n v="1554"/>
    <s v="RIVER YAMUNA D/S PAONTA SAHIB"/>
    <x v="0"/>
    <n v="16"/>
    <n v="22"/>
    <n v="6.3"/>
    <n v="8.4"/>
    <n v="7.7"/>
    <n v="8.3000000000000007"/>
    <n v="243"/>
    <n v="666"/>
    <n v="1.6"/>
    <n v="3.6"/>
    <n v="0.54"/>
    <n v="0.9"/>
    <n v="2"/>
    <n v="220"/>
    <n v="94"/>
    <n v="540"/>
    <n v="2"/>
    <n v="2"/>
  </r>
  <r>
    <n v="4439"/>
    <s v="RIVER YAMUNA U/S SUN PHARMACEUTICALS"/>
    <x v="0"/>
    <n v="15"/>
    <n v="23"/>
    <n v="6.4"/>
    <n v="8.5"/>
    <n v="7.4"/>
    <n v="8.3000000000000007"/>
    <n v="257"/>
    <n v="587"/>
    <n v="1.3"/>
    <n v="2.9"/>
    <n v="0.54"/>
    <n v="0.92"/>
    <n v="40"/>
    <n v="240"/>
    <n v="170"/>
    <n v="350"/>
    <n v="2"/>
    <n v="2"/>
  </r>
  <r>
    <n v="4440"/>
    <s v="RIVER YAMUNA D/S SUN PHARMACEUTICALS"/>
    <x v="0"/>
    <n v="16"/>
    <n v="24"/>
    <n v="6.4"/>
    <n v="8.4"/>
    <n v="7.7"/>
    <n v="8.4"/>
    <n v="301"/>
    <n v="550"/>
    <n v="1.2"/>
    <n v="3.5"/>
    <n v="0"/>
    <n v="0.92"/>
    <n v="46"/>
    <n v="350"/>
    <n v="280"/>
    <n v="920"/>
    <n v="2"/>
    <n v="2"/>
  </r>
  <r>
    <n v="30028"/>
    <s v="RIVER YAMUNA AT BURIYA U/S JAGADHARI, MANDOLI,_x000a_HARYANA"/>
    <x v="8"/>
    <n v="17.5"/>
    <n v="27.5"/>
    <n v="7.9"/>
    <n v="8.8000000000000007"/>
    <n v="8"/>
    <n v="8.4"/>
    <n v="211"/>
    <n v="358"/>
    <n v="1"/>
    <n v="15"/>
    <n v="0.53"/>
    <n v="0.89"/>
    <n v="110"/>
    <n v="4900"/>
    <n v="790"/>
    <n v="92000"/>
    <n v="2"/>
    <n v="490"/>
  </r>
  <r>
    <n v="30035"/>
    <s v="RIVER YAMUNA AT HATHNIKUND"/>
    <x v="8"/>
    <n v="14"/>
    <n v="20"/>
    <n v="7.6"/>
    <n v="9.8000000000000007"/>
    <n v="7.8"/>
    <n v="8.3000000000000007"/>
    <n v="208"/>
    <n v="390"/>
    <n v="1"/>
    <n v="6"/>
    <n v="0.79"/>
    <n v="1.07"/>
    <n v="14"/>
    <n v="1300"/>
    <n v="79"/>
    <n v="13000"/>
    <n v="5"/>
    <n v="330"/>
  </r>
  <r>
    <n v="10006"/>
    <s v="RIVER YAMUNA AT PALLA"/>
    <x v="9"/>
    <n v="16"/>
    <n v="16"/>
    <n v="11.2"/>
    <n v="11.2"/>
    <n v="7.5"/>
    <n v="7.5"/>
    <n v="1172"/>
    <n v="1172"/>
    <n v="13"/>
    <n v="13"/>
    <n v="2"/>
    <n v="2"/>
    <n v="1400"/>
    <n v="1400"/>
    <n v="2200"/>
    <n v="2200"/>
    <n v="33"/>
    <n v="33"/>
  </r>
  <r>
    <n v="30031"/>
    <s v="RIVER YAMUNA AT HASANPUR"/>
    <x v="8"/>
    <n v="16"/>
    <n v="30"/>
    <n v="0.3"/>
    <n v="6"/>
    <n v="7.6"/>
    <n v="8.6999999999999993"/>
    <n v="1034"/>
    <n v="1358"/>
    <n v="11"/>
    <n v="36"/>
    <n v="0.32"/>
    <n v="0.67"/>
    <n v="1700"/>
    <n v="490000"/>
    <n v="6300"/>
    <n v="790000"/>
    <n v="330"/>
    <n v="130000"/>
  </r>
  <r>
    <n v="30024"/>
    <s v="RIVER YAMUNA AT MOHENA PALWAL ROAD, HARYANA"/>
    <x v="8"/>
    <n v="15"/>
    <n v="28"/>
    <n v="0.3"/>
    <n v="1.7"/>
    <n v="7.5"/>
    <n v="8.1999999999999993"/>
    <n v="1101"/>
    <n v="1385"/>
    <n v="12"/>
    <n v="55"/>
    <n v="0.37"/>
    <n v="3.8"/>
    <n v="130000"/>
    <n v="1700000"/>
    <n v="130000"/>
    <n v="9400000"/>
    <n v="17000"/>
    <n v="130000"/>
  </r>
  <r>
    <n v="2493"/>
    <s v="RIVER YAMUNA AT SHAHPUR"/>
    <x v="4"/>
    <n v="12"/>
    <n v="28"/>
    <n v="4.2"/>
    <n v="7.2"/>
    <n v="7.6"/>
    <n v="8.1"/>
    <n v="692"/>
    <n v="734"/>
    <n v="9.1999999999999993"/>
    <n v="15.6"/>
    <n v="0"/>
    <n v="0"/>
    <n v="23000"/>
    <n v="49000"/>
    <n v="58000"/>
    <n v="110000"/>
    <m/>
    <m/>
  </r>
  <r>
    <n v="2495"/>
    <s v="RIVER YAMUNA AT KESIGHAT, VRINDAVAN"/>
    <x v="4"/>
    <n v="11"/>
    <n v="28"/>
    <n v="4"/>
    <n v="7.4"/>
    <n v="7.6"/>
    <n v="8.1999999999999993"/>
    <n v="614"/>
    <n v="642"/>
    <n v="7.6"/>
    <n v="11.6"/>
    <n v="0"/>
    <n v="0"/>
    <n v="22000"/>
    <n v="33000"/>
    <n v="49000"/>
    <n v="94000"/>
    <m/>
    <m/>
  </r>
  <r>
    <n v="1123"/>
    <s v="RIVER YAMUNA AT MATHURA U/S ,NEAR GAUGHAT U.P."/>
    <x v="4"/>
    <n v="11"/>
    <n v="28"/>
    <n v="4.5999999999999996"/>
    <n v="6.6"/>
    <n v="7.6"/>
    <n v="8.1999999999999993"/>
    <n v="543"/>
    <n v="628"/>
    <n v="7.8"/>
    <n v="12.2"/>
    <n v="0"/>
    <n v="0"/>
    <n v="12000"/>
    <n v="33000"/>
    <n v="39000"/>
    <n v="94000"/>
    <m/>
    <m/>
  </r>
  <r>
    <n v="2494"/>
    <s v="RIVER YAMUNA AT VISHRAMGHAT, MATHURA"/>
    <x v="4"/>
    <n v="11"/>
    <n v="28"/>
    <n v="4.2"/>
    <n v="6.8"/>
    <n v="7.6"/>
    <n v="8.1999999999999993"/>
    <n v="572"/>
    <n v="652"/>
    <n v="8"/>
    <n v="13.2"/>
    <n v="0"/>
    <n v="0"/>
    <n v="14000"/>
    <n v="33000"/>
    <n v="41000"/>
    <n v="120000"/>
    <m/>
    <m/>
  </r>
  <r>
    <n v="1124"/>
    <s v="RIVER YAMUNA AT MATHURA D/S , NEAR SHAMSHAN_x000a_GHAT U.P."/>
    <x v="4"/>
    <n v="11"/>
    <n v="28"/>
    <n v="4"/>
    <n v="6.4"/>
    <n v="7.8"/>
    <n v="8.1999999999999993"/>
    <n v="618"/>
    <n v="668"/>
    <n v="8.8000000000000007"/>
    <n v="14"/>
    <n v="0"/>
    <n v="0"/>
    <n v="572"/>
    <n v="38000"/>
    <n v="640"/>
    <n v="150000"/>
    <m/>
    <m/>
  </r>
  <r>
    <n v="1125"/>
    <s v="RIVER YAMUNA AT AGRA U/S, U.P.(KAILASH GHAT)"/>
    <x v="4"/>
    <n v="24"/>
    <n v="28"/>
    <n v="7"/>
    <n v="8"/>
    <n v="7.5"/>
    <n v="7.8"/>
    <n v="406"/>
    <n v="1800"/>
    <n v="6.4"/>
    <n v="14.4"/>
    <n v="0"/>
    <n v="0"/>
    <n v="4000"/>
    <n v="7000"/>
    <n v="7800"/>
    <n v="11000"/>
    <m/>
    <m/>
  </r>
  <r>
    <n v="1126"/>
    <s v="RIVER YAMUNA AT D/S OF AGRA, U.P."/>
    <x v="4"/>
    <n v="24"/>
    <n v="28"/>
    <n v="6.6"/>
    <n v="7"/>
    <n v="6.7"/>
    <n v="7.5"/>
    <n v="512"/>
    <n v="2045"/>
    <n v="7.2"/>
    <n v="15.6"/>
    <n v="0"/>
    <n v="0"/>
    <n v="6800"/>
    <n v="17000"/>
    <n v="11000"/>
    <n v="33000"/>
    <m/>
    <m/>
  </r>
  <r>
    <n v="1498"/>
    <s v="RIVER YAMUNA AT BATESWAR, U.P"/>
    <x v="4"/>
    <n v="23"/>
    <n v="28"/>
    <n v="6"/>
    <n v="7.2"/>
    <n v="7.4"/>
    <n v="7.8"/>
    <n v="1022"/>
    <n v="2512"/>
    <n v="8"/>
    <n v="9.6"/>
    <n v="0"/>
    <n v="0"/>
    <n v="6800"/>
    <n v="17000"/>
    <n v="9300"/>
    <n v="25000"/>
    <m/>
    <m/>
  </r>
  <r>
    <n v="10081"/>
    <s v="RIVER YAMUNA AT ETAWAH D/S"/>
    <x v="4"/>
    <n v="16.8"/>
    <n v="36.799999999999997"/>
    <n v="5.0999999999999996"/>
    <n v="7.1"/>
    <n v="7.5"/>
    <n v="7.9"/>
    <n v="487"/>
    <n v="2438"/>
    <n v="8.4"/>
    <n v="22"/>
    <n v="0"/>
    <n v="0"/>
    <n v="7000"/>
    <n v="46000"/>
    <n v="21000"/>
    <n v="160000"/>
    <m/>
    <m/>
  </r>
  <r>
    <n v="10082"/>
    <s v="RIVER YAMUNA AT UDI"/>
    <x v="4"/>
    <n v="17.100000000000001"/>
    <n v="36.4"/>
    <n v="4.9000000000000004"/>
    <n v="6.5"/>
    <n v="7.4"/>
    <n v="7.8"/>
    <n v="434"/>
    <n v="2418"/>
    <n v="7.2"/>
    <n v="18.8"/>
    <n v="0"/>
    <n v="0"/>
    <n v="4900"/>
    <n v="40000"/>
    <n v="14000"/>
    <n v="94000"/>
    <m/>
    <m/>
  </r>
  <r>
    <n v="1127"/>
    <s v="RIVER YAMUNA AT ETAWAH, U.P."/>
    <x v="4"/>
    <n v="17.2"/>
    <n v="36.6"/>
    <n v="5.2"/>
    <n v="6"/>
    <n v="7.5"/>
    <n v="8"/>
    <n v="460"/>
    <n v="2722"/>
    <n v="7.6"/>
    <n v="18"/>
    <n v="0"/>
    <n v="0"/>
    <n v="5800"/>
    <n v="43000"/>
    <n v="17000"/>
    <n v="94000"/>
    <m/>
    <m/>
  </r>
  <r>
    <n v="1499"/>
    <s v="RIVER YAMUNA AT JUHIKA B/C WITH CHANBAL,_x000a_ETAWAH, U.P"/>
    <x v="4"/>
    <n v="18.600000000000001"/>
    <n v="37.9"/>
    <n v="6.2"/>
    <n v="7.4"/>
    <n v="7.5"/>
    <n v="7.8"/>
    <n v="407"/>
    <n v="2532"/>
    <n v="6.4"/>
    <n v="16"/>
    <n v="0"/>
    <n v="0"/>
    <n v="4100"/>
    <n v="27000"/>
    <n v="13000"/>
    <n v="70000"/>
    <m/>
    <m/>
  </r>
  <r>
    <n v="30034"/>
    <s v="RIVER YAMUNA AT ETAWAH"/>
    <x v="4"/>
    <n v="18"/>
    <n v="32"/>
    <n v="6.2"/>
    <n v="9.3000000000000007"/>
    <n v="7.2"/>
    <n v="8.8000000000000007"/>
    <n v="602"/>
    <n v="1633"/>
    <n v="3.9"/>
    <n v="15.7"/>
    <n v="3.09"/>
    <n v="21.93"/>
    <n v="2"/>
    <n v="79000"/>
    <n v="4500"/>
    <n v="240000"/>
    <m/>
    <m/>
  </r>
  <r>
    <n v="30033"/>
    <s v="RIVER YAMUNA A/C OF CHAMBAL AT SHERGARH,_x000a_JUHIKA (U.P)"/>
    <x v="4"/>
    <n v="18"/>
    <n v="31"/>
    <n v="7.1"/>
    <n v="9"/>
    <n v="7.3"/>
    <n v="8.9"/>
    <n v="447"/>
    <n v="1091"/>
    <n v="2.1"/>
    <n v="8.1"/>
    <n v="0.32"/>
    <n v="5.89"/>
    <n v="2"/>
    <n v="33000"/>
    <n v="2"/>
    <n v="490000"/>
    <n v="2"/>
    <n v="2"/>
  </r>
  <r>
    <n v="2283"/>
    <s v="RIVER YAMUNA AT HAMIRPUR"/>
    <x v="4"/>
    <n v="17"/>
    <n v="28"/>
    <n v="4.9000000000000004"/>
    <n v="7.1"/>
    <n v="7.4"/>
    <n v="7.8"/>
    <n v="659"/>
    <n v="848"/>
    <n v="2.6"/>
    <n v="5.2"/>
    <n v="0"/>
    <n v="0"/>
    <n v="9300"/>
    <n v="23000"/>
    <n v="17000"/>
    <n v="79000"/>
    <m/>
    <m/>
  </r>
  <r>
    <n v="1069"/>
    <s v="RIVER YAMUNA AT PRAYAGRAJ D/S (BALUA GHAT),_x000a_U.P."/>
    <x v="4"/>
    <n v="20.7"/>
    <n v="30.7"/>
    <n v="6.8"/>
    <n v="8.4"/>
    <n v="7.7"/>
    <n v="8.3000000000000007"/>
    <n v="318"/>
    <n v="397"/>
    <n v="2.5"/>
    <n v="2.7"/>
    <n v="0.55000000000000004"/>
    <n v="0.68"/>
    <n v="400"/>
    <n v="680"/>
    <n v="1400"/>
    <n v="1700"/>
    <m/>
    <m/>
  </r>
  <r>
    <n v="1510"/>
    <s v="RIVER TONS AT TIUNI (HIMACHAL PRADESH/UTTRA_x000a_KHAND BORDER)"/>
    <x v="0"/>
    <n v="6.8"/>
    <n v="10.6"/>
    <n v="7.9"/>
    <n v="9.3000000000000007"/>
    <n v="7.3"/>
    <n v="7.9"/>
    <n v="35"/>
    <n v="105"/>
    <n v="1"/>
    <n v="1"/>
    <n v="0.32"/>
    <n v="1.31"/>
    <n v="2"/>
    <n v="20"/>
    <n v="7"/>
    <n v="920"/>
    <n v="2"/>
    <n v="2"/>
  </r>
  <r>
    <n v="30023"/>
    <s v="RIVER TONS AT HARIPUR (U.K.)"/>
    <x v="3"/>
    <n v="16.5"/>
    <n v="24"/>
    <n v="9.4"/>
    <n v="10.4"/>
    <n v="8.1999999999999993"/>
    <n v="8.5"/>
    <n v="121"/>
    <n v="318"/>
    <n v="1"/>
    <n v="13"/>
    <n v="0.32"/>
    <n v="0.44"/>
    <n v="2"/>
    <n v="7900"/>
    <n v="17"/>
    <n v="13000"/>
    <n v="2"/>
    <n v="1300"/>
  </r>
  <r>
    <n v="4027"/>
    <s v="RIVER GIRI D/S RAJGARH TOWN"/>
    <x v="0"/>
    <n v="18"/>
    <n v="25"/>
    <n v="7.8"/>
    <n v="8.4"/>
    <n v="7.6"/>
    <n v="8.4"/>
    <n v="292"/>
    <n v="421"/>
    <n v="1.2"/>
    <n v="2.1"/>
    <n v="0.66"/>
    <n v="0.89"/>
    <n v="22"/>
    <n v="110"/>
    <n v="130"/>
    <n v="280"/>
    <n v="2"/>
    <n v="2"/>
  </r>
  <r>
    <n v="4028"/>
    <s v="RIVER GIRI D/S KALGIDHAR TRUST, BARU SAHIB"/>
    <x v="0"/>
    <n v="18"/>
    <n v="25"/>
    <n v="7.7"/>
    <n v="8.1999999999999993"/>
    <n v="7.6"/>
    <n v="8.4"/>
    <n v="296"/>
    <n v="421"/>
    <n v="1.1000000000000001"/>
    <n v="2.2000000000000002"/>
    <n v="0.59"/>
    <n v="0.9"/>
    <n v="26"/>
    <n v="130"/>
    <n v="130"/>
    <n v="350"/>
    <n v="2"/>
    <n v="2"/>
  </r>
  <r>
    <n v="2621"/>
    <s v="RIVER GIRI AT D/S YASHWANT NAGAR AFTER CONF._x000a_WITH ASHWANI KHAD AT YASHWANT NAGAR- NEAR_x000a_SHANI MANDIR"/>
    <x v="0"/>
    <n v="6"/>
    <n v="8"/>
    <n v="6.7"/>
    <n v="8.8000000000000007"/>
    <n v="7.7"/>
    <n v="8.4"/>
    <n v="216"/>
    <n v="366"/>
    <n v="1"/>
    <n v="1"/>
    <n v="1.78"/>
    <n v="6.64"/>
    <n v="2"/>
    <n v="8"/>
    <n v="21"/>
    <n v="140"/>
    <n v="2"/>
    <n v="2"/>
  </r>
  <r>
    <n v="3876"/>
    <s v="RIVER GIRI AFTER CONFLUENCE OF ASHWANI RIVER AT_x000a_VILLAGE MARYOG"/>
    <x v="0"/>
    <n v="6"/>
    <n v="18"/>
    <n v="7.6"/>
    <n v="9.3000000000000007"/>
    <n v="7.5"/>
    <n v="8.3000000000000007"/>
    <n v="208"/>
    <n v="446"/>
    <n v="1"/>
    <n v="1"/>
    <n v="0.32"/>
    <n v="5.25"/>
    <n v="2"/>
    <n v="11"/>
    <n v="12"/>
    <n v="220"/>
    <n v="2"/>
    <n v="2"/>
  </r>
  <r>
    <n v="2622"/>
    <s v="RIVER GIRI AT U/S CCI MINES AT VILLAGE NADI"/>
    <x v="0"/>
    <n v="18"/>
    <n v="25"/>
    <n v="6.5"/>
    <n v="8.6"/>
    <n v="7.3"/>
    <n v="8.1999999999999993"/>
    <n v="348"/>
    <n v="927"/>
    <n v="1"/>
    <n v="2.6"/>
    <n v="0.47"/>
    <n v="0.97"/>
    <n v="13"/>
    <n v="70"/>
    <n v="33"/>
    <n v="280"/>
    <n v="2"/>
    <n v="2"/>
  </r>
  <r>
    <n v="2623"/>
    <s v="RIVER GIRI D/S SATAUN"/>
    <x v="0"/>
    <n v="17"/>
    <n v="25"/>
    <n v="6.5"/>
    <n v="8.5"/>
    <n v="7.9"/>
    <n v="8.3000000000000007"/>
    <n v="346"/>
    <n v="889"/>
    <n v="1.1000000000000001"/>
    <n v="3.2"/>
    <n v="0"/>
    <n v="3.14"/>
    <n v="33"/>
    <n v="130"/>
    <n v="110"/>
    <n v="350"/>
    <n v="2"/>
    <n v="2"/>
  </r>
  <r>
    <n v="3877"/>
    <s v="RIVER GIRI U/S LWSS AT SAINJ"/>
    <x v="0"/>
    <n v="8"/>
    <n v="12.1"/>
    <n v="7.2"/>
    <n v="8"/>
    <n v="7.2"/>
    <n v="8.1"/>
    <n v="76"/>
    <n v="282"/>
    <n v="1"/>
    <n v="1"/>
    <n v="0.65"/>
    <n v="2.2200000000000002"/>
    <n v="4"/>
    <n v="110"/>
    <n v="39"/>
    <n v="280"/>
    <n v="2"/>
    <n v="2"/>
  </r>
  <r>
    <n v="3878"/>
    <s v="RIVER GIRI D/S LWSS AT SAINJ"/>
    <x v="0"/>
    <n v="8"/>
    <n v="12.2"/>
    <n v="7.2"/>
    <n v="8.1"/>
    <n v="7.2"/>
    <n v="8.1"/>
    <n v="72"/>
    <n v="288"/>
    <n v="1"/>
    <n v="1"/>
    <n v="0.63"/>
    <n v="2.1800000000000002"/>
    <n v="7"/>
    <n v="70"/>
    <n v="27"/>
    <n v="1600"/>
    <n v="2"/>
    <n v="2"/>
  </r>
  <r>
    <n v="3860"/>
    <s v="RIVER GIRI D/S CEMENT CORPORATION OF INDIA,_x000a_RAJBAN AT BANGRAN BRIDGE"/>
    <x v="0"/>
    <n v="17"/>
    <n v="24"/>
    <n v="6.4"/>
    <n v="8.6999999999999993"/>
    <n v="7.3"/>
    <n v="8.1999999999999993"/>
    <n v="390"/>
    <n v="899"/>
    <n v="1"/>
    <n v="2.8"/>
    <n v="0.49"/>
    <n v="0.79"/>
    <n v="21"/>
    <n v="70"/>
    <n v="70"/>
    <n v="280"/>
    <n v="2"/>
    <n v="2"/>
  </r>
  <r>
    <n v="4427"/>
    <s v="RIVER GIRI U/S CHAILLA"/>
    <x v="0"/>
    <n v="8"/>
    <n v="11.4"/>
    <n v="7.4"/>
    <n v="8.3000000000000007"/>
    <n v="7.2"/>
    <n v="8.1"/>
    <n v="69"/>
    <n v="250"/>
    <n v="1"/>
    <n v="1"/>
    <n v="0.62"/>
    <n v="2.3199999999999998"/>
    <n v="4"/>
    <n v="26"/>
    <n v="17"/>
    <n v="220"/>
    <n v="2"/>
    <n v="2"/>
  </r>
  <r>
    <n v="4441"/>
    <s v="RIVER GIRI U/S PROPOSED SITE OF SRI RENUKAJI DAM_x000a_SITE."/>
    <x v="0"/>
    <n v="15"/>
    <n v="25"/>
    <n v="7.6"/>
    <n v="8.1"/>
    <n v="7.6"/>
    <n v="8.3000000000000007"/>
    <n v="318"/>
    <n v="443"/>
    <n v="1"/>
    <n v="2.2999999999999998"/>
    <n v="0.59"/>
    <n v="0.89"/>
    <n v="26"/>
    <n v="70"/>
    <n v="130"/>
    <n v="280"/>
    <n v="2"/>
    <n v="2"/>
  </r>
  <r>
    <n v="4442"/>
    <s v="RIVER GIRI D/S PROPOSED SITE OF SRI RENUKAJI DAM_x000a_SITE NEAR BRIDGE AT DADAHU- RENUKAJI"/>
    <x v="0"/>
    <n v="15"/>
    <n v="25"/>
    <n v="7.6"/>
    <n v="8.1999999999999993"/>
    <n v="7"/>
    <n v="8.4"/>
    <n v="303"/>
    <n v="449"/>
    <n v="1.2"/>
    <n v="2.5"/>
    <n v="0.61"/>
    <n v="0.86"/>
    <n v="27"/>
    <n v="94"/>
    <n v="170"/>
    <n v="350"/>
    <n v="2"/>
    <n v="2"/>
  </r>
  <r>
    <n v="4473"/>
    <s v="RIVER GIRI D/S PROPOSED SITE OF RENUKA DAM"/>
    <x v="0"/>
    <n v="17"/>
    <n v="24"/>
    <n v="7.1"/>
    <n v="8"/>
    <n v="7.8"/>
    <n v="8.4"/>
    <n v="302"/>
    <n v="4563"/>
    <n v="1.1000000000000001"/>
    <n v="2.6"/>
    <n v="0.6"/>
    <n v="0.9"/>
    <n v="32"/>
    <n v="140"/>
    <n v="170"/>
    <n v="350"/>
    <n v="2"/>
    <n v="2"/>
  </r>
  <r>
    <n v="5292"/>
    <s v="RIVER GIRI AT NIHARI, KOTKHAL"/>
    <x v="0"/>
    <n v="6.1"/>
    <n v="10.3"/>
    <n v="7.3"/>
    <n v="9"/>
    <n v="7.2"/>
    <n v="8"/>
    <n v="71"/>
    <n v="264"/>
    <n v="1"/>
    <n v="1"/>
    <n v="0.83"/>
    <n v="2.08"/>
    <n v="2"/>
    <n v="220"/>
    <n v="9"/>
    <n v="1600"/>
    <n v="2"/>
    <n v="2"/>
  </r>
  <r>
    <n v="5764"/>
    <s v="RIVER GIRI B/C WITH ASHWANI KHAD U/S OF WSS_x000a_YASHWANT NAGAR"/>
    <x v="0"/>
    <n v="6"/>
    <n v="8"/>
    <n v="6.7"/>
    <n v="9.5"/>
    <n v="7.6"/>
    <n v="8.3000000000000007"/>
    <n v="210"/>
    <n v="476"/>
    <n v="1"/>
    <n v="1.2"/>
    <n v="1.65"/>
    <n v="5.16"/>
    <n v="2"/>
    <n v="25"/>
    <n v="24"/>
    <n v="540"/>
    <n v="2"/>
    <n v="2"/>
  </r>
  <r>
    <n v="2617"/>
    <s v="RIVER PABBAR AT U/S DHAMBARI"/>
    <x v="0"/>
    <n v="5.8"/>
    <n v="8"/>
    <n v="8"/>
    <n v="9.1999999999999993"/>
    <n v="7.2"/>
    <n v="8"/>
    <n v="42"/>
    <n v="145"/>
    <n v="1"/>
    <n v="1"/>
    <n v="0.33"/>
    <n v="3.86"/>
    <n v="2"/>
    <n v="17"/>
    <n v="9"/>
    <n v="280"/>
    <n v="2"/>
    <n v="2"/>
  </r>
  <r>
    <n v="2618"/>
    <s v="RIVER PABBAR AT U/S ROHRU"/>
    <x v="0"/>
    <n v="5.9"/>
    <n v="10"/>
    <n v="7.9"/>
    <n v="9.1"/>
    <n v="7.2"/>
    <n v="8.3000000000000007"/>
    <n v="49"/>
    <n v="110"/>
    <n v="1"/>
    <n v="1"/>
    <n v="0.34"/>
    <n v="1.26"/>
    <n v="2"/>
    <n v="27"/>
    <n v="5"/>
    <n v="350"/>
    <n v="2"/>
    <n v="2"/>
  </r>
  <r>
    <n v="2619"/>
    <s v="RIVER PABBAR D/S SWARAKUDDU"/>
    <x v="0"/>
    <n v="6.3"/>
    <n v="10"/>
    <n v="7.7"/>
    <n v="8.9"/>
    <n v="7"/>
    <n v="8.4"/>
    <n v="37"/>
    <n v="132"/>
    <n v="1"/>
    <n v="1"/>
    <n v="0.32"/>
    <n v="1.36"/>
    <n v="7"/>
    <n v="47"/>
    <n v="26"/>
    <n v="350"/>
    <n v="2"/>
    <n v="2"/>
  </r>
  <r>
    <n v="4039"/>
    <s v="RIVER PABBAR U/S HATKOTI"/>
    <x v="0"/>
    <n v="6"/>
    <n v="10"/>
    <n v="7.2"/>
    <n v="8.6999999999999993"/>
    <n v="7.2"/>
    <n v="8.1999999999999993"/>
    <n v="34"/>
    <n v="109"/>
    <n v="1"/>
    <n v="1"/>
    <n v="0.32"/>
    <n v="1.31"/>
    <n v="2"/>
    <n v="220"/>
    <n v="11"/>
    <n v="920"/>
    <n v="2"/>
    <n v="4"/>
  </r>
  <r>
    <n v="5488"/>
    <s v="RIVER PABBAR AT HATKOTI RESERVOIR"/>
    <x v="0"/>
    <n v="8"/>
    <n v="9"/>
    <n v="6.2"/>
    <n v="7.2"/>
    <n v="7.1"/>
    <n v="7.8"/>
    <n v="35"/>
    <n v="105"/>
    <n v="1"/>
    <n v="1"/>
    <n v="0.41"/>
    <n v="1.42"/>
    <n v="2"/>
    <n v="21"/>
    <n v="2"/>
    <n v="170"/>
    <n v="2"/>
    <n v="2"/>
  </r>
  <r>
    <n v="5767"/>
    <s v="RIVER ANDHRA B/C TO RIVER PABBAR AT CHIRGAON"/>
    <x v="0"/>
    <n v="6"/>
    <n v="10.4"/>
    <n v="7.6"/>
    <n v="8.6999999999999993"/>
    <n v="7"/>
    <n v="8.4"/>
    <n v="42"/>
    <n v="136"/>
    <n v="1"/>
    <n v="1"/>
    <n v="0.32"/>
    <n v="0.66"/>
    <n v="2"/>
    <n v="20"/>
    <n v="2"/>
    <n v="280"/>
    <n v="2"/>
    <n v="2"/>
  </r>
  <r>
    <n v="2620"/>
    <s v="ASHWANI KHAD U/S OF YASHWANT NAGAR BEFORE_x000a_CONF. WITH RIVER GIRI AT YASHWANT NAGAR"/>
    <x v="0"/>
    <n v="6"/>
    <n v="9"/>
    <n v="6.7"/>
    <n v="8.5"/>
    <n v="7.7"/>
    <n v="8.5"/>
    <n v="260"/>
    <n v="518"/>
    <n v="1"/>
    <n v="1.4"/>
    <n v="2.02"/>
    <n v="13.06"/>
    <n v="2"/>
    <n v="21"/>
    <n v="21"/>
    <n v="540"/>
    <n v="2"/>
    <n v="2"/>
  </r>
  <r>
    <n v="2626"/>
    <s v="RIVER BATTA U/S PAONTA AT KISHANPURA"/>
    <x v="0"/>
    <n v="14"/>
    <n v="24"/>
    <n v="6.3"/>
    <n v="8.6"/>
    <n v="7.1"/>
    <n v="8.1999999999999993"/>
    <n v="261"/>
    <n v="633"/>
    <n v="1.1000000000000001"/>
    <n v="2.6"/>
    <n v="0.57999999999999996"/>
    <n v="0.86"/>
    <n v="2"/>
    <n v="70"/>
    <n v="70"/>
    <n v="350"/>
    <n v="2"/>
    <n v="2"/>
  </r>
  <r>
    <n v="2627"/>
    <s v="RIVER BATTA BEFORE CONFLUENCE TO YAMUNA"/>
    <x v="0"/>
    <n v="15"/>
    <n v="23"/>
    <n v="6.4"/>
    <n v="8.3000000000000007"/>
    <n v="7.4"/>
    <n v="8.3000000000000007"/>
    <n v="237"/>
    <n v="620"/>
    <n v="1.2"/>
    <n v="2.6"/>
    <n v="0.59"/>
    <n v="0.84"/>
    <n v="32"/>
    <n v="130"/>
    <n v="140"/>
    <n v="430"/>
    <n v="2"/>
    <n v="2"/>
  </r>
  <r>
    <n v="4428"/>
    <s v="ASHWANI KHAD U/S OF WEIR SITE OF WTP NEAR_x000a_ASHWANI BRIDGE"/>
    <x v="0"/>
    <n v="9"/>
    <n v="19.5"/>
    <n v="7"/>
    <n v="8.6999999999999993"/>
    <n v="5.5"/>
    <n v="8.3000000000000007"/>
    <n v="81"/>
    <n v="422"/>
    <n v="1"/>
    <n v="3.1"/>
    <n v="0.33"/>
    <n v="11.06"/>
    <n v="8"/>
    <n v="110"/>
    <n v="70"/>
    <n v="1600"/>
    <n v="2"/>
    <n v="24"/>
  </r>
  <r>
    <n v="4429"/>
    <s v="ASHWANI KHAD AFTER CONFLUENCE OF LIFT NALLAH_x000a_NEAR DOGRHA BRIDGE"/>
    <x v="0"/>
    <n v="9"/>
    <n v="22.7"/>
    <n v="6.9"/>
    <n v="8.1999999999999993"/>
    <n v="6.8"/>
    <n v="8.1999999999999993"/>
    <n v="102"/>
    <n v="473"/>
    <n v="1"/>
    <n v="6.8"/>
    <n v="0.32"/>
    <n v="7.32"/>
    <n v="7"/>
    <n v="540"/>
    <n v="17"/>
    <n v="1600"/>
    <n v="4"/>
    <n v="40"/>
  </r>
  <r>
    <n v="4461"/>
    <s v="ASHWANI KHAD D/S OF VILLAGE SADHUPIL, TEHSIL_x000a_KANDAGHAT, DISTRICT SOLAN."/>
    <x v="0"/>
    <n v="7"/>
    <n v="18"/>
    <n v="6.7"/>
    <n v="11"/>
    <n v="7.2"/>
    <n v="8.1999999999999993"/>
    <n v="166"/>
    <n v="530"/>
    <n v="1"/>
    <n v="1"/>
    <n v="1.87"/>
    <n v="5.8"/>
    <n v="2"/>
    <n v="9"/>
    <n v="21"/>
    <n v="220"/>
    <n v="2"/>
    <n v="2"/>
  </r>
  <r>
    <n v="4479"/>
    <s v="ASHWANI KHAD U/S OF SADHUPUL VILLAGE (NEARBY_x000a_800 METERS U/S OF THE BRIDGE)"/>
    <x v="0"/>
    <n v="7"/>
    <n v="20"/>
    <n v="6.2"/>
    <n v="10"/>
    <n v="7.1"/>
    <n v="8.1"/>
    <n v="145"/>
    <n v="769"/>
    <n v="1"/>
    <n v="1"/>
    <n v="2.38"/>
    <n v="6.61"/>
    <n v="2"/>
    <n v="11"/>
    <n v="26"/>
    <n v="220"/>
    <n v="2"/>
    <n v="2"/>
  </r>
  <r>
    <n v="4431"/>
    <s v="SHIKARI KHAD BEFORE CONFLUENCE TO RIVER_x000a_PABBAR NEAR HRTC ROHRU BUS STAND"/>
    <x v="0"/>
    <n v="7.8"/>
    <n v="30"/>
    <n v="6.8"/>
    <n v="8"/>
    <n v="7.6"/>
    <n v="8.3000000000000007"/>
    <n v="51"/>
    <n v="343"/>
    <n v="1"/>
    <n v="1.8"/>
    <n v="0.32"/>
    <n v="1.9"/>
    <n v="2"/>
    <n v="33"/>
    <n v="34"/>
    <n v="920"/>
    <n v="2"/>
    <n v="2"/>
  </r>
  <r>
    <n v="30037"/>
    <s v="RIVER BANGANGA AT U/S IDRISHPUR (U.K.)"/>
    <x v="3"/>
    <n v="21.6"/>
    <n v="31.2"/>
    <n v="0.4"/>
    <n v="6.8"/>
    <n v="7.2"/>
    <n v="7.5"/>
    <n v="366"/>
    <n v="614"/>
    <n v="1.6"/>
    <n v="3.1"/>
    <n v="0.32"/>
    <n v="1.05"/>
    <n v="2"/>
    <n v="790000"/>
    <n v="2000"/>
    <n v="2400000"/>
    <m/>
    <m/>
  </r>
  <r>
    <n v="30038"/>
    <s v="RIVER BANGANGA AT D/S SHUKRATAL (BEFORE_x000a_CONFLUENCE OF LAKSAR DRAIN )"/>
    <x v="4"/>
    <n v="21.6"/>
    <n v="31.2"/>
    <n v="5"/>
    <n v="7.8"/>
    <n v="7.3"/>
    <n v="7.6"/>
    <n v="359"/>
    <n v="518"/>
    <n v="1"/>
    <n v="2.6"/>
    <n v="0.32"/>
    <n v="1.65"/>
    <n v="2"/>
    <n v="330000"/>
    <n v="2"/>
    <n v="790000"/>
    <n v="2"/>
    <n v="2"/>
  </r>
  <r>
    <n v="10099"/>
    <s v="RIVER HINDON AT MAHESHPUR D/S"/>
    <x v="4"/>
    <n v="18"/>
    <n v="32"/>
    <n v="1.4"/>
    <n v="1.4"/>
    <n v="7.2"/>
    <n v="7.4"/>
    <n v="380"/>
    <n v="750"/>
    <n v="32"/>
    <n v="44"/>
    <n v="0"/>
    <n v="0"/>
    <m/>
    <m/>
    <m/>
    <m/>
    <m/>
    <m/>
  </r>
  <r>
    <n v="10102"/>
    <s v="RIVER HINDON AT MOHAN NAGAR U/S"/>
    <x v="4"/>
    <n v="18"/>
    <n v="27"/>
    <n v="1.2"/>
    <n v="4.5"/>
    <n v="6.5"/>
    <n v="7.5"/>
    <n v="330"/>
    <n v="530"/>
    <n v="15"/>
    <n v="20"/>
    <n v="0.4"/>
    <n v="0.46"/>
    <n v="130000"/>
    <n v="260000"/>
    <n v="170000"/>
    <n v="790000"/>
    <m/>
    <m/>
  </r>
  <r>
    <n v="10103"/>
    <s v="RIVER HINDON AT MOHAN NAGAR D/S"/>
    <x v="4"/>
    <n v="18"/>
    <n v="28"/>
    <n v="2.1"/>
    <n v="6.5"/>
    <n v="6.8"/>
    <n v="7.6"/>
    <n v="330"/>
    <n v="746"/>
    <n v="10"/>
    <n v="20"/>
    <n v="0.35"/>
    <n v="0.48"/>
    <n v="110000"/>
    <n v="340000"/>
    <n v="140000"/>
    <n v="470000"/>
    <m/>
    <m/>
  </r>
  <r>
    <n v="10106"/>
    <s v="RIVER HINDON AT GHAZIABAD U/S"/>
    <x v="4"/>
    <n v="18"/>
    <n v="28"/>
    <n v="1.1000000000000001"/>
    <n v="5.5"/>
    <n v="6.2"/>
    <n v="7.6"/>
    <n v="316"/>
    <n v="589"/>
    <n v="12"/>
    <n v="24"/>
    <n v="0.41"/>
    <n v="0.55000000000000004"/>
    <n v="170000"/>
    <n v="350000"/>
    <n v="210000"/>
    <n v="920000"/>
    <m/>
    <m/>
  </r>
  <r>
    <n v="10100"/>
    <s v="RIVER HINDON AT BARNAWA U/S"/>
    <x v="4"/>
    <n v="16"/>
    <n v="22"/>
    <n v="0.3"/>
    <n v="0.3"/>
    <n v="7.5"/>
    <n v="7.8"/>
    <n v="710"/>
    <n v="900"/>
    <n v="42"/>
    <n v="62"/>
    <n v="24"/>
    <n v="34"/>
    <n v="100000"/>
    <n v="140000"/>
    <n v="140000"/>
    <n v="210000"/>
    <m/>
    <m/>
  </r>
  <r>
    <n v="10101"/>
    <s v="RIVER HINDON AT BARNAWA D/S"/>
    <x v="4"/>
    <n v="16"/>
    <n v="21"/>
    <n v="0.3"/>
    <n v="0.3"/>
    <n v="7.4"/>
    <n v="7.7"/>
    <n v="630"/>
    <n v="820"/>
    <n v="38"/>
    <n v="56"/>
    <n v="22"/>
    <n v="30"/>
    <n v="82000"/>
    <n v="120000"/>
    <n v="120000"/>
    <n v="170000"/>
    <m/>
    <m/>
  </r>
  <r>
    <n v="1483"/>
    <s v="RIVER HINDON AFTER CONFL. WITH R. KRISHNA &amp; KALI_x000a_NEAR BINAULI TOWN, PURA MAHADEV, MEERUT, U.P."/>
    <x v="4"/>
    <n v="17"/>
    <n v="22"/>
    <n v="0.3"/>
    <n v="0.3"/>
    <n v="7.5"/>
    <n v="7.8"/>
    <n v="750"/>
    <n v="1000"/>
    <n v="44"/>
    <n v="68"/>
    <n v="30"/>
    <n v="38"/>
    <n v="100000"/>
    <n v="170000"/>
    <n v="150000"/>
    <n v="220000"/>
    <m/>
    <m/>
  </r>
  <r>
    <n v="2496"/>
    <s v="RIVER HINDON AT SARDHANA BUDHANA ROAD, VILLAGE_x000a_BAPARSI, MEERUT"/>
    <x v="4"/>
    <n v="15"/>
    <n v="22"/>
    <n v="0.3"/>
    <n v="0.3"/>
    <n v="7.6"/>
    <n v="7.8"/>
    <n v="750"/>
    <n v="990"/>
    <n v="48"/>
    <n v="68"/>
    <n v="32"/>
    <n v="40"/>
    <n v="14000"/>
    <n v="170000"/>
    <n v="17000"/>
    <n v="240000"/>
    <m/>
    <m/>
  </r>
  <r>
    <n v="1358"/>
    <s v="RIVER HINDON AT GHAZIABAD D/S KULESHRA GB_x000a_NAGAR, U.P."/>
    <x v="4"/>
    <n v="20"/>
    <n v="25"/>
    <n v="0.3"/>
    <n v="8.8000000000000007"/>
    <n v="6.4"/>
    <n v="8.4"/>
    <n v="304"/>
    <n v="1375"/>
    <n v="3.2"/>
    <n v="48"/>
    <n v="0.75"/>
    <n v="0.96"/>
    <n v="2100"/>
    <n v="340000"/>
    <n v="3800"/>
    <n v="470000"/>
    <n v="1100"/>
    <n v="1100"/>
  </r>
  <r>
    <n v="10105"/>
    <s v="RIVER HINDON AT NOIDA D/S"/>
    <x v="4"/>
    <n v="26"/>
    <n v="26"/>
    <n v="1.1000000000000001"/>
    <n v="4.8"/>
    <n v="7"/>
    <n v="7.9"/>
    <n v="450"/>
    <n v="1082"/>
    <n v="12"/>
    <n v="27"/>
    <n v="0"/>
    <n v="0.42"/>
    <n v="170000"/>
    <n v="2700000"/>
    <n v="270000"/>
    <n v="3800000"/>
    <m/>
    <m/>
  </r>
  <r>
    <n v="1477"/>
    <s v="RIVER KALINADI AT U/S OF MUZAFFAR NAGAR U.P."/>
    <x v="4"/>
    <n v="19"/>
    <n v="25.5"/>
    <n v="2.9"/>
    <n v="3.4"/>
    <n v="7.2"/>
    <n v="7.7"/>
    <n v="300"/>
    <n v="340"/>
    <n v="12"/>
    <n v="16"/>
    <n v="0"/>
    <n v="0"/>
    <m/>
    <m/>
    <m/>
    <m/>
    <m/>
    <m/>
  </r>
  <r>
    <n v="1478"/>
    <s v="RIVER KALINADI AT D/S OF MUZAFFAR NAGAR, U.P."/>
    <x v="4"/>
    <n v="19"/>
    <n v="25.8"/>
    <n v="0.3"/>
    <n v="0.3"/>
    <n v="7"/>
    <n v="7.3"/>
    <n v="480"/>
    <n v="670"/>
    <n v="32"/>
    <n v="40"/>
    <n v="0"/>
    <n v="0"/>
    <m/>
    <m/>
    <m/>
    <m/>
    <m/>
    <m/>
  </r>
  <r>
    <n v="4606"/>
    <s v="RIVER KEN NEAR ROAD BRIDGE AT PANNA"/>
    <x v="10"/>
    <n v="21"/>
    <n v="31"/>
    <n v="6.4"/>
    <n v="9.1999999999999993"/>
    <n v="7.2"/>
    <n v="8"/>
    <n v="229"/>
    <n v="354"/>
    <n v="1"/>
    <n v="2.2000000000000002"/>
    <n v="0.33"/>
    <n v="1.62"/>
    <n v="2"/>
    <n v="2"/>
    <n v="31"/>
    <n v="41"/>
    <n v="2"/>
    <n v="2"/>
  </r>
  <r>
    <n v="1356"/>
    <s v="RIVER BETWA BEFORE CONF. YAMUNA AT HAMIRPUR,_x000a_U.P."/>
    <x v="4"/>
    <n v="17"/>
    <n v="24"/>
    <n v="5.4"/>
    <n v="7.6"/>
    <n v="7.2"/>
    <n v="7.9"/>
    <n v="344"/>
    <n v="3400"/>
    <n v="2.2000000000000002"/>
    <n v="3.1"/>
    <n v="0"/>
    <n v="0"/>
    <n v="7800"/>
    <n v="9300"/>
    <n v="13000"/>
    <n v="17000"/>
    <m/>
    <m/>
  </r>
  <r>
    <n v="5538"/>
    <s v="RIVER KALIASOT DAM OUTLATE NEAR DAM_x000a_GATE,BHOPAL"/>
    <x v="10"/>
    <n v="19"/>
    <n v="27"/>
    <n v="5.8"/>
    <n v="8.5"/>
    <n v="7.4"/>
    <n v="8.6999999999999993"/>
    <n v="186"/>
    <n v="300"/>
    <n v="1"/>
    <n v="2.2000000000000002"/>
    <n v="1.49"/>
    <n v="3.5"/>
    <n v="2"/>
    <n v="22"/>
    <n v="2"/>
    <n v="540"/>
    <n v="2"/>
    <n v="2"/>
  </r>
  <r>
    <n v="5539"/>
    <s v="RIVER KHAN RAMWASA STOP DAM,UJJAIN"/>
    <x v="10"/>
    <n v="23"/>
    <n v="28"/>
    <n v="5.7"/>
    <n v="7.2"/>
    <n v="7.2"/>
    <n v="8.1999999999999993"/>
    <n v="512"/>
    <n v="1696"/>
    <n v="4.5"/>
    <n v="12"/>
    <n v="1.22"/>
    <n v="2.4900000000000002"/>
    <n v="14"/>
    <n v="1600"/>
    <n v="920"/>
    <n v="1600"/>
    <n v="11"/>
    <n v="11"/>
  </r>
  <r>
    <n v="5540"/>
    <s v="RIVER MANDAKINI , ORIGIN POINT SATI ANSUIYA_x000a_,CHITRAKOOT"/>
    <x v="10"/>
    <n v="27.4"/>
    <n v="32.5"/>
    <n v="3.4"/>
    <n v="7.4"/>
    <n v="7.1"/>
    <n v="8"/>
    <n v="354"/>
    <n v="6783"/>
    <n v="1"/>
    <n v="2.1"/>
    <n v="0"/>
    <n v="0"/>
    <n v="2"/>
    <n v="2"/>
    <n v="4"/>
    <n v="72"/>
    <n v="2"/>
    <n v="2"/>
  </r>
  <r>
    <n v="5544"/>
    <s v="RIVER CHAMBAL PALI NEAR ROAD BRIDGE ,SHEOPUR"/>
    <x v="10"/>
    <n v="18"/>
    <n v="29"/>
    <n v="7"/>
    <n v="7.9"/>
    <n v="7.1"/>
    <n v="7.7"/>
    <n v="220"/>
    <n v="690"/>
    <n v="1.2"/>
    <n v="1.8"/>
    <n v="0.52"/>
    <n v="2.42"/>
    <n v="2"/>
    <n v="3"/>
    <n v="26"/>
    <n v="42"/>
    <m/>
    <m/>
  </r>
  <r>
    <n v="2955"/>
    <s v="RIVER CHAMBAL ENTERING IN RAJASTHAN AT GANDHI_x000a_SAGAR DAM, RAWATBHATA,CHITTORGARH"/>
    <x v="11"/>
    <n v="16"/>
    <n v="30"/>
    <n v="4"/>
    <n v="6.3"/>
    <n v="6.9"/>
    <n v="7.8"/>
    <n v="443"/>
    <n v="627"/>
    <n v="2.2000000000000002"/>
    <n v="3"/>
    <n v="1.22"/>
    <n v="3.19"/>
    <n v="84"/>
    <n v="170"/>
    <n v="150"/>
    <n v="300"/>
    <n v="14"/>
    <n v="21"/>
  </r>
  <r>
    <n v="1288"/>
    <s v="RIVER CHAMBAL AT KOTA U/S (PHED INTAKE POINT._x000a_NEAR KOTA BARRAGE), RAJASTHAN"/>
    <x v="11"/>
    <n v="18"/>
    <n v="33"/>
    <n v="5.3"/>
    <n v="6.8"/>
    <n v="7.9"/>
    <n v="8.5"/>
    <n v="339"/>
    <n v="481"/>
    <n v="1"/>
    <n v="1.3"/>
    <n v="0.62"/>
    <n v="1.22"/>
    <n v="26"/>
    <n v="49"/>
    <n v="46"/>
    <n v="120"/>
    <n v="14"/>
    <n v="26"/>
  </r>
  <r>
    <n v="1289"/>
    <s v="RIVER CHAMBAL AT RANGPUR KOTA D/S (2 KM. FROM_x000a_CITY), RAJASTHAN"/>
    <x v="11"/>
    <n v="19"/>
    <n v="34"/>
    <n v="4.0999999999999996"/>
    <n v="5.9"/>
    <n v="7.9"/>
    <n v="8.9"/>
    <n v="382"/>
    <n v="900"/>
    <n v="1.3"/>
    <n v="2.8"/>
    <n v="0.82"/>
    <n v="2.72"/>
    <n v="220"/>
    <n v="350"/>
    <n v="350"/>
    <n v="540"/>
    <n v="47"/>
    <n v="130"/>
  </r>
  <r>
    <n v="10029"/>
    <s v="RIVER CHAMBAL AT KESHORAIPATAN U/S, NEAR SHRI_x000a_RAJESHWAR MAHADEV TEMPLE, BUNDI"/>
    <x v="11"/>
    <n v="15"/>
    <n v="33"/>
    <n v="4.0999999999999996"/>
    <n v="6.3"/>
    <n v="8.1999999999999993"/>
    <n v="8.6999999999999993"/>
    <n v="382"/>
    <n v="945"/>
    <n v="1.2"/>
    <n v="2.8"/>
    <n v="1.07"/>
    <n v="3.63"/>
    <n v="170"/>
    <n v="350"/>
    <n v="350"/>
    <n v="540"/>
    <n v="31"/>
    <n v="79"/>
  </r>
  <r>
    <n v="10030"/>
    <s v="RIVER CHAMBAL AT KESHORAIPATTAN D/S NEAR_x000a_AMBEDKAR NAGAR, BUNDI"/>
    <x v="11"/>
    <n v="15"/>
    <n v="34"/>
    <n v="3.3"/>
    <n v="6.1"/>
    <n v="8.1"/>
    <n v="8.9"/>
    <n v="388"/>
    <n v="1362"/>
    <n v="1.9"/>
    <n v="3.8"/>
    <n v="1.1399999999999999"/>
    <n v="4.9400000000000004"/>
    <n v="240"/>
    <n v="350"/>
    <n v="350"/>
    <n v="920"/>
    <n v="49"/>
    <n v="79"/>
  </r>
  <r>
    <n v="4769"/>
    <s v="RIVER CHAMBAL, NEAR CHAMBAL BRIDGE, DHOLPUR_x000a_TO MURENA ROAD, NH-3"/>
    <x v="11"/>
    <n v="12"/>
    <n v="31"/>
    <n v="4.7"/>
    <n v="6.3"/>
    <n v="7"/>
    <n v="8.5"/>
    <n v="370"/>
    <n v="775"/>
    <n v="1"/>
    <n v="3.1"/>
    <n v="0.64"/>
    <n v="5.63"/>
    <n v="22"/>
    <n v="140"/>
    <n v="40"/>
    <n v="280"/>
    <n v="6"/>
    <n v="28"/>
  </r>
  <r>
    <n v="30086"/>
    <s v="RIVER CHAMBAL AT GWALIOR ROAD BRIDGE, UDI,_x000a_ETAWAH DIST."/>
    <x v="4"/>
    <n v="18"/>
    <n v="31"/>
    <n v="7.4"/>
    <n v="9.3000000000000007"/>
    <n v="7.1"/>
    <n v="8"/>
    <n v="343"/>
    <n v="663"/>
    <n v="1.7"/>
    <n v="6.5"/>
    <n v="0.32"/>
    <n v="0.7"/>
    <n v="2"/>
    <n v="33000"/>
    <n v="2"/>
    <n v="49000"/>
    <n v="2"/>
    <n v="2"/>
  </r>
  <r>
    <n v="30060"/>
    <s v="RIVER CHAMBAL AT FISH FARM NEAR GANDHISAGAR_x000a_DAM (MP &amp; RJASTHAN)"/>
    <x v="10"/>
    <n v="20"/>
    <n v="33"/>
    <n v="7.4"/>
    <n v="10.7"/>
    <n v="7.7"/>
    <n v="8.1999999999999993"/>
    <n v="174"/>
    <n v="445"/>
    <n v="1.2"/>
    <n v="2.6"/>
    <n v="0.32"/>
    <n v="0.51"/>
    <n v="2"/>
    <n v="15"/>
    <n v="68"/>
    <n v="120"/>
    <n v="2"/>
    <n v="2"/>
  </r>
  <r>
    <n v="1418"/>
    <s v="RIVER CHAMBAL AT GANDHI SAGAR DAM, RAMPURA,_x000a_M.P"/>
    <x v="10"/>
    <n v="22"/>
    <n v="28"/>
    <n v="7.4"/>
    <n v="7.5"/>
    <n v="7.6"/>
    <n v="7.9"/>
    <n v="304"/>
    <n v="324"/>
    <n v="1.8"/>
    <n v="2"/>
    <n v="0.51"/>
    <n v="0.93"/>
    <n v="2"/>
    <n v="2"/>
    <n v="47"/>
    <n v="49"/>
    <n v="2"/>
    <n v="2"/>
  </r>
  <r>
    <n v="3309"/>
    <s v="RIVER CHAMBAL AT TAL VILLAGE NEAR BRIDGE, UJJAIN"/>
    <x v="10"/>
    <n v="22"/>
    <n v="28"/>
    <n v="7"/>
    <n v="7.8"/>
    <n v="7.3"/>
    <n v="8.5"/>
    <n v="277"/>
    <n v="2449"/>
    <n v="1.6"/>
    <n v="3.4"/>
    <n v="0.32"/>
    <n v="4.9800000000000004"/>
    <n v="2"/>
    <n v="25"/>
    <n v="43"/>
    <n v="1600"/>
    <n v="2"/>
    <n v="2"/>
  </r>
  <r>
    <n v="1365"/>
    <s v="RIVER CHAMBAL AT NAGDA U/S (WATER INTAKE POINT)_x000a_M.P."/>
    <x v="10"/>
    <n v="22"/>
    <n v="27"/>
    <n v="6.9"/>
    <n v="7.9"/>
    <n v="7.3"/>
    <n v="8.1"/>
    <n v="405"/>
    <n v="907"/>
    <n v="1.8"/>
    <n v="2"/>
    <n v="0.64"/>
    <n v="1.07"/>
    <n v="2"/>
    <n v="4"/>
    <n v="43"/>
    <n v="49"/>
    <n v="2"/>
    <n v="2"/>
  </r>
  <r>
    <n v="1366"/>
    <s v="RIVER CHAMBAL AT NAGDA D/S, M.P."/>
    <x v="10"/>
    <n v="22"/>
    <n v="27"/>
    <n v="0.3"/>
    <n v="7.6"/>
    <n v="3.4"/>
    <n v="8.1"/>
    <n v="653"/>
    <n v="8763"/>
    <n v="6"/>
    <n v="28"/>
    <n v="0.94"/>
    <n v="11.29"/>
    <n v="40"/>
    <n v="1600"/>
    <n v="1600"/>
    <n v="1600"/>
    <n v="14"/>
    <n v="540"/>
  </r>
  <r>
    <n v="1609"/>
    <s v="RIVER CHAMBAL AT DHOLPUR,"/>
    <x v="10"/>
    <n v="15"/>
    <n v="25"/>
    <n v="7"/>
    <n v="8.1"/>
    <n v="7.1"/>
    <n v="7.8"/>
    <n v="315"/>
    <n v="718"/>
    <n v="1"/>
    <n v="2.2999999999999998"/>
    <n v="0.3"/>
    <n v="1.85"/>
    <n v="2"/>
    <n v="6"/>
    <n v="12"/>
    <n v="28"/>
    <m/>
    <m/>
  </r>
  <r>
    <n v="3308"/>
    <s v="RIVER CHAMBAL AT JANAPAWA, FROM ORIGIN POINT,_x000a_INDORE"/>
    <x v="10"/>
    <n v="20.5"/>
    <n v="21"/>
    <n v="6.9"/>
    <n v="7.2"/>
    <n v="7.5"/>
    <n v="7.9"/>
    <n v="360"/>
    <n v="439"/>
    <n v="1"/>
    <n v="1.1000000000000001"/>
    <n v="1.54"/>
    <n v="2.0099999999999998"/>
    <n v="2"/>
    <n v="2"/>
    <n v="24"/>
    <n v="34"/>
    <m/>
    <m/>
  </r>
  <r>
    <n v="4607"/>
    <s v="RIVER CHAMBAL AT ITAWA ROAD BRIDGE BHIND"/>
    <x v="10"/>
    <n v="18"/>
    <n v="27"/>
    <n v="7"/>
    <n v="8.1999999999999993"/>
    <n v="7.2"/>
    <n v="7.8"/>
    <n v="380"/>
    <n v="600"/>
    <n v="1.4"/>
    <n v="1.9"/>
    <n v="0.3"/>
    <n v="1.4"/>
    <n v="2"/>
    <n v="6"/>
    <n v="20"/>
    <n v="26"/>
    <m/>
    <m/>
  </r>
  <r>
    <n v="4610"/>
    <s v="RIVER CHAMBAL AT 100M D/S OF GANDHI SAGAR DAM._x000a_MANDSAUR"/>
    <x v="10"/>
    <n v="22"/>
    <n v="30"/>
    <n v="7.2"/>
    <n v="7.6"/>
    <n v="7.4"/>
    <n v="7.9"/>
    <n v="298"/>
    <n v="384"/>
    <n v="1.8"/>
    <n v="2"/>
    <n v="0.55000000000000004"/>
    <n v="0.98"/>
    <n v="2"/>
    <n v="4"/>
    <n v="48"/>
    <n v="49"/>
    <n v="2"/>
    <n v="2"/>
  </r>
  <r>
    <n v="2954"/>
    <s v="RIVER PARVATI BEFORE MEETING CHAMBAL AT_x000a_KHATOLI, KOTA, RAJASTHAN"/>
    <x v="11"/>
    <n v="17"/>
    <n v="33"/>
    <n v="4.7"/>
    <n v="5.8"/>
    <n v="8.1"/>
    <n v="8.9"/>
    <n v="311"/>
    <n v="1092"/>
    <n v="1"/>
    <n v="2"/>
    <n v="1.22"/>
    <n v="2.52"/>
    <n v="70"/>
    <n v="150"/>
    <n v="140"/>
    <n v="350"/>
    <n v="21"/>
    <n v="26"/>
  </r>
  <r>
    <n v="2109"/>
    <s v="RIVER PARVATI AT NEEMKHEDI, GUNA"/>
    <x v="10"/>
    <n v="15"/>
    <n v="31"/>
    <n v="7"/>
    <n v="8.8000000000000007"/>
    <n v="7.2"/>
    <n v="7.9"/>
    <n v="290"/>
    <n v="511"/>
    <n v="1.4"/>
    <n v="2.1"/>
    <n v="0.32"/>
    <n v="1.4"/>
    <n v="2"/>
    <n v="6"/>
    <n v="24"/>
    <n v="34"/>
    <m/>
    <m/>
  </r>
  <r>
    <n v="2126"/>
    <s v="RIVER PARVATI D/S AFTER VINDHYACHAL NALLA AT_x000a_PILUKHEDI ,RAJGARH"/>
    <x v="10"/>
    <n v="15"/>
    <n v="26"/>
    <n v="5.8"/>
    <n v="11.7"/>
    <n v="7.4"/>
    <n v="8.1"/>
    <n v="371"/>
    <n v="715"/>
    <n v="1"/>
    <n v="4.5999999999999996"/>
    <n v="5.05"/>
    <n v="30.72"/>
    <n v="6"/>
    <n v="110"/>
    <n v="220"/>
    <n v="480"/>
    <n v="2"/>
    <n v="2"/>
  </r>
  <r>
    <n v="1432"/>
    <s v="RIVER PARVATI NEAR VILLAGE BATAODAPAR, M.P."/>
    <x v="10"/>
    <n v="15"/>
    <n v="32"/>
    <n v="7"/>
    <n v="8.5"/>
    <n v="7.2"/>
    <n v="7.6"/>
    <n v="270"/>
    <n v="507"/>
    <n v="1.6"/>
    <n v="1.9"/>
    <n v="0.5"/>
    <n v="1.83"/>
    <n v="2"/>
    <n v="6"/>
    <n v="2"/>
    <n v="34"/>
    <n v="2"/>
    <n v="2"/>
  </r>
  <r>
    <n v="1367"/>
    <s v="RIVER KHAN AT KABIT KHEDI (NEAR INDORE) M.P."/>
    <x v="10"/>
    <n v="20"/>
    <n v="22.5"/>
    <n v="0.3"/>
    <n v="0.3"/>
    <n v="7.2"/>
    <n v="8.1"/>
    <n v="982"/>
    <n v="1485"/>
    <n v="10"/>
    <n v="36"/>
    <n v="2.13"/>
    <n v="4.78"/>
    <n v="32"/>
    <n v="5400"/>
    <n v="920"/>
    <n v="12000"/>
    <n v="8"/>
    <n v="1800"/>
  </r>
  <r>
    <n v="2110"/>
    <s v="RIVER KHAN AT SAKKAR KHADI, INDORE"/>
    <x v="10"/>
    <n v="19"/>
    <n v="22"/>
    <n v="0.3"/>
    <n v="0.3"/>
    <n v="7.2"/>
    <n v="8.1999999999999993"/>
    <n v="973"/>
    <n v="1418"/>
    <n v="14"/>
    <n v="38"/>
    <n v="2.14"/>
    <n v="7.35"/>
    <n v="2"/>
    <n v="6300"/>
    <n v="1400"/>
    <n v="17000"/>
    <n v="5"/>
    <n v="2100"/>
  </r>
  <r>
    <n v="2111"/>
    <s v="RIVER KHAN AT SANWER"/>
    <x v="10"/>
    <n v="19.5"/>
    <n v="22.5"/>
    <n v="4"/>
    <n v="6.4"/>
    <n v="7.4"/>
    <n v="8.4"/>
    <n v="880"/>
    <n v="1330"/>
    <n v="1"/>
    <n v="8"/>
    <n v="1.24"/>
    <n v="3.17"/>
    <n v="10"/>
    <n v="700"/>
    <n v="430"/>
    <n v="1600"/>
    <n v="2"/>
    <n v="340"/>
  </r>
  <r>
    <n v="1372"/>
    <s v="RIVER MANDAKINI AT CHITRAKUT, M.P."/>
    <x v="10"/>
    <n v="22.7"/>
    <n v="33"/>
    <n v="2.8"/>
    <n v="9.1"/>
    <n v="6.8"/>
    <n v="7.9"/>
    <n v="612"/>
    <n v="5952"/>
    <n v="2"/>
    <n v="3.7"/>
    <n v="0"/>
    <n v="0"/>
    <n v="2"/>
    <n v="15"/>
    <n v="70"/>
    <n v="120"/>
    <n v="2"/>
    <n v="2"/>
  </r>
  <r>
    <n v="1369"/>
    <s v="RIVER KSHIPRA AT RAMGHAT AT UJJAIN, M.P."/>
    <x v="10"/>
    <n v="22"/>
    <n v="27"/>
    <n v="6.2"/>
    <n v="7.8"/>
    <n v="7.1"/>
    <n v="7.9"/>
    <n v="386"/>
    <n v="1064"/>
    <n v="3.4"/>
    <n v="10"/>
    <n v="0.32"/>
    <n v="2.8"/>
    <n v="350"/>
    <n v="1600"/>
    <n v="1600"/>
    <n v="1600"/>
    <n v="6"/>
    <n v="170"/>
  </r>
  <r>
    <n v="1370"/>
    <s v="RIVER KSHIPRA AT TRIVENISANGAM (1 KM. D/S OF_x000a_SANGAM), M.P."/>
    <x v="10"/>
    <n v="22"/>
    <n v="27"/>
    <n v="7"/>
    <n v="7.6"/>
    <n v="7.4"/>
    <n v="7.9"/>
    <n v="333"/>
    <n v="1039"/>
    <n v="2.4"/>
    <n v="6"/>
    <n v="0.32"/>
    <n v="1.94"/>
    <n v="2"/>
    <n v="1600"/>
    <n v="210"/>
    <n v="1600"/>
    <n v="2"/>
    <n v="6"/>
  </r>
  <r>
    <n v="1468"/>
    <s v="RIVER KSHIPRA AT SIDDHAWAT (D/S) OF UJJAIN., M.P."/>
    <x v="10"/>
    <n v="22"/>
    <n v="27"/>
    <n v="6.8"/>
    <n v="7.6"/>
    <n v="7.3"/>
    <n v="8"/>
    <n v="493"/>
    <n v="1254"/>
    <n v="8"/>
    <n v="12"/>
    <n v="0.93"/>
    <n v="3.47"/>
    <n v="920"/>
    <n v="1600"/>
    <n v="1600"/>
    <n v="1600"/>
    <n v="10"/>
    <n v="25"/>
  </r>
  <r>
    <n v="3315"/>
    <s v="RIVER KSHIPRA AT GAUGHAT, UJJAIN"/>
    <x v="10"/>
    <n v="22"/>
    <n v="26"/>
    <n v="7"/>
    <n v="7.5"/>
    <n v="7.1"/>
    <n v="7.9"/>
    <n v="370"/>
    <n v="1041"/>
    <n v="2.4"/>
    <n v="8"/>
    <n v="0.32"/>
    <n v="2.2400000000000002"/>
    <n v="2"/>
    <n v="1600"/>
    <n v="280"/>
    <n v="1600"/>
    <n v="2"/>
    <n v="6"/>
  </r>
  <r>
    <n v="3316"/>
    <s v="RIVER KSHIPRA AT U/S OF MAHIDPUR CITY, UJJAIN"/>
    <x v="10"/>
    <n v="23"/>
    <n v="29"/>
    <n v="6.8"/>
    <n v="8"/>
    <n v="7.5"/>
    <n v="8.1999999999999993"/>
    <n v="388"/>
    <n v="1068"/>
    <n v="1.4"/>
    <n v="3.6"/>
    <n v="0.32"/>
    <n v="1"/>
    <n v="2"/>
    <n v="6"/>
    <n v="46"/>
    <n v="1600"/>
    <n v="2"/>
    <n v="2"/>
  </r>
  <r>
    <n v="3317"/>
    <s v="RIVER KSHIPRA AT W/S INTAKE POINT OF DEWAS,_x000a_UJJAIN"/>
    <x v="10"/>
    <n v="22"/>
    <n v="26"/>
    <n v="7.1"/>
    <n v="7.6"/>
    <n v="7.4"/>
    <n v="8"/>
    <n v="288"/>
    <n v="585"/>
    <n v="1.8"/>
    <n v="2"/>
    <n v="0.63"/>
    <n v="0.98"/>
    <n v="2"/>
    <n v="4"/>
    <n v="47"/>
    <n v="49"/>
    <n v="2"/>
    <n v="2"/>
  </r>
  <r>
    <n v="2724"/>
    <s v="RIVER SUSWA AT MATHURAWALA, DEHRADUN"/>
    <x v="3"/>
    <n v="15"/>
    <n v="24"/>
    <n v="1.4"/>
    <n v="4"/>
    <n v="6.8"/>
    <n v="7.8"/>
    <n v="321"/>
    <n v="601"/>
    <n v="20"/>
    <n v="34"/>
    <n v="0.33"/>
    <n v="0.53"/>
    <n v="1400"/>
    <n v="28000"/>
    <n v="1600"/>
    <n v="160000"/>
    <n v="540"/>
    <n v="16000"/>
  </r>
  <r>
    <n v="2734"/>
    <s v="RIVER BHELLA U/S OF KASHIPUR,US NAGAR"/>
    <x v="3"/>
    <n v="13"/>
    <n v="30"/>
    <n v="5.6"/>
    <n v="7.7"/>
    <n v="7.2"/>
    <n v="7.8"/>
    <n v="181"/>
    <n v="316"/>
    <n v="2"/>
    <n v="3"/>
    <n v="0.35"/>
    <n v="0.83"/>
    <n v="130"/>
    <n v="540"/>
    <n v="170"/>
    <n v="920"/>
    <n v="46"/>
    <n v="210"/>
  </r>
  <r>
    <n v="2735"/>
    <s v="RIVER BHELLA D/S OF LOHIYA BRIDGE KASHIPUR,US_x000a_NAGAR"/>
    <x v="3"/>
    <n v="13"/>
    <n v="32"/>
    <n v="1.4"/>
    <n v="4.4000000000000004"/>
    <n v="6.7"/>
    <n v="7.7"/>
    <n v="216"/>
    <n v="636"/>
    <n v="12"/>
    <n v="28"/>
    <n v="0.37"/>
    <n v="1.1499999999999999"/>
    <n v="240"/>
    <n v="920"/>
    <n v="540"/>
    <n v="1600"/>
    <n v="94"/>
    <n v="350"/>
  </r>
  <r>
    <n v="2732"/>
    <s v="RIVER DHELLA U/S AT KASHIPUR MORADABAD ROAD_x000a_BRIDGE,US NAGAR"/>
    <x v="3"/>
    <n v="13"/>
    <n v="34"/>
    <n v="6"/>
    <n v="7.6"/>
    <n v="6.8"/>
    <n v="7.9"/>
    <n v="236"/>
    <n v="596"/>
    <n v="2.6"/>
    <n v="3"/>
    <n v="0.34"/>
    <n v="0.82"/>
    <n v="220"/>
    <n v="920"/>
    <n v="280"/>
    <n v="1600"/>
    <n v="47"/>
    <n v="130"/>
  </r>
  <r>
    <n v="2733"/>
    <s v="RIVER DHELLA D/S AT THAKURDWARA ALIGANJ_x000a_ROAD,US NAGAR"/>
    <x v="3"/>
    <n v="12"/>
    <n v="33"/>
    <n v="1.2"/>
    <n v="4.0999999999999996"/>
    <n v="7"/>
    <n v="7.7"/>
    <n v="298"/>
    <n v="1254"/>
    <n v="14"/>
    <n v="38"/>
    <n v="0.39"/>
    <n v="1.29"/>
    <n v="350"/>
    <n v="1600"/>
    <n v="540"/>
    <n v="1600"/>
    <n v="70"/>
    <n v="220"/>
  </r>
  <r>
    <n v="30004"/>
    <s v="RIVER DHELA AT ADAMPUR"/>
    <x v="3"/>
    <n v="20.6"/>
    <n v="32"/>
    <n v="4.5"/>
    <n v="8.3000000000000007"/>
    <n v="7.1"/>
    <n v="7.8"/>
    <n v="238"/>
    <n v="813"/>
    <n v="1"/>
    <n v="7.1"/>
    <n v="0.32"/>
    <n v="0.37"/>
    <n v="13000"/>
    <n v="130000"/>
    <n v="70000"/>
    <n v="490000"/>
    <m/>
    <m/>
  </r>
  <r>
    <n v="2731"/>
    <s v="RIVER KOSI AT KASHIPUR BAJPUR ROAD_x000a_BRIDGE,KASHIPUR,US NAGAR"/>
    <x v="3"/>
    <n v="13"/>
    <n v="31"/>
    <n v="6.8"/>
    <n v="7.8"/>
    <n v="7.4"/>
    <n v="7.9"/>
    <n v="211"/>
    <n v="628"/>
    <n v="2"/>
    <n v="3.8"/>
    <n v="0.33"/>
    <n v="0.66"/>
    <n v="120"/>
    <n v="280"/>
    <n v="170"/>
    <n v="350"/>
    <n v="17"/>
    <n v="84"/>
  </r>
  <r>
    <n v="30002"/>
    <s v="RIVER KOSI AT DADIYAL BRIDGE, UTTRAKHAND"/>
    <x v="3"/>
    <n v="21"/>
    <n v="30.2"/>
    <n v="6.2"/>
    <n v="8.8000000000000007"/>
    <n v="7.5"/>
    <n v="7.6"/>
    <n v="295"/>
    <n v="714"/>
    <n v="1"/>
    <n v="2.8"/>
    <n v="0.32"/>
    <n v="0.9"/>
    <n v="7800"/>
    <n v="330000"/>
    <n v="13000"/>
    <n v="790000"/>
    <m/>
    <m/>
  </r>
  <r>
    <n v="2728"/>
    <s v="RIVER GOLA AT HALDWANI"/>
    <x v="3"/>
    <n v="13"/>
    <n v="23"/>
    <n v="7.4"/>
    <n v="8.8000000000000007"/>
    <n v="7.3"/>
    <n v="8.1999999999999993"/>
    <n v="230"/>
    <n v="280"/>
    <n v="1.4"/>
    <n v="2.4"/>
    <n v="0.32"/>
    <n v="0.4"/>
    <n v="63"/>
    <n v="170"/>
    <n v="84"/>
    <n v="210"/>
    <n v="4"/>
    <n v="13"/>
  </r>
  <r>
    <n v="2729"/>
    <s v="RIVER KICHHA AT KICHHA U.S. NAGAR"/>
    <x v="3"/>
    <n v="12"/>
    <n v="32"/>
    <n v="5"/>
    <n v="7"/>
    <n v="7.2"/>
    <n v="7.9"/>
    <n v="265"/>
    <n v="672"/>
    <n v="3"/>
    <n v="7.8"/>
    <n v="0"/>
    <n v="0.88"/>
    <n v="170"/>
    <n v="540"/>
    <n v="280"/>
    <n v="920"/>
    <n v="48"/>
    <n v="150"/>
  </r>
  <r>
    <n v="30003"/>
    <s v="RIVER KICCHA AT PULL BHATTA"/>
    <x v="3"/>
    <n v="20.2"/>
    <n v="30.9"/>
    <n v="0.3"/>
    <n v="6.2"/>
    <n v="7.6"/>
    <n v="7.9"/>
    <n v="380"/>
    <n v="1030"/>
    <n v="7.5"/>
    <n v="13"/>
    <n v="0.32"/>
    <n v="1.74"/>
    <n v="2300"/>
    <n v="170000"/>
    <n v="7900"/>
    <n v="1300000"/>
    <m/>
    <m/>
  </r>
  <r>
    <n v="2730"/>
    <s v="RIVER PILKHAR AT BILASPUR, RAMPUR,US NAGAR"/>
    <x v="3"/>
    <n v="12"/>
    <n v="31"/>
    <n v="2.4"/>
    <n v="7.2"/>
    <n v="7.2"/>
    <n v="7.8"/>
    <n v="221"/>
    <n v="918"/>
    <n v="2"/>
    <n v="12"/>
    <n v="0.33"/>
    <n v="0.97"/>
    <n v="220"/>
    <n v="920"/>
    <n v="350"/>
    <n v="1600"/>
    <n v="79"/>
    <n v="170"/>
  </r>
  <r>
    <n v="30000"/>
    <s v="RIVER PILKHAR AT RAMPUR, BHOT(U.P)"/>
    <x v="4"/>
    <n v="21"/>
    <n v="31.6"/>
    <n v="6.5"/>
    <n v="8.3000000000000007"/>
    <n v="7.5"/>
    <n v="8"/>
    <n v="121"/>
    <n v="745"/>
    <n v="1"/>
    <n v="2.4"/>
    <n v="0.32"/>
    <n v="0.98"/>
    <n v="4500"/>
    <n v="130000"/>
    <n v="7800"/>
    <n v="490000"/>
    <m/>
    <m/>
  </r>
  <r>
    <n v="30001"/>
    <s v="RIVER BAHELA AT BADLI VILLAGE LOHIYA BRIDGE ,_x000a_TANDA (U.P.)"/>
    <x v="4"/>
    <n v="20.3"/>
    <n v="31.2"/>
    <n v="0.3"/>
    <n v="8.9"/>
    <n v="6.2"/>
    <n v="7.8"/>
    <n v="217"/>
    <n v="715"/>
    <n v="1.4"/>
    <n v="145"/>
    <n v="0.32"/>
    <n v="0.37"/>
    <n v="200"/>
    <n v="1300000"/>
    <n v="780"/>
    <n v="9200000"/>
    <m/>
    <m/>
  </r>
  <r>
    <n v="2736"/>
    <s v="RIVER NANDOUR U/S AT SITARGANJ INDUSTRIAL AREA,_x000a_US NAGAR"/>
    <x v="3"/>
    <n v="12"/>
    <n v="31"/>
    <n v="7.2"/>
    <n v="9.1999999999999993"/>
    <n v="7.5"/>
    <n v="7.9"/>
    <n v="165"/>
    <n v="220"/>
    <n v="1.6"/>
    <n v="2.2000000000000002"/>
    <n v="0.35"/>
    <n v="0.49"/>
    <n v="210"/>
    <n v="540"/>
    <n v="350"/>
    <n v="920"/>
    <n v="63"/>
    <n v="170"/>
  </r>
  <r>
    <n v="2737"/>
    <s v="RIVER NANDOUR D/S AT SITARGANJ INDUSTRIAL AREA,_x000a_US NAGAR"/>
    <x v="3"/>
    <n v="12"/>
    <n v="32"/>
    <n v="6.9"/>
    <n v="8.6"/>
    <n v="7.4"/>
    <n v="7.9"/>
    <n v="183"/>
    <n v="336"/>
    <n v="2.4"/>
    <n v="3"/>
    <n v="0.36"/>
    <n v="0.84"/>
    <n v="350"/>
    <n v="1600"/>
    <n v="920"/>
    <n v="1700"/>
    <n v="94"/>
    <n v="920"/>
  </r>
  <r>
    <n v="3438"/>
    <s v="RIVER KALYANI U/S OF PANTNAGAR INDUSRIAL AREA,_x000a_US NAGAR"/>
    <x v="3"/>
    <n v="13"/>
    <n v="30"/>
    <n v="5"/>
    <n v="7.2"/>
    <n v="7.1"/>
    <n v="7.8"/>
    <n v="322"/>
    <n v="482"/>
    <n v="2.4"/>
    <n v="3"/>
    <n v="0.34"/>
    <n v="0.55000000000000004"/>
    <n v="220"/>
    <n v="920"/>
    <n v="350"/>
    <n v="1600"/>
    <n v="79"/>
    <n v="540"/>
  </r>
  <r>
    <n v="3439"/>
    <s v="RIVER KALYANI D/S OF PANTNAGAR INDUSTRIAL AREA,_x000a_US NAGAR"/>
    <x v="3"/>
    <n v="12"/>
    <n v="33"/>
    <n v="1.6"/>
    <n v="4.4000000000000004"/>
    <n v="6.8"/>
    <n v="7.5"/>
    <n v="396"/>
    <n v="625"/>
    <n v="12"/>
    <n v="30"/>
    <n v="0.35"/>
    <n v="1.47"/>
    <n v="540"/>
    <n v="1600"/>
    <n v="920"/>
    <n v="1700"/>
    <n v="170"/>
    <n v="540"/>
  </r>
  <r>
    <n v="30077"/>
    <s v="RIVER RAMGANGA AT ROAD BRIDGE SHERKOT,_x000a_DIST.BIJNAUR (U.P.)"/>
    <x v="4"/>
    <n v="22"/>
    <n v="30.2"/>
    <n v="6.5"/>
    <n v="9.1"/>
    <n v="7.2"/>
    <n v="7.9"/>
    <n v="221"/>
    <n v="730"/>
    <n v="1"/>
    <n v="3.4"/>
    <n v="0.32"/>
    <n v="0.36"/>
    <n v="2"/>
    <n v="49000"/>
    <n v="2"/>
    <n v="330000"/>
    <n v="2"/>
    <n v="2"/>
  </r>
  <r>
    <n v="30078"/>
    <s v="RIVER RAMGANGA AT_x000a_KALAGARHBARRAGE,KALAGARH,DIST,PAUDHIGADHWAL_x000a_(U.K.)"/>
    <x v="3"/>
    <n v="21.5"/>
    <n v="28.8"/>
    <n v="7.4"/>
    <n v="9.5"/>
    <n v="7.1"/>
    <n v="7.8"/>
    <n v="176"/>
    <n v="584"/>
    <n v="1.2"/>
    <n v="9.5"/>
    <n v="0.32"/>
    <n v="10.14"/>
    <n v="2"/>
    <n v="790000"/>
    <n v="4500"/>
    <n v="3500000"/>
    <m/>
    <m/>
  </r>
  <r>
    <n v="30077"/>
    <s v="RIVER RAMGANGA AT ROAD BRIDGE SHERKOT,_x000a_DIST.BIJNAUR (U.P.)"/>
    <x v="4"/>
    <n v="22"/>
    <n v="30.2"/>
    <n v="6.5"/>
    <n v="9.1"/>
    <n v="7.2"/>
    <n v="7.9"/>
    <n v="221"/>
    <n v="730"/>
    <n v="1"/>
    <n v="3.4"/>
    <n v="0.32"/>
    <n v="0.36"/>
    <n v="2"/>
    <n v="49000"/>
    <n v="2"/>
    <n v="330000"/>
    <n v="2"/>
    <n v="2"/>
  </r>
  <r>
    <n v="1064"/>
    <s v="RIVER RAMGANGA AT KANNAUJ (BEFORE CONF.), U.P"/>
    <x v="4"/>
    <n v="14"/>
    <n v="30"/>
    <n v="5.9"/>
    <n v="11.2"/>
    <n v="8"/>
    <n v="8.5"/>
    <n v="256"/>
    <n v="589"/>
    <n v="3.8"/>
    <n v="5.6"/>
    <n v="0"/>
    <n v="0"/>
    <n v="4300"/>
    <n v="6300"/>
    <n v="7500"/>
    <n v="13000"/>
    <n v="2"/>
    <n v="2"/>
  </r>
  <r>
    <n v="1065"/>
    <s v="RIVER KALINADI NEAR GUMATIYA VILLAGE ,KANNAUJ_x000a_(BEFORE CONF.), U.P"/>
    <x v="4"/>
    <n v="14"/>
    <n v="30"/>
    <n v="5.4"/>
    <n v="8.6999999999999993"/>
    <n v="7.4"/>
    <n v="8.1999999999999993"/>
    <n v="240"/>
    <n v="496"/>
    <n v="5"/>
    <n v="6.4"/>
    <n v="0"/>
    <n v="0"/>
    <n v="4600"/>
    <n v="9800"/>
    <n v="8900"/>
    <n v="17000"/>
    <n v="2"/>
    <n v="2"/>
  </r>
  <r>
    <n v="1480"/>
    <s v="RIVER KALINADI AT U/S OF GULAOTHI TOWN IN_x000a_BULANDSAHAR, U.P."/>
    <x v="4"/>
    <n v="19"/>
    <n v="31"/>
    <n v="0.3"/>
    <n v="0.3"/>
    <n v="7.6"/>
    <n v="7.9"/>
    <n v="403"/>
    <n v="558"/>
    <n v="46"/>
    <n v="62"/>
    <n v="0"/>
    <n v="0"/>
    <n v="2200000"/>
    <n v="4100000"/>
    <n v="3200000"/>
    <n v="5800000"/>
    <m/>
    <m/>
  </r>
  <r>
    <n v="2497"/>
    <s v="RIVER KALI EAST AT KHARKHODA-PARIKSHIT GARH_x000a_ROAD, VILL. KOL, MEERUT"/>
    <x v="4"/>
    <n v="14"/>
    <n v="21"/>
    <n v="0.3"/>
    <n v="0.3"/>
    <n v="7.5"/>
    <n v="7.7"/>
    <n v="480"/>
    <n v="940"/>
    <n v="32"/>
    <n v="56"/>
    <n v="22"/>
    <n v="32"/>
    <n v="63000"/>
    <n v="130000"/>
    <n v="94000"/>
    <n v="170000"/>
    <m/>
    <m/>
  </r>
  <r>
    <n v="2482"/>
    <s v="RIVER VARUNA AT RAMESHWAR, VARANASI"/>
    <x v="4"/>
    <n v="23.5"/>
    <n v="29"/>
    <n v="7.1"/>
    <n v="8.1999999999999993"/>
    <n v="8"/>
    <n v="8.4"/>
    <n v="312"/>
    <n v="480"/>
    <n v="2.8"/>
    <n v="3.8"/>
    <n v="0.6"/>
    <n v="0.96"/>
    <n v="1100"/>
    <n v="2300"/>
    <n v="1700"/>
    <n v="3300"/>
    <n v="380"/>
    <n v="840"/>
  </r>
  <r>
    <n v="2483"/>
    <s v="RIVER VARUNA B/C WITH GANGA AT VARANASI"/>
    <x v="4"/>
    <n v="23.5"/>
    <n v="29.5"/>
    <n v="3"/>
    <n v="4.8"/>
    <n v="7.2"/>
    <n v="7.6"/>
    <n v="524"/>
    <n v="664"/>
    <n v="8.6"/>
    <n v="12.8"/>
    <n v="1.72"/>
    <n v="260"/>
    <n v="17000"/>
    <n v="22000"/>
    <n v="27000"/>
    <n v="33000"/>
    <n v="7900"/>
    <n v="17000"/>
  </r>
  <r>
    <n v="2502"/>
    <s v="SHUKRA TAL GHAT (CONFLUENCE OF BANGANGA AND_x000a_SALONI RIVER), MUZAFFARNAGAR,"/>
    <x v="4"/>
    <n v="18"/>
    <n v="26.7"/>
    <n v="5.5"/>
    <n v="7.3"/>
    <n v="7.5"/>
    <n v="7.8"/>
    <n v="140"/>
    <n v="170"/>
    <n v="1.8"/>
    <n v="2.8"/>
    <n v="0"/>
    <n v="0"/>
    <n v="700"/>
    <n v="1100"/>
    <n v="1000"/>
    <n v="1700"/>
    <m/>
    <m/>
  </r>
  <r>
    <n v="1361"/>
    <s v="RIVER SAI AT UNNAO AFTER DRAIN OUTFALL, U.P."/>
    <x v="4"/>
    <n v="18"/>
    <n v="32"/>
    <n v="3.5"/>
    <n v="8"/>
    <n v="7.7"/>
    <n v="8.1999999999999993"/>
    <n v="324"/>
    <n v="531"/>
    <n v="3"/>
    <n v="4.3"/>
    <n v="0.3"/>
    <n v="1.38"/>
    <n v="2300"/>
    <n v="4900"/>
    <n v="4700"/>
    <n v="7900"/>
    <m/>
    <m/>
  </r>
  <r>
    <n v="2484"/>
    <s v="RIVER SAI AT JALALPUR, JAUNPUR"/>
    <x v="4"/>
    <n v="24"/>
    <n v="29.5"/>
    <n v="7.3"/>
    <n v="8.6"/>
    <n v="8.1"/>
    <n v="8.4"/>
    <n v="316"/>
    <n v="446"/>
    <n v="2.4"/>
    <n v="3.4"/>
    <n v="0.55000000000000004"/>
    <n v="0.92"/>
    <n v="2100"/>
    <n v="5800"/>
    <n v="4600"/>
    <n v="8400"/>
    <n v="1300"/>
    <n v="3100"/>
  </r>
  <r>
    <n v="1072"/>
    <s v="RIVER GOMTI AT VARANASI, RAJWARI U.P"/>
    <x v="4"/>
    <n v="24"/>
    <n v="29"/>
    <n v="7.2"/>
    <n v="8.6"/>
    <n v="7.9"/>
    <n v="8.4"/>
    <n v="318"/>
    <n v="484"/>
    <n v="3"/>
    <n v="4"/>
    <n v="0.56000000000000005"/>
    <n v="1.34"/>
    <n v="3100"/>
    <n v="9300"/>
    <n v="7000"/>
    <n v="13000"/>
    <n v="2000"/>
    <n v="4600"/>
  </r>
  <r>
    <n v="1353"/>
    <s v="RIVER GOMTI AT JAUNPUR D/S, U.P."/>
    <x v="4"/>
    <n v="24"/>
    <n v="29.5"/>
    <n v="7"/>
    <n v="8"/>
    <n v="7.8"/>
    <n v="8.5"/>
    <n v="322"/>
    <n v="490"/>
    <n v="3.2"/>
    <n v="4.3"/>
    <n v="0.6"/>
    <n v="1.42"/>
    <n v="3300"/>
    <n v="14000"/>
    <n v="8400"/>
    <n v="21000"/>
    <n v="2400"/>
    <n v="8400"/>
  </r>
  <r>
    <n v="10095"/>
    <s v="RIVER GOMTI AT SULTANPUR U/S"/>
    <x v="4"/>
    <n v="23"/>
    <n v="28"/>
    <n v="5.7"/>
    <n v="7"/>
    <n v="7.9"/>
    <n v="8.1999999999999993"/>
    <n v="345"/>
    <n v="518"/>
    <n v="4"/>
    <n v="4.9000000000000004"/>
    <n v="0"/>
    <n v="0.92"/>
    <n v="2700"/>
    <n v="4900"/>
    <n v="4700"/>
    <n v="12000"/>
    <m/>
    <m/>
  </r>
  <r>
    <n v="10096"/>
    <s v="RIVER GOMTI AT SULTANPUR D/S"/>
    <x v="4"/>
    <n v="23"/>
    <n v="28"/>
    <n v="5.3"/>
    <n v="7.3"/>
    <n v="8"/>
    <n v="8.1999999999999993"/>
    <n v="341"/>
    <n v="530"/>
    <n v="4.2"/>
    <n v="5.8"/>
    <n v="0.82"/>
    <n v="0.94"/>
    <n v="2600"/>
    <n v="7000"/>
    <n v="4900"/>
    <n v="17000"/>
    <n v="2"/>
    <n v="2"/>
  </r>
  <r>
    <n v="10097"/>
    <s v="RIVER GOMTI AT JAUNPUR U/S"/>
    <x v="4"/>
    <n v="24"/>
    <n v="29.5"/>
    <n v="7.4"/>
    <n v="8.6"/>
    <n v="8"/>
    <n v="8.4"/>
    <n v="315"/>
    <n v="478"/>
    <n v="2.4"/>
    <n v="3.3"/>
    <n v="0.52"/>
    <n v="1.2"/>
    <n v="700"/>
    <n v="1700"/>
    <n v="1100"/>
    <n v="2400"/>
    <n v="430"/>
    <n v="700"/>
  </r>
  <r>
    <n v="1363"/>
    <s v="RIVER RAPTI AFTER CONFL. OF R. HONIN NR._x000a_DOMINGARH RLY BRIDGE, GORAKHPUR, U.P."/>
    <x v="4"/>
    <n v="16"/>
    <n v="24"/>
    <n v="7.8"/>
    <n v="8.4"/>
    <n v="7.9"/>
    <n v="8.1999999999999993"/>
    <n v="270"/>
    <n v="2920"/>
    <n v="2.6"/>
    <n v="8.4"/>
    <n v="0"/>
    <n v="0"/>
    <n v="8000"/>
    <n v="16000"/>
    <n v="18000"/>
    <n v="30000"/>
    <m/>
    <m/>
  </r>
  <r>
    <n v="4517"/>
    <s v="RIVER RAPTI AT RAJGHAT, GORAKHPUR"/>
    <x v="4"/>
    <n v="16"/>
    <n v="26"/>
    <n v="7.4"/>
    <n v="8"/>
    <n v="7.7"/>
    <n v="8"/>
    <n v="360"/>
    <n v="3960"/>
    <n v="4.2"/>
    <n v="7.7"/>
    <n v="0"/>
    <n v="0"/>
    <n v="12000"/>
    <n v="28000"/>
    <n v="28000"/>
    <n v="44000"/>
    <m/>
    <m/>
  </r>
  <r>
    <n v="1076"/>
    <s v="RIVER GHAGHARA NEAR CHAPRA, RIVILGANJ, MANJHI,_x000a_SARAN"/>
    <x v="5"/>
    <n v="19"/>
    <n v="33"/>
    <n v="6"/>
    <n v="9.6999999999999993"/>
    <n v="7"/>
    <n v="8.1999999999999993"/>
    <n v="159"/>
    <n v="361"/>
    <n v="1"/>
    <n v="2.9"/>
    <n v="0.12"/>
    <n v="0.3"/>
    <n v="1100"/>
    <n v="92000"/>
    <n v="2300"/>
    <n v="160000"/>
    <m/>
    <m/>
  </r>
  <r>
    <n v="1355"/>
    <s v="RIVER GHAGHARA AT TURTIPAR,DEORIA D/S, U.P."/>
    <x v="4"/>
    <n v="16"/>
    <n v="25"/>
    <n v="7.6"/>
    <n v="8.4"/>
    <n v="7.7"/>
    <n v="8"/>
    <n v="330"/>
    <n v="4120"/>
    <n v="2.6"/>
    <n v="4"/>
    <n v="0"/>
    <n v="0"/>
    <n v="10000"/>
    <n v="26000"/>
    <n v="22000"/>
    <n v="50000"/>
    <m/>
    <m/>
  </r>
  <r>
    <n v="2492"/>
    <s v="RIVER GHAGHRA AT BARHALGANJ, GORAKHPUR"/>
    <x v="4"/>
    <n v="16"/>
    <n v="24"/>
    <n v="7.8"/>
    <n v="8.3000000000000007"/>
    <n v="7.8"/>
    <n v="8.1999999999999993"/>
    <n v="370"/>
    <n v="392"/>
    <n v="3.4"/>
    <n v="4.2"/>
    <n v="0"/>
    <n v="0"/>
    <n v="8000"/>
    <n v="24000"/>
    <n v="18000"/>
    <n v="38000"/>
    <m/>
    <m/>
  </r>
  <r>
    <n v="1359"/>
    <s v="RIVER RIHAND AT RENUKUT U/S, U.P."/>
    <x v="4"/>
    <n v="22"/>
    <n v="28.5"/>
    <n v="8.5"/>
    <n v="9.8000000000000007"/>
    <n v="7.9"/>
    <n v="8.3000000000000007"/>
    <n v="232"/>
    <n v="292"/>
    <n v="1.8"/>
    <n v="2.5"/>
    <n v="0.52"/>
    <n v="0.86"/>
    <n v="210"/>
    <n v="460"/>
    <n v="460"/>
    <n v="700"/>
    <n v="170"/>
    <n v="310"/>
  </r>
  <r>
    <n v="1360"/>
    <s v="RIVER RIHAND AT RENUKUT D/S, U.P."/>
    <x v="4"/>
    <n v="22"/>
    <n v="28.5"/>
    <n v="7.8"/>
    <n v="9"/>
    <n v="7.8"/>
    <n v="8.4"/>
    <n v="248"/>
    <n v="310"/>
    <n v="2.8"/>
    <n v="3.7"/>
    <n v="0.64"/>
    <n v="1.22"/>
    <n v="1300"/>
    <n v="2700"/>
    <n v="2300"/>
    <n v="3900"/>
    <n v="580"/>
    <n v="1100"/>
  </r>
  <r>
    <n v="1143"/>
    <s v="RIVER TONS AT CHAKGHAT, M.P."/>
    <x v="10"/>
    <n v="17.3"/>
    <n v="29.8"/>
    <n v="6.7"/>
    <n v="7.8"/>
    <n v="7.6"/>
    <n v="8.1999999999999993"/>
    <n v="236"/>
    <n v="456"/>
    <n v="1.5"/>
    <n v="1.9"/>
    <n v="0.45"/>
    <n v="1.1599999999999999"/>
    <n v="2"/>
    <n v="2"/>
    <n v="46"/>
    <n v="49"/>
    <n v="2"/>
    <n v="2"/>
  </r>
  <r>
    <n v="1144"/>
    <s v="RIVER TONS AT MADHAVGARH, M.P."/>
    <x v="10"/>
    <n v="23.4"/>
    <n v="33.200000000000003"/>
    <n v="4.0999999999999996"/>
    <n v="7.5"/>
    <n v="7.5"/>
    <n v="8"/>
    <n v="461"/>
    <n v="3212"/>
    <n v="1.7"/>
    <n v="3.4"/>
    <n v="0"/>
    <n v="0"/>
    <n v="2"/>
    <n v="16"/>
    <n v="70"/>
    <n v="120"/>
    <n v="2"/>
    <n v="2"/>
  </r>
  <r>
    <n v="3328"/>
    <s v="RIVER TONS AT MADHAVGARH, NEAR PHED W/S INTAKE_x000a_POINT, SATNA"/>
    <x v="10"/>
    <n v="22.6"/>
    <n v="33.1"/>
    <n v="4.7"/>
    <n v="7.4"/>
    <n v="7.3"/>
    <n v="7.9"/>
    <n v="647"/>
    <n v="2994"/>
    <n v="1.8"/>
    <n v="2.8"/>
    <n v="0"/>
    <n v="0"/>
    <n v="2"/>
    <n v="14"/>
    <n v="44"/>
    <n v="118"/>
    <n v="2"/>
    <n v="2"/>
  </r>
  <r>
    <n v="3853"/>
    <s v="RIVER TONS AT BASAMAN MAMA TEMPLE, NEAR PURWA_x000a_FALL, TEHSIL-SEMARIYA, DIST- REWA"/>
    <x v="10"/>
    <n v="19.600000000000001"/>
    <n v="31.5"/>
    <n v="6.8"/>
    <n v="7.5"/>
    <n v="7.4"/>
    <n v="8.1999999999999993"/>
    <n v="298"/>
    <n v="414"/>
    <n v="1.4"/>
    <n v="1.8"/>
    <n v="0.43"/>
    <n v="0.97"/>
    <n v="2"/>
    <n v="2"/>
    <n v="41"/>
    <n v="49"/>
    <n v="2"/>
    <n v="2"/>
  </r>
  <r>
    <n v="4609"/>
    <s v="RIVER TONS AT M.P-U.P BOUNDARY, BEFORE MIXING_x000a_RIVER BELAN CHAKGHAT REWA"/>
    <x v="10"/>
    <n v="17.600000000000001"/>
    <n v="29.5"/>
    <n v="7.1"/>
    <n v="7.3"/>
    <n v="7.6"/>
    <n v="8.1999999999999993"/>
    <n v="267"/>
    <n v="381"/>
    <n v="1.2"/>
    <n v="1.8"/>
    <n v="0.32"/>
    <n v="1.03"/>
    <n v="2"/>
    <n v="2"/>
    <n v="43"/>
    <n v="48"/>
    <n v="2"/>
    <n v="2"/>
  </r>
  <r>
    <n v="5543"/>
    <s v="River BeeharÂ Khthuliya Intake Well Point ,Rewa"/>
    <x v="10"/>
    <n v="24"/>
    <n v="29.2"/>
    <n v="7.1"/>
    <n v="8"/>
    <n v="7.5"/>
    <n v="8.1"/>
    <n v="278"/>
    <n v="293"/>
    <n v="1.3"/>
    <n v="1.5"/>
    <n v="0.34"/>
    <n v="1"/>
    <n v="2"/>
    <n v="2"/>
    <n v="38"/>
    <n v="48"/>
    <n v="2"/>
    <n v="2"/>
  </r>
  <r>
    <n v="4611"/>
    <s v="RIVER GAMBHIR AT DAM SITE UJJAIN"/>
    <x v="10"/>
    <n v="25"/>
    <n v="29"/>
    <n v="7"/>
    <n v="7.8"/>
    <n v="7.4"/>
    <n v="7.8"/>
    <n v="290"/>
    <n v="417"/>
    <n v="1.4"/>
    <n v="2"/>
    <n v="0.32"/>
    <n v="0.88"/>
    <n v="2"/>
    <n v="2"/>
    <n v="40"/>
    <n v="49"/>
    <n v="2"/>
    <n v="2"/>
  </r>
  <r>
    <n v="1607"/>
    <s v="RIVER BASLI GOHAD DAM, GOHAD, M.P"/>
    <x v="10"/>
    <n v="19"/>
    <n v="27"/>
    <n v="7"/>
    <n v="7.8"/>
    <n v="7.1"/>
    <n v="7.7"/>
    <n v="400"/>
    <n v="752"/>
    <n v="1.4"/>
    <n v="2.1"/>
    <n v="0.47"/>
    <n v="2"/>
    <n v="4"/>
    <n v="8"/>
    <n v="22"/>
    <n v="28"/>
    <m/>
    <m/>
  </r>
  <r>
    <n v="2120"/>
    <s v="RIVER KALIASOT NEAR ROAD BRIDGE, MANDIDEEP"/>
    <x v="10"/>
    <n v="17"/>
    <n v="33"/>
    <n v="6.3"/>
    <n v="7.9"/>
    <n v="7.2"/>
    <n v="7.9"/>
    <n v="312"/>
    <n v="668"/>
    <n v="2.2000000000000002"/>
    <n v="3"/>
    <n v="3.48"/>
    <n v="6.48"/>
    <n v="11"/>
    <n v="63"/>
    <n v="120"/>
    <n v="430"/>
    <n v="2"/>
    <n v="2"/>
  </r>
  <r>
    <n v="2142"/>
    <s v="River KALISINDH NEAR ROAD BRIDGE SARANGPUR,_x000a_RAJGARH"/>
    <x v="10"/>
    <n v="16"/>
    <n v="26"/>
    <n v="3.5"/>
    <n v="11.4"/>
    <n v="7.1"/>
    <n v="8.3000000000000007"/>
    <n v="285"/>
    <n v="918"/>
    <n v="1"/>
    <n v="3"/>
    <n v="1.24"/>
    <n v="23.4"/>
    <n v="4"/>
    <n v="110"/>
    <n v="220"/>
    <n v="430"/>
    <n v="2"/>
    <n v="2"/>
  </r>
  <r>
    <n v="4621"/>
    <s v="RIVER HATHNI NANPUR FATA DAM ALIRAJPUR"/>
    <x v="10"/>
    <n v="20"/>
    <n v="22"/>
    <n v="6.9"/>
    <n v="7.7"/>
    <n v="7.7"/>
    <n v="8.1999999999999993"/>
    <n v="338"/>
    <n v="487"/>
    <n v="1"/>
    <n v="1.2"/>
    <n v="0.73"/>
    <n v="1.79"/>
    <n v="2"/>
    <n v="2"/>
    <n v="41"/>
    <n v="46"/>
    <m/>
    <m/>
  </r>
  <r>
    <n v="3125"/>
    <s v="RIVER GANDAK GOPALGANJ PIPRAKOTHI ROAD BRIDGE_x000a_(DUMARIA GHAT)"/>
    <x v="5"/>
    <n v="18"/>
    <n v="31"/>
    <n v="7.1"/>
    <n v="9.8000000000000007"/>
    <n v="7.3"/>
    <n v="8.1999999999999993"/>
    <n v="166"/>
    <n v="308"/>
    <n v="1"/>
    <n v="2.1"/>
    <n v="0.3"/>
    <n v="0.3"/>
    <n v="2200"/>
    <n v="92000"/>
    <n v="7000"/>
    <n v="160000"/>
    <m/>
    <m/>
  </r>
  <r>
    <n v="2568"/>
    <s v="RIVER GANDAK AT REWAGHAT, MUZAFFARPUR"/>
    <x v="5"/>
    <n v="18"/>
    <n v="31"/>
    <n v="6.6"/>
    <n v="9.5"/>
    <n v="7.3"/>
    <n v="8.1999999999999993"/>
    <n v="175"/>
    <n v="309"/>
    <n v="1"/>
    <n v="2.7"/>
    <n v="0.3"/>
    <n v="0.3"/>
    <n v="2300"/>
    <n v="54000"/>
    <n v="3300"/>
    <n v="92000"/>
    <m/>
    <m/>
  </r>
  <r>
    <n v="10163"/>
    <s v="RIVER GANDAK AT ROAD BRIDGE, U/S HAJIPUR,_x000a_VAISHALI (BORDER OF SARAN &amp; VAISHALI)"/>
    <x v="5"/>
    <n v="18"/>
    <n v="30"/>
    <n v="7.1"/>
    <n v="9.4"/>
    <n v="7.2"/>
    <n v="8.1999999999999993"/>
    <n v="173"/>
    <n v="272"/>
    <n v="1"/>
    <n v="2.4"/>
    <n v="0.3"/>
    <n v="0.3"/>
    <n v="1400"/>
    <n v="54000"/>
    <n v="2700"/>
    <n v="160000"/>
    <m/>
    <m/>
  </r>
  <r>
    <n v="10126"/>
    <s v="RIVER GANDAK AT KONHARA GHAT, OPPOSITE_x000a_HARIHARNATH MANDIR,SONEPUR"/>
    <x v="5"/>
    <n v="17"/>
    <n v="30"/>
    <n v="7.1"/>
    <n v="8.9"/>
    <n v="7.2"/>
    <n v="8.1999999999999993"/>
    <n v="170"/>
    <n v="268"/>
    <n v="1.1000000000000001"/>
    <n v="2.4"/>
    <n v="0.3"/>
    <n v="0.3"/>
    <n v="1300"/>
    <n v="92000"/>
    <n v="3300"/>
    <n v="160000"/>
    <m/>
    <m/>
  </r>
  <r>
    <n v="1078"/>
    <s v="RIVER GANDAK AT SONEPUR NEAR HARIHARNATH_x000a_TEMPLE"/>
    <x v="5"/>
    <n v="17"/>
    <n v="31"/>
    <n v="6.6"/>
    <n v="9.1"/>
    <n v="7.2"/>
    <n v="8.3000000000000007"/>
    <n v="167"/>
    <n v="264"/>
    <n v="1"/>
    <n v="2.6"/>
    <n v="0.3"/>
    <n v="0.3"/>
    <n v="3300"/>
    <n v="92000"/>
    <n v="4600"/>
    <n v="160000"/>
    <m/>
    <m/>
  </r>
  <r>
    <n v="1820"/>
    <s v="RIVER SIKRAHNA AT CHANPATIYA, NEAR CHANPATIYA_x000a_ROAD BRIDGE, WEST CHAMPARAN"/>
    <x v="5"/>
    <n v="17"/>
    <n v="36"/>
    <n v="2.1"/>
    <n v="9.9"/>
    <n v="7.1"/>
    <n v="7.7"/>
    <n v="190"/>
    <n v="677"/>
    <n v="1.5"/>
    <n v="4"/>
    <n v="0.3"/>
    <n v="0.3"/>
    <n v="1300"/>
    <n v="54000"/>
    <n v="1700"/>
    <n v="92000"/>
    <m/>
    <m/>
  </r>
  <r>
    <n v="2575"/>
    <s v="RIVER SIKRAHNA AT LAL PARSA, BETIAH, EAST_x000a_CHAMPARAN"/>
    <x v="5"/>
    <n v="20"/>
    <n v="31"/>
    <n v="4.4000000000000004"/>
    <n v="9.6"/>
    <n v="7.1"/>
    <n v="7.8"/>
    <n v="177"/>
    <n v="392"/>
    <n v="1.4"/>
    <n v="3"/>
    <n v="0.3"/>
    <n v="0.3"/>
    <n v="1700"/>
    <n v="92000"/>
    <n v="2100"/>
    <n v="160000"/>
    <m/>
    <m/>
  </r>
  <r>
    <n v="3134"/>
    <s v="RIVER SIKRAHNA AT LAURIA, HARINAGAR ROAD BRIDGE"/>
    <x v="5"/>
    <n v="18"/>
    <n v="29"/>
    <n v="5.2"/>
    <n v="9.1999999999999993"/>
    <n v="7.2"/>
    <n v="8"/>
    <n v="220"/>
    <n v="329"/>
    <n v="1"/>
    <n v="2.6"/>
    <n v="0.3"/>
    <n v="0.3"/>
    <n v="4900"/>
    <n v="24000"/>
    <n v="7900"/>
    <n v="35000"/>
    <m/>
    <m/>
  </r>
  <r>
    <n v="4291"/>
    <s v="RIVER SIKRAHNA LAURIA-NARKATIAGANJ ROAD_x000a_BRIDGE, WEST CHAMPARAN"/>
    <x v="5"/>
    <n v="19"/>
    <n v="36"/>
    <n v="1.7"/>
    <n v="12.3"/>
    <n v="7.3"/>
    <n v="8"/>
    <n v="207"/>
    <n v="436"/>
    <n v="1.6"/>
    <n v="7"/>
    <n v="0.3"/>
    <n v="0.3"/>
    <n v="1700"/>
    <n v="92000"/>
    <n v="2700"/>
    <n v="160000"/>
    <m/>
    <m/>
  </r>
  <r>
    <n v="2562"/>
    <s v="RIVER BURHI GANDAK AT AKHARAGHAT,_x000a_MUZAFFARPUR"/>
    <x v="5"/>
    <n v="18"/>
    <n v="32"/>
    <n v="6.5"/>
    <n v="9.1999999999999993"/>
    <n v="7.3"/>
    <n v="8.1"/>
    <n v="201"/>
    <n v="456"/>
    <n v="1"/>
    <n v="2.6"/>
    <n v="0.3"/>
    <n v="0.33"/>
    <n v="2300"/>
    <n v="92000"/>
    <n v="3300"/>
    <n v="160000"/>
    <m/>
    <m/>
  </r>
  <r>
    <n v="2570"/>
    <s v="RIVER BURHI GANDAK NEAR MAGARDAHI GHAT AT_x000a_SAMASTIPUR ROAD BRIDGE, SAMASTIPUR"/>
    <x v="5"/>
    <n v="22"/>
    <n v="38"/>
    <n v="6.5"/>
    <n v="9.8000000000000007"/>
    <n v="7.2"/>
    <n v="8.5"/>
    <n v="219"/>
    <n v="402"/>
    <n v="1"/>
    <n v="2.6"/>
    <n v="0.3"/>
    <n v="0.3"/>
    <n v="3300"/>
    <n v="92000"/>
    <n v="4900"/>
    <n v="160000"/>
    <m/>
    <m/>
  </r>
  <r>
    <n v="3124"/>
    <s v="RIVER BURHI GANDAK U/S ROAD BRIDGE NH NEAR_x000a_ZERO MILE MUZAFFARPUR"/>
    <x v="5"/>
    <n v="18"/>
    <n v="33"/>
    <n v="6.8"/>
    <n v="9.1"/>
    <n v="7.2"/>
    <n v="8"/>
    <n v="198"/>
    <n v="447"/>
    <n v="1"/>
    <n v="2.8"/>
    <n v="0.3"/>
    <n v="0.3"/>
    <n v="1300"/>
    <n v="92000"/>
    <n v="2300"/>
    <n v="160000"/>
    <m/>
    <m/>
  </r>
  <r>
    <n v="4295"/>
    <s v="RIVER BURHI GANDAK AT KHAGARIA ROAD BRIDGE_x000a_BEFORE CONFLUENCE WITH GANGA , KHAGARIA"/>
    <x v="5"/>
    <n v="14"/>
    <n v="30"/>
    <n v="6.8"/>
    <n v="8.9"/>
    <n v="7.3"/>
    <n v="8.3000000000000007"/>
    <n v="202"/>
    <n v="521"/>
    <n v="1"/>
    <n v="2.6"/>
    <n v="0.3"/>
    <n v="0.3"/>
    <n v="4900"/>
    <n v="92000"/>
    <n v="7900"/>
    <n v="160000"/>
    <m/>
    <m/>
  </r>
  <r>
    <n v="4300"/>
    <s v="RIVER BURHI GANDAK AT LAL BAGLA GHAT, MOTIHARI_x000a_DHAKA ROAD, EAST CHAMPARAN"/>
    <x v="5"/>
    <n v="20"/>
    <n v="31"/>
    <n v="6.2"/>
    <n v="8.9"/>
    <n v="7.3"/>
    <n v="8"/>
    <n v="218"/>
    <n v="398"/>
    <n v="1"/>
    <n v="3"/>
    <n v="0.3"/>
    <n v="0.3"/>
    <n v="2300"/>
    <n v="35000"/>
    <n v="4600"/>
    <n v="92000"/>
    <m/>
    <m/>
  </r>
  <r>
    <n v="4403"/>
    <s v="RIVER BURHI GANDAK AT BARACHAKIA, EAST_x000a_CHAMPARAN"/>
    <x v="5"/>
    <n v="20"/>
    <n v="30"/>
    <n v="7"/>
    <n v="9.1999999999999993"/>
    <n v="7.5"/>
    <n v="8.1"/>
    <n v="180"/>
    <n v="415"/>
    <n v="1"/>
    <n v="2.5"/>
    <n v="0.3"/>
    <n v="0.32"/>
    <n v="2300"/>
    <n v="22000"/>
    <n v="3300"/>
    <n v="28000"/>
    <m/>
    <m/>
  </r>
  <r>
    <n v="1822"/>
    <s v="RIVER SIRSIYA AT RAXAUL,BIRGANJ CHECK POST ROAD_x000a_BRIDGE EAST CHAMPARAN"/>
    <x v="5"/>
    <n v="14"/>
    <n v="30"/>
    <n v="0.3"/>
    <n v="3.9"/>
    <n v="7.2"/>
    <n v="7.8"/>
    <n v="249"/>
    <n v="980"/>
    <n v="3.2"/>
    <n v="9"/>
    <n v="0.3"/>
    <n v="0.3"/>
    <n v="13000"/>
    <n v="240000"/>
    <n v="22000"/>
    <n v="540000"/>
    <m/>
    <m/>
  </r>
  <r>
    <n v="3136"/>
    <s v="RIVER SIRSIYA D/S RAXAUL (KOERIA TOLA), EAST_x000a_CHAMPARAN"/>
    <x v="5"/>
    <n v="17"/>
    <n v="30"/>
    <n v="0.3"/>
    <n v="3.7"/>
    <n v="7.2"/>
    <n v="7.8"/>
    <n v="256"/>
    <n v="987"/>
    <n v="3"/>
    <n v="8"/>
    <n v="0.3"/>
    <n v="0.3"/>
    <n v="7900"/>
    <n v="350000"/>
    <n v="17000"/>
    <n v="540000"/>
    <m/>
    <m/>
  </r>
  <r>
    <n v="2558"/>
    <s v="RIVER HARBORA D/S AT NARKATIAGANJ, WEST_x000a_CHAMPARAN"/>
    <x v="5"/>
    <n v="16"/>
    <n v="35"/>
    <n v="0.4"/>
    <n v="10.6"/>
    <n v="7.2"/>
    <n v="7.9"/>
    <n v="264"/>
    <n v="579"/>
    <n v="1"/>
    <n v="14"/>
    <n v="0.3"/>
    <n v="0.3"/>
    <n v="1700"/>
    <n v="92000"/>
    <n v="4900"/>
    <n v="160000"/>
    <m/>
    <m/>
  </r>
  <r>
    <n v="3126"/>
    <s v="RIVER HARBORA,U/S AT NARKATIAGANJ, WEST_x000a_CHAMPARAN"/>
    <x v="5"/>
    <n v="16"/>
    <n v="35"/>
    <n v="5.6"/>
    <n v="11.2"/>
    <n v="7.4"/>
    <n v="7.9"/>
    <n v="268"/>
    <n v="450"/>
    <n v="1"/>
    <n v="3"/>
    <n v="0.12"/>
    <n v="0.3"/>
    <n v="1300"/>
    <n v="35000"/>
    <n v="4900"/>
    <n v="92000"/>
    <m/>
    <m/>
  </r>
  <r>
    <n v="2566"/>
    <s v="RIVER KOSHI AT MADHEPURA"/>
    <x v="5"/>
    <n v="15"/>
    <n v="37"/>
    <n v="7.2"/>
    <n v="9"/>
    <n v="7.3"/>
    <n v="8.3000000000000007"/>
    <n v="147"/>
    <n v="296"/>
    <n v="1"/>
    <n v="2.5"/>
    <n v="0.3"/>
    <n v="0.3"/>
    <n v="680"/>
    <n v="92000"/>
    <n v="1400"/>
    <n v="160000"/>
    <m/>
    <m/>
  </r>
  <r>
    <n v="3137"/>
    <s v="RIVER KOSHI AT BEERPUR, SUPAUL"/>
    <x v="5"/>
    <n v="16"/>
    <n v="32"/>
    <n v="7.2"/>
    <n v="8.8000000000000007"/>
    <n v="7.5"/>
    <n v="8.1"/>
    <n v="193"/>
    <n v="368"/>
    <n v="1"/>
    <n v="2.5"/>
    <n v="0.3"/>
    <n v="0.3"/>
    <n v="130"/>
    <n v="54000"/>
    <n v="230"/>
    <n v="160000"/>
    <m/>
    <m/>
  </r>
  <r>
    <n v="2565"/>
    <s v="RIVER KOSHI AT KURSHELA AT KATIHAR"/>
    <x v="5"/>
    <n v="16"/>
    <n v="29"/>
    <n v="7"/>
    <n v="9.3000000000000007"/>
    <n v="7"/>
    <n v="8.4"/>
    <n v="137"/>
    <n v="236"/>
    <n v="1"/>
    <n v="2.5"/>
    <n v="0.3"/>
    <n v="0.3"/>
    <n v="1700"/>
    <n v="92000"/>
    <n v="2200"/>
    <n v="160000"/>
    <m/>
    <m/>
  </r>
  <r>
    <n v="1821"/>
    <s v="RIVER DAHA U/S RAJENDRA ROAD BRIDGE AT SIWAN"/>
    <x v="5"/>
    <n v="17"/>
    <n v="32"/>
    <n v="1.7"/>
    <n v="6.9"/>
    <n v="7.3"/>
    <n v="7.9"/>
    <n v="230"/>
    <n v="589"/>
    <n v="2.1"/>
    <n v="3.8"/>
    <n v="0.11"/>
    <n v="0.3"/>
    <n v="3300"/>
    <n v="92000"/>
    <n v="4900"/>
    <n v="160000"/>
    <m/>
    <m/>
  </r>
  <r>
    <n v="2560"/>
    <s v="RIVER DAHA D/S AT SASAMUSA, GOPALGANJ"/>
    <x v="5"/>
    <n v="18"/>
    <n v="30"/>
    <n v="6.5"/>
    <n v="8.6"/>
    <n v="7.1"/>
    <n v="8.1999999999999993"/>
    <n v="262"/>
    <n v="406"/>
    <n v="1"/>
    <n v="2.4"/>
    <n v="0.3"/>
    <n v="0.3"/>
    <n v="4900"/>
    <n v="54000"/>
    <n v="11000"/>
    <n v="92000"/>
    <m/>
    <m/>
  </r>
  <r>
    <n v="2561"/>
    <s v="RIVER DAHA AT ITWA BRIDGE, GOPALGANJ"/>
    <x v="5"/>
    <n v="18"/>
    <n v="32"/>
    <n v="4.8"/>
    <n v="8.1999999999999993"/>
    <n v="7.2"/>
    <n v="8.1999999999999993"/>
    <n v="198"/>
    <n v="511"/>
    <n v="1.2"/>
    <n v="2.8"/>
    <n v="0.3"/>
    <n v="0.3"/>
    <n v="1300"/>
    <n v="92000"/>
    <n v="2300"/>
    <n v="160000"/>
    <m/>
    <m/>
  </r>
  <r>
    <n v="3129"/>
    <s v="RIVER DAHA AT MEERGANJ NEAR BADARJHIMMI BAZAR,_x000a_GOPALGANJ"/>
    <x v="5"/>
    <n v="17"/>
    <n v="32"/>
    <n v="5.6"/>
    <n v="7.9"/>
    <n v="7.3"/>
    <n v="8.1"/>
    <n v="193"/>
    <n v="499"/>
    <n v="1.8"/>
    <n v="2.9"/>
    <n v="0.3"/>
    <n v="0.3"/>
    <n v="1300"/>
    <n v="35000"/>
    <n v="2300"/>
    <n v="54000"/>
    <m/>
    <m/>
  </r>
  <r>
    <n v="4292"/>
    <s v="RIVER DAHA U/S SASAMUSA, GOPALGANJ"/>
    <x v="5"/>
    <n v="18"/>
    <n v="31"/>
    <n v="6.2"/>
    <n v="8.9"/>
    <n v="7.3"/>
    <n v="8.1"/>
    <n v="227"/>
    <n v="435"/>
    <n v="1"/>
    <n v="2.9"/>
    <n v="0.3"/>
    <n v="0.3"/>
    <n v="1300"/>
    <n v="54000"/>
    <n v="2300"/>
    <n v="92000"/>
    <m/>
    <m/>
  </r>
  <r>
    <n v="4397"/>
    <s v="RIVER DAHA D/S AT RENUA, SIWAN"/>
    <x v="5"/>
    <n v="16"/>
    <n v="32"/>
    <n v="1"/>
    <n v="6.7"/>
    <n v="7.1"/>
    <n v="7.9"/>
    <n v="205"/>
    <n v="648"/>
    <n v="2.1"/>
    <n v="4.2"/>
    <n v="0.3"/>
    <n v="0.3"/>
    <n v="13000"/>
    <n v="92000"/>
    <n v="22000"/>
    <n v="160000"/>
    <m/>
    <m/>
  </r>
  <r>
    <n v="1823"/>
    <s v="RIVER DHOS AT SAHARGHAT, MADHUBANI"/>
    <x v="5"/>
    <n v="21"/>
    <n v="30"/>
    <n v="3.5"/>
    <n v="8.5"/>
    <n v="7.1"/>
    <n v="8.3000000000000007"/>
    <n v="224"/>
    <n v="332"/>
    <n v="1.3"/>
    <n v="3"/>
    <n v="0.3"/>
    <n v="0.9"/>
    <n v="7900"/>
    <n v="92000"/>
    <n v="11000"/>
    <n v="160000"/>
    <m/>
    <m/>
  </r>
  <r>
    <n v="4405"/>
    <s v="RIVER DHOS AT MADHWAPUR, MADHUBANI"/>
    <x v="5"/>
    <n v="21"/>
    <n v="30"/>
    <n v="3"/>
    <n v="8.3000000000000007"/>
    <n v="7.2"/>
    <n v="8.3000000000000007"/>
    <n v="165"/>
    <n v="350"/>
    <n v="1.3"/>
    <n v="4"/>
    <n v="0.3"/>
    <n v="0.3"/>
    <n v="3300"/>
    <n v="92000"/>
    <n v="4900"/>
    <n v="160000"/>
    <m/>
    <m/>
  </r>
  <r>
    <n v="2559"/>
    <s v="RIVER RAMREKHA AT HARINAGAR, WEST CHAMPARAN"/>
    <x v="5"/>
    <n v="15"/>
    <n v="30"/>
    <n v="0.3"/>
    <n v="6.3"/>
    <n v="6.7"/>
    <n v="7.8"/>
    <n v="283"/>
    <n v="735"/>
    <n v="2.5"/>
    <n v="8"/>
    <n v="0.3"/>
    <n v="0.3"/>
    <n v="2300"/>
    <n v="92000"/>
    <n v="3300"/>
    <n v="160000"/>
    <m/>
    <m/>
  </r>
  <r>
    <n v="3130"/>
    <s v="RIVER RAMREKHA AT U/S HARINAGAR, WEST_x000a_CHAMPARAN"/>
    <x v="5"/>
    <n v="14"/>
    <n v="29"/>
    <n v="0.3"/>
    <n v="6.5"/>
    <n v="7.1"/>
    <n v="7.8"/>
    <n v="263"/>
    <n v="359"/>
    <n v="2.1"/>
    <n v="8"/>
    <n v="0.3"/>
    <n v="0.3"/>
    <n v="7000"/>
    <n v="92000"/>
    <n v="14000"/>
    <n v="160000"/>
    <m/>
    <m/>
  </r>
  <r>
    <n v="3132"/>
    <s v="RIVER BAGMATI AT MUZAFFARPUR- SITAMARHI ROAD_x000a_BRIDGE, SITAMARHI"/>
    <x v="5"/>
    <n v="19"/>
    <n v="30"/>
    <n v="7.1"/>
    <n v="9.8000000000000007"/>
    <n v="7.3"/>
    <n v="8.1999999999999993"/>
    <n v="236"/>
    <n v="359"/>
    <n v="1"/>
    <n v="2.2000000000000002"/>
    <n v="0.3"/>
    <n v="0.3"/>
    <n v="170"/>
    <n v="54000"/>
    <n v="790"/>
    <n v="92000"/>
    <m/>
    <m/>
  </r>
  <r>
    <n v="3135"/>
    <s v="RIVER BAGMATI AT DARBHANGA, SAMASTIPUR ROAD_x000a_BRIDGE, DARBHANGA"/>
    <x v="5"/>
    <n v="21"/>
    <n v="30"/>
    <n v="5.9"/>
    <n v="9.5"/>
    <n v="7.5"/>
    <n v="8.4"/>
    <n v="168"/>
    <n v="372"/>
    <n v="1"/>
    <n v="2.9"/>
    <n v="0.3"/>
    <n v="0.3"/>
    <n v="1300"/>
    <n v="35000"/>
    <n v="2400"/>
    <n v="92000"/>
    <m/>
    <m/>
  </r>
  <r>
    <n v="2563"/>
    <s v="RIVER MANUSMAR AT RIGA, UPHRAULIA, SITAMARHI"/>
    <x v="5"/>
    <n v="20"/>
    <n v="31"/>
    <n v="6.4"/>
    <n v="9.8000000000000007"/>
    <n v="7.3"/>
    <n v="8.4"/>
    <n v="230"/>
    <n v="515"/>
    <n v="1"/>
    <n v="2.7"/>
    <n v="0.3"/>
    <n v="0.3"/>
    <n v="2300"/>
    <n v="24000"/>
    <n v="3300"/>
    <n v="54000"/>
    <m/>
    <m/>
  </r>
  <r>
    <n v="3131"/>
    <s v="RIVER MANUSMAR U/S (RIGA), SITAMARHI"/>
    <x v="5"/>
    <n v="19"/>
    <n v="31"/>
    <n v="6.9"/>
    <n v="9.6"/>
    <n v="7.2"/>
    <n v="8.3000000000000007"/>
    <n v="226"/>
    <n v="456"/>
    <n v="1"/>
    <n v="2.5"/>
    <n v="0.3"/>
    <n v="0.3"/>
    <n v="1700"/>
    <n v="24000"/>
    <n v="3300"/>
    <n v="35000"/>
    <m/>
    <m/>
  </r>
  <r>
    <n v="4402"/>
    <s v="RIVER MANUSMAR AT PARSHURAMPUR, RIGA -BELSAND ROAD, SITAMARHI"/>
    <x v="5"/>
    <n v="19"/>
    <n v="31"/>
    <n v="7.5"/>
    <n v="8.9"/>
    <n v="7.4"/>
    <n v="8.1999999999999993"/>
    <n v="336"/>
    <n v="369"/>
    <n v="1"/>
    <n v="1.9"/>
    <n v="0.3"/>
    <n v="0.3"/>
    <n v="1300"/>
    <n v="35000"/>
    <n v="3300"/>
    <n v="92000"/>
    <m/>
    <m/>
  </r>
  <r>
    <n v="2555"/>
    <s v="RIVER PUNPUN NEAR PATNA FATUHA ROAD BRIDGE,_x000a_FATUHA"/>
    <x v="5"/>
    <n v="14"/>
    <n v="33"/>
    <n v="0.3"/>
    <n v="6.7"/>
    <n v="7"/>
    <n v="8"/>
    <n v="280"/>
    <n v="925"/>
    <n v="1.8"/>
    <n v="5"/>
    <n v="0.3"/>
    <n v="0.3"/>
    <n v="22000"/>
    <n v="92000"/>
    <n v="28000"/>
    <n v="160000"/>
    <m/>
    <m/>
  </r>
  <r>
    <n v="3119"/>
    <s v="RIVER UNPUN NEAR PUNPUN ROAD BRIDGE, PUNPUN"/>
    <x v="5"/>
    <n v="13"/>
    <n v="29"/>
    <n v="7.5"/>
    <n v="8.6"/>
    <n v="7.5"/>
    <n v="8"/>
    <n v="230"/>
    <n v="462"/>
    <n v="1.1000000000000001"/>
    <n v="2.2000000000000002"/>
    <n v="0.3"/>
    <n v="0.3"/>
    <n v="7000"/>
    <n v="35000"/>
    <n v="11000"/>
    <n v="54000"/>
    <m/>
    <m/>
  </r>
  <r>
    <n v="3120"/>
    <s v="RIVER PUNPUN AT KINJAR ROAD BRIDGE, JEHANABAD-ARWAL BORDER , JEHANABAD"/>
    <x v="5"/>
    <n v="10"/>
    <n v="31"/>
    <n v="7.3"/>
    <n v="9.5"/>
    <n v="7.5"/>
    <n v="8.4"/>
    <n v="222"/>
    <n v="365"/>
    <n v="1"/>
    <n v="2.6"/>
    <n v="0.3"/>
    <n v="0.3"/>
    <n v="450"/>
    <n v="28000"/>
    <n v="3300"/>
    <n v="92000"/>
    <m/>
    <m/>
  </r>
  <r>
    <n v="4406"/>
    <s v="RIVER PUNPUN AT OBRA, AURANGABAD"/>
    <x v="5"/>
    <n v="13"/>
    <n v="29"/>
    <n v="7.2"/>
    <n v="8.6"/>
    <n v="7.5"/>
    <n v="8.1999999999999993"/>
    <n v="198"/>
    <n v="430"/>
    <n v="1"/>
    <n v="2.1"/>
    <n v="0.3"/>
    <n v="0.3"/>
    <n v="7900"/>
    <n v="92000"/>
    <n v="11000"/>
    <n v="160000"/>
    <m/>
    <m/>
  </r>
  <r>
    <n v="4293"/>
    <s v="RIVER KOHRA U/S RAJ GHAT, MAJHAULIA, WEST_x000a_CHAMPARAN"/>
    <x v="5"/>
    <n v="20"/>
    <n v="32"/>
    <n v="3.6"/>
    <n v="11.4"/>
    <n v="7.2"/>
    <n v="7.8"/>
    <n v="246"/>
    <n v="580"/>
    <n v="1.5"/>
    <n v="3.1"/>
    <n v="0.3"/>
    <n v="0.3"/>
    <n v="1300"/>
    <n v="92000"/>
    <n v="2200"/>
    <n v="160000"/>
    <m/>
    <m/>
  </r>
  <r>
    <n v="4294"/>
    <s v="RIVER KOHRA D/S NEAR RAILWAY BRIDGE, MAJHAULIA,_x000a_WEST CHAMPARAN"/>
    <x v="5"/>
    <n v="20"/>
    <n v="32"/>
    <n v="0.3"/>
    <n v="9.6999999999999993"/>
    <n v="7.3"/>
    <n v="8.3000000000000007"/>
    <n v="252"/>
    <n v="897"/>
    <n v="1.6"/>
    <n v="20"/>
    <n v="0.3"/>
    <n v="0.3"/>
    <n v="1300"/>
    <n v="92000"/>
    <n v="3300"/>
    <n v="160000"/>
    <m/>
    <m/>
  </r>
  <r>
    <n v="4399"/>
    <s v="RIVER HARHA AT BAGHA, LAURIYA ROAD BRIDGE"/>
    <x v="5"/>
    <n v="18"/>
    <n v="33"/>
    <n v="5.0999999999999996"/>
    <n v="9.8000000000000007"/>
    <n v="7.5"/>
    <n v="8.1"/>
    <n v="204"/>
    <n v="392"/>
    <n v="1"/>
    <n v="2.6"/>
    <n v="0.3"/>
    <n v="0.3"/>
    <n v="1100"/>
    <n v="54000"/>
    <n v="2100"/>
    <n v="92000"/>
    <m/>
    <m/>
  </r>
  <r>
    <n v="4400"/>
    <s v="RIVER LAKHANDEI U/S SITAMARHI AT MEHANDI NAGAR"/>
    <x v="5"/>
    <n v="19"/>
    <n v="30"/>
    <n v="5.2"/>
    <n v="9.4"/>
    <n v="7.5"/>
    <n v="8.1999999999999993"/>
    <n v="240"/>
    <n v="396"/>
    <n v="1"/>
    <n v="2.2000000000000002"/>
    <n v="0.3"/>
    <n v="0.3"/>
    <n v="1300"/>
    <n v="54000"/>
    <n v="2600"/>
    <n v="160000"/>
    <m/>
    <m/>
  </r>
  <r>
    <n v="4401"/>
    <s v="RIVER LAKHANDEI D/S SITAMARHI AT PARORI ROAD_x000a_BRIDGE"/>
    <x v="5"/>
    <n v="19"/>
    <n v="30"/>
    <n v="4.0999999999999996"/>
    <n v="7.1"/>
    <n v="7.5"/>
    <n v="8.1"/>
    <n v="264"/>
    <n v="461"/>
    <n v="1.5"/>
    <n v="3.5"/>
    <n v="0.3"/>
    <n v="0.3"/>
    <n v="2100"/>
    <n v="92000"/>
    <n v="7000"/>
    <n v="160000"/>
    <m/>
    <m/>
  </r>
  <r>
    <n v="4404"/>
    <s v="RIVER GANGI AT ARA, D/S"/>
    <x v="5"/>
    <n v="18"/>
    <n v="29"/>
    <n v="1.5"/>
    <n v="6.2"/>
    <n v="7.5"/>
    <n v="8.1999999999999993"/>
    <n v="169"/>
    <n v="663"/>
    <n v="2.4"/>
    <n v="8"/>
    <n v="0.3"/>
    <n v="0.3"/>
    <n v="11000"/>
    <n v="92000"/>
    <n v="14000"/>
    <n v="160000"/>
    <m/>
    <m/>
  </r>
  <r>
    <n v="1824"/>
    <s v="RIVER PARMAR AT JOGBANI, ARARIA"/>
    <x v="5"/>
    <n v="16"/>
    <n v="34"/>
    <n v="6.4"/>
    <n v="8.5"/>
    <n v="7.3"/>
    <n v="8"/>
    <n v="210"/>
    <n v="341"/>
    <n v="1"/>
    <n v="2.6"/>
    <n v="0.3"/>
    <n v="0.3"/>
    <n v="4900"/>
    <n v="92000"/>
    <n v="7900"/>
    <n v="160000"/>
    <m/>
    <m/>
  </r>
  <r>
    <n v="2117"/>
    <s v="RIVER BICHIA,GOVINDGARH ROAD BRIDGE ,NEAR_x000a_INTAKE POINT,REWA"/>
    <x v="10"/>
    <n v="21.2"/>
    <n v="29.5"/>
    <n v="6.4"/>
    <n v="7.2"/>
    <n v="7.1"/>
    <n v="8.5"/>
    <n v="258"/>
    <n v="571"/>
    <n v="1.8"/>
    <n v="2.8"/>
    <n v="0.71"/>
    <n v="1.06"/>
    <n v="2"/>
    <n v="8"/>
    <n v="63"/>
    <n v="94"/>
    <n v="2"/>
    <n v="2"/>
  </r>
  <r>
    <n v="1433"/>
    <s v="RIVER SANKH AT TIGRA RESERVOIR, M.P."/>
    <x v="10"/>
    <n v="15"/>
    <n v="31.1"/>
    <n v="1.6"/>
    <n v="8.6999999999999993"/>
    <n v="7.2"/>
    <n v="7.7"/>
    <n v="128"/>
    <n v="620"/>
    <n v="1.1000000000000001"/>
    <n v="1.8"/>
    <n v="0.4"/>
    <n v="1.2"/>
    <n v="2"/>
    <n v="6"/>
    <n v="10"/>
    <n v="24"/>
    <m/>
    <m/>
  </r>
  <r>
    <n v="1075"/>
    <s v="RIVER SONE AT KOILWAR, NEAR MANDIR, BHOJPUR"/>
    <x v="5"/>
    <n v="15"/>
    <n v="29"/>
    <n v="7.9"/>
    <n v="8.9"/>
    <n v="7"/>
    <n v="8.1"/>
    <n v="133"/>
    <n v="254"/>
    <n v="1"/>
    <n v="2"/>
    <n v="0.3"/>
    <n v="0.3"/>
    <n v="490"/>
    <n v="7900"/>
    <n v="790"/>
    <n v="17000"/>
    <m/>
    <m/>
  </r>
  <r>
    <n v="3127"/>
    <s v="RIVER SONE AT BAHIYARA, BHOJPUR"/>
    <x v="5"/>
    <n v="16"/>
    <n v="28"/>
    <n v="7.6"/>
    <n v="8.8000000000000007"/>
    <n v="7.2"/>
    <n v="8.1999999999999993"/>
    <n v="137"/>
    <n v="268"/>
    <n v="1"/>
    <n v="2"/>
    <n v="0.3"/>
    <n v="0.3"/>
    <n v="330"/>
    <n v="17000"/>
    <n v="490"/>
    <n v="28000"/>
    <m/>
    <m/>
  </r>
  <r>
    <n v="4913"/>
    <s v="RIVER SONE AT ARWAL NEAR BALUGHAT (SAHAR)"/>
    <x v="5"/>
    <n v="10"/>
    <n v="32"/>
    <n v="7.5"/>
    <n v="8.9"/>
    <n v="7.3"/>
    <n v="8.1999999999999993"/>
    <n v="166"/>
    <n v="394"/>
    <n v="1"/>
    <n v="2.8"/>
    <n v="0.3"/>
    <n v="0.3"/>
    <n v="130"/>
    <n v="35000"/>
    <n v="230"/>
    <n v="54000"/>
    <m/>
    <m/>
  </r>
  <r>
    <n v="3128"/>
    <s v="RIVER SONE AT NASIRIGANJ DAM, ROHTAS"/>
    <x v="5"/>
    <n v="15"/>
    <n v="33"/>
    <n v="7.5"/>
    <n v="9.1999999999999993"/>
    <n v="7.4"/>
    <n v="8.1999999999999993"/>
    <n v="143"/>
    <n v="359"/>
    <n v="1"/>
    <n v="3"/>
    <n v="0.3"/>
    <n v="0.3"/>
    <n v="1300"/>
    <n v="92000"/>
    <n v="2300"/>
    <n v="160000"/>
    <m/>
    <m/>
  </r>
  <r>
    <n v="4298"/>
    <s v="RIVER SONE AT ROAD BRIDGE-DEHRI-ON-SONE,_x000a_ROHTAS"/>
    <x v="5"/>
    <n v="10"/>
    <n v="30"/>
    <n v="7.5"/>
    <n v="8.9"/>
    <n v="7.4"/>
    <n v="8.1"/>
    <n v="137"/>
    <n v="341"/>
    <n v="1"/>
    <n v="2.1"/>
    <n v="0.3"/>
    <n v="0.3"/>
    <n v="1100"/>
    <n v="28000"/>
    <n v="1700"/>
    <n v="35000"/>
    <m/>
    <m/>
  </r>
  <r>
    <n v="2556"/>
    <s v="RIVER SONE AT INDRAPURI DAM, DEHRI ON SONE,_x000a_ROHTAS"/>
    <x v="5"/>
    <n v="14"/>
    <n v="31"/>
    <n v="7.6"/>
    <n v="9.5"/>
    <n v="7.5"/>
    <n v="8.1"/>
    <n v="126"/>
    <n v="302"/>
    <n v="1"/>
    <n v="2.5"/>
    <n v="0.3"/>
    <n v="0.3"/>
    <n v="1300"/>
    <n v="17000"/>
    <n v="2300"/>
    <n v="28000"/>
    <m/>
    <m/>
  </r>
  <r>
    <n v="4407"/>
    <s v="RIVER SONE AT WATER INTAKE POINT BHARTIYA RAIL_x000a_BIJALI CO. LTD (BRBCL) NAVINAGAR, AURANGABAD"/>
    <x v="5"/>
    <n v="13"/>
    <n v="33"/>
    <n v="7.5"/>
    <n v="8.5"/>
    <n v="7.3"/>
    <n v="8.1"/>
    <n v="144"/>
    <n v="225"/>
    <n v="1"/>
    <n v="2.6"/>
    <n v="0.3"/>
    <n v="0.3"/>
    <n v="780"/>
    <n v="35000"/>
    <n v="2300"/>
    <n v="92000"/>
    <m/>
    <m/>
  </r>
  <r>
    <n v="3121"/>
    <s v="RIVER SONE AT BANJARI NEAR BANJARI NEAR SUN_x000a_TEMPLE KALYANPUR, ROHTAS"/>
    <x v="5"/>
    <n v="15"/>
    <n v="30"/>
    <n v="7"/>
    <n v="9.1999999999999993"/>
    <n v="7.4"/>
    <n v="8.1"/>
    <n v="127"/>
    <n v="318"/>
    <n v="1"/>
    <n v="2.1"/>
    <n v="0.3"/>
    <n v="0.3"/>
    <n v="790"/>
    <n v="35000"/>
    <n v="1300"/>
    <n v="92000"/>
    <m/>
    <m/>
  </r>
  <r>
    <n v="30081"/>
    <s v="RIVER SONE AT ROAD BRIDGE CHOPAN,DIST-SONEBHADRA (U.P.)"/>
    <x v="4"/>
    <n v="21"/>
    <n v="27.2"/>
    <n v="7"/>
    <n v="10.7"/>
    <n v="7.3"/>
    <n v="8.3000000000000007"/>
    <n v="200"/>
    <n v="358"/>
    <n v="1"/>
    <n v="1"/>
    <n v="0.32"/>
    <n v="0.32"/>
    <n v="2"/>
    <n v="17000"/>
    <n v="2"/>
    <n v="33000"/>
    <n v="2"/>
    <n v="2"/>
  </r>
  <r>
    <n v="30082"/>
    <s v="RIVER SONE UPSTREAM TOWARDS DEORA, DIST-SINGRAULI (M. P.)"/>
    <x v="10"/>
    <n v="21.5"/>
    <n v="27.3"/>
    <n v="7.4"/>
    <n v="10.9"/>
    <n v="7.3"/>
    <n v="8"/>
    <n v="254"/>
    <n v="324"/>
    <n v="1"/>
    <n v="2.2999999999999998"/>
    <n v="0.32"/>
    <n v="0.32"/>
    <n v="2"/>
    <n v="4500"/>
    <n v="2"/>
    <n v="7800"/>
    <n v="2"/>
    <n v="2"/>
  </r>
  <r>
    <n v="4604"/>
    <s v="RIVER RIVER SONE AT VILLAGE- KHAIRPUR,(KUDHERI)_x000a_M.P- U.P.BOUNDARY, DISTT SIDHI"/>
    <x v="10"/>
    <n v="19.600000000000001"/>
    <n v="29.1"/>
    <n v="7"/>
    <n v="7.5"/>
    <n v="7.7"/>
    <n v="7.9"/>
    <n v="290"/>
    <n v="372"/>
    <n v="1.3"/>
    <n v="1.5"/>
    <n v="0.5"/>
    <n v="0.95"/>
    <n v="2"/>
    <n v="2"/>
    <n v="41"/>
    <n v="46"/>
    <n v="2"/>
    <n v="2"/>
  </r>
  <r>
    <n v="3834"/>
    <s v="RIVER SONE AT CHITAWAL NEAR ROAD BRIDGE_x000a_CHITRANGI, DIST_x000a_SINGROULI"/>
    <x v="10"/>
    <n v="24"/>
    <n v="27.3"/>
    <n v="5.8"/>
    <n v="8.9"/>
    <n v="7.5"/>
    <n v="8.4"/>
    <n v="265"/>
    <n v="680"/>
    <n v="1.6"/>
    <n v="7"/>
    <n v="0"/>
    <n v="3.99"/>
    <n v="2"/>
    <n v="2"/>
    <n v="50"/>
    <n v="78"/>
    <m/>
    <m/>
  </r>
  <r>
    <n v="3836"/>
    <s v="RIVER SONE ON KACHAN DAM NEAR IMILYA NORTH_x000a_COAL MINES VILL MAJHOULI, DIST SINGROULI"/>
    <x v="10"/>
    <n v="25"/>
    <n v="28.2"/>
    <n v="5.5"/>
    <n v="7.1"/>
    <n v="7.5"/>
    <n v="7.5"/>
    <n v="255"/>
    <n v="306"/>
    <n v="1.1000000000000001"/>
    <n v="1.9"/>
    <n v="0"/>
    <n v="0"/>
    <m/>
    <m/>
    <m/>
    <m/>
    <m/>
    <m/>
  </r>
  <r>
    <n v="3851"/>
    <s v="RIVER SONE NEAR BHANVARSEN ROAD BRIDGE AFTER_x000a_CONFLUENCE OF BANAS RIVER, DIST SIDHI"/>
    <x v="10"/>
    <n v="18.5"/>
    <n v="29.5"/>
    <n v="7.3"/>
    <n v="7.9"/>
    <n v="7.7"/>
    <n v="7.9"/>
    <n v="302"/>
    <n v="332"/>
    <n v="1.2"/>
    <n v="1.6"/>
    <n v="0.44"/>
    <n v="0.64"/>
    <n v="2"/>
    <n v="2"/>
    <n v="46"/>
    <n v="70"/>
    <n v="2"/>
    <n v="2"/>
  </r>
  <r>
    <n v="3329"/>
    <s v="RIVER SONE AT CHURHAT,DISTT.SIDHI"/>
    <x v="10"/>
    <n v="18.600000000000001"/>
    <n v="31.1"/>
    <n v="7"/>
    <n v="7.6"/>
    <n v="7.8"/>
    <n v="8"/>
    <n v="208"/>
    <n v="326"/>
    <n v="1"/>
    <n v="1.8"/>
    <n v="0.45"/>
    <n v="0.83"/>
    <n v="2"/>
    <n v="18"/>
    <n v="43"/>
    <n v="49"/>
    <n v="2"/>
    <n v="2"/>
  </r>
  <r>
    <n v="3852"/>
    <s v="BANSAGAR CANAL AT SON RIVER, WATER SAMPLE AT_x000a_BAGHWAR VILLAGE, NEAR TOL PLAZA, DIST SIDHI"/>
    <x v="10"/>
    <n v="20"/>
    <n v="29.3"/>
    <n v="7.1"/>
    <n v="7.8"/>
    <n v="7.6"/>
    <n v="8"/>
    <n v="226"/>
    <n v="388"/>
    <n v="1.1000000000000001"/>
    <n v="1.6"/>
    <n v="0.37"/>
    <n v="0.95"/>
    <n v="2"/>
    <n v="2"/>
    <n v="34"/>
    <n v="58"/>
    <n v="2"/>
    <n v="2"/>
  </r>
  <r>
    <n v="1612"/>
    <s v="RIVER SONE AT DEVLOAD OUT LET OF BANSAGAR DAM,_x000a_M.P"/>
    <x v="10"/>
    <n v="23.4"/>
    <n v="30.5"/>
    <n v="6.7"/>
    <n v="8.1"/>
    <n v="7.2"/>
    <n v="7.9"/>
    <n v="189"/>
    <n v="378"/>
    <n v="1"/>
    <n v="1.5"/>
    <n v="0.32"/>
    <n v="1.1200000000000001"/>
    <n v="2"/>
    <n v="2"/>
    <n v="3"/>
    <n v="50"/>
    <n v="2"/>
    <n v="2"/>
  </r>
  <r>
    <n v="1371"/>
    <s v="RIVER SONE AT AMLAI, M.P."/>
    <x v="10"/>
    <n v="23.5"/>
    <n v="30.4"/>
    <n v="6.6"/>
    <n v="8.1"/>
    <n v="7"/>
    <n v="8.4"/>
    <n v="205"/>
    <n v="413"/>
    <n v="1"/>
    <n v="1.8"/>
    <n v="0.32"/>
    <n v="1.3"/>
    <n v="2"/>
    <n v="2"/>
    <n v="27"/>
    <n v="73"/>
    <n v="2"/>
    <n v="2"/>
  </r>
  <r>
    <n v="3846"/>
    <s v="RIVER SONE AT JARWAHI NEAR ROAD BRIDGE,_x000a_SHAHDOL"/>
    <x v="10"/>
    <n v="23.4"/>
    <n v="30.5"/>
    <n v="6.7"/>
    <n v="9.1999999999999993"/>
    <n v="7.2"/>
    <n v="8.1999999999999993"/>
    <n v="206"/>
    <n v="2164"/>
    <n v="1"/>
    <n v="1.8"/>
    <n v="0.32"/>
    <n v="0.44"/>
    <n v="2"/>
    <n v="2"/>
    <n v="31"/>
    <n v="70"/>
    <n v="2"/>
    <n v="2"/>
  </r>
  <r>
    <n v="3327"/>
    <s v="RIVER SONE AT BHATURAGHAT NEAR ROAD BRIDGE,_x000a_AMLAI"/>
    <x v="10"/>
    <n v="23.4"/>
    <n v="30.4"/>
    <n v="6.6"/>
    <n v="7.6"/>
    <n v="6.9"/>
    <n v="8.3000000000000007"/>
    <n v="204"/>
    <n v="515"/>
    <n v="1.2"/>
    <n v="1.6"/>
    <n v="0.38"/>
    <n v="1.05"/>
    <n v="2"/>
    <n v="2"/>
    <n v="41"/>
    <n v="73"/>
    <n v="2"/>
    <n v="2"/>
  </r>
  <r>
    <n v="1142"/>
    <s v="RIVER SONE AT CHACHAI, M.P."/>
    <x v="10"/>
    <n v="23.4"/>
    <n v="30.4"/>
    <n v="6.7"/>
    <n v="8.1999999999999993"/>
    <n v="7.3"/>
    <n v="8.1999999999999993"/>
    <n v="203"/>
    <n v="426"/>
    <n v="1"/>
    <n v="1.7"/>
    <n v="0.32"/>
    <n v="14.82"/>
    <n v="2"/>
    <n v="2"/>
    <n v="27"/>
    <n v="84"/>
    <n v="2"/>
    <n v="2"/>
  </r>
  <r>
    <n v="1610"/>
    <s v="RIVER SONE AT ORIGIN AMARKANTAK, M.P"/>
    <x v="10"/>
    <n v="23.4"/>
    <n v="29.5"/>
    <n v="6.6"/>
    <n v="7.8"/>
    <n v="6.5"/>
    <n v="8"/>
    <n v="136"/>
    <n v="197"/>
    <n v="1"/>
    <n v="1.2"/>
    <n v="0.32"/>
    <n v="0.32"/>
    <n v="2"/>
    <n v="2"/>
    <n v="2"/>
    <n v="6"/>
    <n v="2"/>
    <n v="2"/>
  </r>
  <r>
    <n v="3835"/>
    <s v="GOPAD AT NIGARI, SARAI DIST, SINGROULI"/>
    <x v="10"/>
    <n v="25"/>
    <n v="26"/>
    <n v="7"/>
    <n v="7.1"/>
    <n v="7.5"/>
    <n v="7.6"/>
    <n v="240"/>
    <n v="250"/>
    <n v="1.8"/>
    <n v="1.9"/>
    <n v="0"/>
    <n v="0"/>
    <m/>
    <m/>
    <m/>
    <m/>
    <m/>
    <m/>
  </r>
  <r>
    <n v="1611"/>
    <s v="RIVER JOHILA NEAR NAROJABAD NEAR UMARIA ROAD_x000a_BRIDGE, M.P"/>
    <x v="10"/>
    <n v="23.5"/>
    <n v="30.5"/>
    <n v="6.7"/>
    <n v="8.1"/>
    <n v="7.2"/>
    <n v="8.1"/>
    <n v="189"/>
    <n v="447"/>
    <n v="1"/>
    <n v="1.6"/>
    <n v="0.32"/>
    <n v="0.5"/>
    <n v="2"/>
    <n v="2"/>
    <n v="27"/>
    <n v="73"/>
    <n v="2"/>
    <n v="2"/>
  </r>
  <r>
    <n v="2116"/>
    <s v="RIVER BEEHAR D/S NEAR FOREST OFFICE"/>
    <x v="10"/>
    <n v="21.6"/>
    <n v="30.9"/>
    <n v="6.5"/>
    <n v="7.6"/>
    <n v="7.5"/>
    <n v="8.3000000000000007"/>
    <n v="269"/>
    <n v="388"/>
    <n v="1.4"/>
    <n v="2"/>
    <n v="0.53"/>
    <n v="1.1499999999999999"/>
    <n v="2"/>
    <n v="2"/>
    <n v="43"/>
    <n v="49"/>
    <n v="2"/>
    <n v="2"/>
  </r>
  <r>
    <n v="1608"/>
    <s v="RIVER SINDH AT DABRA, M.P"/>
    <x v="10"/>
    <n v="18"/>
    <n v="24"/>
    <n v="7"/>
    <n v="8"/>
    <n v="7.1"/>
    <n v="7.7"/>
    <n v="300"/>
    <n v="540"/>
    <n v="1.4"/>
    <n v="1.8"/>
    <n v="0.3"/>
    <n v="1.3"/>
    <n v="2"/>
    <n v="6"/>
    <n v="14"/>
    <n v="36"/>
    <m/>
    <m/>
  </r>
  <r>
    <n v="3306"/>
    <s v="RIVER CHOUPAN U/S AT_x000a_VIJAYPUR , GUNA"/>
    <x v="10"/>
    <n v="18"/>
    <n v="32"/>
    <n v="7"/>
    <n v="8"/>
    <n v="7.2"/>
    <n v="7.8"/>
    <n v="290"/>
    <n v="564"/>
    <n v="1.4"/>
    <n v="2.5"/>
    <n v="0.3"/>
    <n v="2.5099999999999998"/>
    <n v="2"/>
    <n v="5"/>
    <n v="22"/>
    <n v="28"/>
    <m/>
    <m/>
  </r>
  <r>
    <n v="3307"/>
    <s v="RIVER CHOUPAN D/S AFTER NFL NALLA, AT VIJAYPUR_x000a_,GUNA"/>
    <x v="10"/>
    <n v="18"/>
    <n v="32"/>
    <n v="6.9"/>
    <n v="7.9"/>
    <n v="7"/>
    <n v="8"/>
    <n v="290"/>
    <n v="640"/>
    <n v="1.6"/>
    <n v="2.7"/>
    <n v="0.3"/>
    <n v="2.5"/>
    <n v="2"/>
    <n v="7"/>
    <n v="18"/>
    <n v="28"/>
    <m/>
    <m/>
  </r>
  <r>
    <n v="3311"/>
    <s v="RIVER JAMUNI AT BARIYAGHAT U/S NEAR INTAKE_x000a_POINT, TIKAMGARH"/>
    <x v="10"/>
    <n v="23"/>
    <n v="32"/>
    <n v="7.2"/>
    <n v="9"/>
    <n v="7.6"/>
    <n v="8.1"/>
    <n v="360"/>
    <n v="415"/>
    <n v="1"/>
    <n v="2.1"/>
    <n v="0.34"/>
    <n v="1.18"/>
    <n v="2"/>
    <n v="2"/>
    <n v="21"/>
    <n v="48"/>
    <n v="2"/>
    <n v="2"/>
  </r>
  <r>
    <n v="2401"/>
    <s v="RIVER AJAY AT MASANJORE DAM"/>
    <x v="6"/>
    <n v="15"/>
    <n v="37"/>
    <n v="5.7"/>
    <n v="7.2"/>
    <n v="7.4"/>
    <n v="7.7"/>
    <n v="102"/>
    <n v="134"/>
    <n v="1.1000000000000001"/>
    <n v="1.4"/>
    <n v="0"/>
    <n v="0"/>
    <m/>
    <m/>
    <m/>
    <m/>
    <m/>
    <m/>
  </r>
  <r>
    <n v="4490"/>
    <s v="RIVER KURWA DUMKA WATER INTAKE POINT"/>
    <x v="6"/>
    <n v="15"/>
    <n v="36"/>
    <n v="7.1"/>
    <n v="8.6999999999999993"/>
    <n v="7.4"/>
    <n v="7.6"/>
    <n v="88"/>
    <n v="220"/>
    <n v="1"/>
    <n v="1.3"/>
    <n v="0"/>
    <n v="0"/>
    <m/>
    <m/>
    <m/>
    <m/>
    <m/>
    <m/>
  </r>
  <r>
    <n v="4745"/>
    <s v="RIVER KHARKHAI BEFORE MEETING SWARNREKHA_x000a_RIVER"/>
    <x v="6"/>
    <n v="15.4"/>
    <n v="36"/>
    <n v="6.2"/>
    <n v="8.1999999999999993"/>
    <n v="6.3"/>
    <n v="8.4"/>
    <n v="216"/>
    <n v="369"/>
    <n v="1.8"/>
    <n v="4.8"/>
    <n v="0"/>
    <n v="0"/>
    <m/>
    <m/>
    <m/>
    <m/>
    <m/>
    <m/>
  </r>
  <r>
    <n v="4747"/>
    <s v="RIVER KOINA RIVER, MANOHARPUR, W.S"/>
    <x v="6"/>
    <n v="19.2"/>
    <n v="37"/>
    <n v="6.9"/>
    <n v="8.1"/>
    <n v="7.2"/>
    <n v="8.3000000000000007"/>
    <n v="234"/>
    <n v="481"/>
    <n v="1.2"/>
    <n v="3.1"/>
    <n v="0"/>
    <n v="0"/>
    <m/>
    <m/>
    <m/>
    <m/>
    <m/>
    <m/>
  </r>
  <r>
    <n v="2567"/>
    <s v="RIVER KAMALA AT BENIPATTI (MADHUBANI)"/>
    <x v="5"/>
    <n v="21"/>
    <n v="30"/>
    <n v="6.2"/>
    <n v="9.8000000000000007"/>
    <n v="7.1"/>
    <n v="8.4"/>
    <n v="160"/>
    <n v="365"/>
    <n v="1"/>
    <n v="3"/>
    <n v="0.3"/>
    <n v="0.3"/>
    <n v="7000"/>
    <n v="54000"/>
    <n v="11000"/>
    <n v="92000"/>
    <m/>
    <m/>
  </r>
  <r>
    <n v="2569"/>
    <s v="RIVER KAMALA AT GAUSAGHAT, DARBHANGA"/>
    <x v="5"/>
    <n v="14"/>
    <n v="29"/>
    <n v="2.2000000000000002"/>
    <n v="7.2"/>
    <n v="7.4"/>
    <n v="7.9"/>
    <n v="131"/>
    <n v="864"/>
    <n v="1.4"/>
    <n v="4"/>
    <n v="0.3"/>
    <n v="0.3"/>
    <n v="4900"/>
    <n v="92000"/>
    <n v="17000"/>
    <n v="160000"/>
    <m/>
    <m/>
  </r>
  <r>
    <n v="3133"/>
    <s v="RIVER KAMALA AT KAMALA GHAT NEAR BARRAGE_x000a_ATJAYNAGAR , MADHUBANI"/>
    <x v="5"/>
    <n v="20"/>
    <n v="30"/>
    <n v="6.8"/>
    <n v="9.1"/>
    <n v="7.3"/>
    <n v="8.3000000000000007"/>
    <n v="222"/>
    <n v="335"/>
    <n v="1"/>
    <n v="2.2000000000000002"/>
    <n v="0.3"/>
    <n v="0.3"/>
    <n v="3300"/>
    <n v="92000"/>
    <n v="7900"/>
    <n v="160000"/>
    <m/>
    <m/>
  </r>
  <r>
    <n v="4299"/>
    <s v="RIVER KAMALA (BIHAR) AT JEEWACH GHAT,_x000a_DARBHANGA"/>
    <x v="5"/>
    <n v="18"/>
    <n v="27"/>
    <n v="6.1"/>
    <n v="9.1999999999999993"/>
    <n v="7.1"/>
    <n v="8.3000000000000007"/>
    <n v="176"/>
    <n v="511"/>
    <n v="1"/>
    <n v="2.6"/>
    <n v="0.3"/>
    <n v="0.3"/>
    <n v="4900"/>
    <n v="92000"/>
    <n v="7900"/>
    <n v="160000"/>
    <m/>
    <m/>
  </r>
  <r>
    <n v="2572"/>
    <s v="RIVER MAHANANDA AT THAKURGANJ, KISHANGANJ_x000a_ROAD BRIDGE, KISHANGANJ"/>
    <x v="5"/>
    <n v="16"/>
    <n v="34"/>
    <n v="6.9"/>
    <n v="8.4"/>
    <n v="7.4"/>
    <n v="8"/>
    <n v="105"/>
    <n v="232"/>
    <n v="1.3"/>
    <n v="2.5"/>
    <n v="0.3"/>
    <n v="0.3"/>
    <n v="130"/>
    <n v="17000"/>
    <n v="220"/>
    <n v="54000"/>
    <m/>
    <m/>
  </r>
  <r>
    <n v="1336"/>
    <s v="RIVER BARAKAR AT ASANSOL (WATER INTAKE POINT),_x000a_BURDWAN,WEST BENGAL"/>
    <x v="7"/>
    <n v="22"/>
    <n v="34"/>
    <n v="7.6"/>
    <n v="8.9"/>
    <n v="7.4"/>
    <n v="8.1999999999999993"/>
    <n v="135"/>
    <n v="416"/>
    <n v="2"/>
    <n v="2.9"/>
    <n v="0.3"/>
    <n v="1.91"/>
    <n v="1700"/>
    <n v="3200"/>
    <n v="2100"/>
    <n v="4000"/>
    <n v="17"/>
    <n v="27"/>
  </r>
  <r>
    <n v="1331"/>
    <s v="RIVER DAMODAR AT DISHERGARH VILL.(NR.BIHAR-WEST BENGAL BORDER) , BURDWAN,WEST BENGAL"/>
    <x v="7"/>
    <n v="21"/>
    <n v="33"/>
    <n v="7.6"/>
    <n v="9"/>
    <n v="6.7"/>
    <n v="8.1"/>
    <n v="167"/>
    <n v="370"/>
    <n v="1.9"/>
    <n v="2.8"/>
    <n v="0.3"/>
    <n v="1.73"/>
    <n v="1400"/>
    <n v="3200"/>
    <n v="2400"/>
    <n v="4900"/>
    <n v="14"/>
    <n v="3300"/>
  </r>
  <r>
    <n v="1332"/>
    <s v="RIVER DAMODAR AT D/S OF IISCO AFTER 3RD OUTFALL_x000a_AT DHENNA VILLAGE, BURDWAN,WEST BENGAL"/>
    <x v="7"/>
    <n v="21"/>
    <n v="33"/>
    <n v="7.6"/>
    <n v="8.8000000000000007"/>
    <n v="7.1"/>
    <n v="8.1999999999999993"/>
    <n v="193"/>
    <n v="407"/>
    <n v="2"/>
    <n v="2.7"/>
    <n v="0.3"/>
    <n v="1.42"/>
    <n v="1700"/>
    <n v="2700"/>
    <n v="2600"/>
    <n v="4700"/>
    <n v="17"/>
    <n v="26"/>
  </r>
  <r>
    <n v="1333"/>
    <s v="RIVER DAMODAR AT NARAINPUR AFTER CONFL. OF_x000a_NUNIA NALLAH, BURDWAN,WEST BENGAL"/>
    <x v="7"/>
    <n v="21"/>
    <n v="34"/>
    <n v="7.6"/>
    <n v="8.6999999999999993"/>
    <n v="6.8"/>
    <n v="7.9"/>
    <n v="172"/>
    <n v="625"/>
    <n v="2.1"/>
    <n v="2.9"/>
    <n v="0.3"/>
    <n v="2.91"/>
    <n v="1700"/>
    <n v="3200"/>
    <n v="2100"/>
    <n v="4000"/>
    <n v="17"/>
    <n v="32"/>
  </r>
  <r>
    <n v="1334"/>
    <s v="RIVER DAMODAR NEAR MUJHER MANA VILLAGE AFTER_x000a_CONF. OF TAMLA NALLAH, BURDWAN,WEST BENGAL"/>
    <x v="7"/>
    <n v="19"/>
    <n v="34"/>
    <n v="6.7"/>
    <n v="8.5"/>
    <n v="6.9"/>
    <n v="8.1999999999999993"/>
    <n v="218"/>
    <n v="481"/>
    <n v="2.2000000000000002"/>
    <n v="3.8"/>
    <n v="0.3"/>
    <n v="2.48"/>
    <n v="1400"/>
    <n v="3300"/>
    <n v="1700"/>
    <n v="4000"/>
    <n v="17"/>
    <n v="26"/>
  </r>
  <r>
    <n v="2527"/>
    <s v="RIVER WATER INTAKE POINT FOR BURDWAN TOWN,_x000a_BURDWAN"/>
    <x v="7"/>
    <n v="19"/>
    <n v="33"/>
    <n v="7.5"/>
    <n v="8.9"/>
    <n v="6.2"/>
    <n v="8.3000000000000007"/>
    <n v="213"/>
    <n v="477"/>
    <n v="2"/>
    <n v="2.7"/>
    <n v="0.3"/>
    <n v="1.8"/>
    <n v="1100"/>
    <n v="2600"/>
    <n v="1700"/>
    <n v="3900"/>
    <n v="14"/>
    <n v="26"/>
  </r>
  <r>
    <n v="30066"/>
    <s v="RIVER DAMODAR AT SINDRI"/>
    <x v="6"/>
    <n v="20"/>
    <n v="35"/>
    <n v="5.2"/>
    <n v="10.8"/>
    <n v="7.3"/>
    <n v="8.5"/>
    <n v="304"/>
    <n v="513"/>
    <n v="1"/>
    <n v="4"/>
    <n v="0.32"/>
    <n v="0.99"/>
    <n v="2200"/>
    <n v="7900"/>
    <n v="17000"/>
    <n v="170000"/>
    <n v="45"/>
    <n v="130"/>
  </r>
  <r>
    <n v="30065"/>
    <s v="RIVER DAMODAR AT DISHERGARH (WEST BENGAL)"/>
    <x v="7"/>
    <n v="18"/>
    <n v="34"/>
    <n v="6.3"/>
    <n v="8.4"/>
    <n v="7"/>
    <n v="8"/>
    <n v="185"/>
    <n v="313"/>
    <n v="1"/>
    <n v="1"/>
    <n v="0.32"/>
    <n v="0.43"/>
    <n v="490"/>
    <n v="35000"/>
    <n v="1300"/>
    <n v="540000"/>
    <n v="2"/>
    <n v="2400"/>
  </r>
  <r>
    <n v="10107"/>
    <s v="RIVER DAMODAR AT ANDAL U/S, BURDWAN"/>
    <x v="7"/>
    <n v="21"/>
    <n v="34"/>
    <n v="7.5"/>
    <n v="9"/>
    <n v="7.2"/>
    <n v="8.1999999999999993"/>
    <n v="195"/>
    <n v="739"/>
    <n v="2.1"/>
    <n v="2.8"/>
    <n v="0.3"/>
    <n v="1.2"/>
    <n v="1400"/>
    <n v="2600"/>
    <n v="2600"/>
    <n v="4000"/>
    <n v="17"/>
    <n v="32"/>
  </r>
  <r>
    <n v="10108"/>
    <s v="RIVER DAMODAR AT ANDAL D/S, BURDWAN"/>
    <x v="7"/>
    <n v="20"/>
    <n v="35"/>
    <n v="7.6"/>
    <n v="8.9"/>
    <n v="7.4"/>
    <n v="8.1999999999999993"/>
    <n v="195"/>
    <n v="471"/>
    <n v="2.2999999999999998"/>
    <n v="2.8"/>
    <n v="0.3"/>
    <n v="1.3"/>
    <n v="1700"/>
    <n v="3300"/>
    <n v="2200"/>
    <n v="4000"/>
    <n v="17"/>
    <n v="26"/>
  </r>
  <r>
    <n v="10109"/>
    <s v="RIVER DAMODAR AT ASANSOL U/S, BURDWAN"/>
    <x v="7"/>
    <n v="23"/>
    <n v="33"/>
    <n v="7.6"/>
    <n v="9"/>
    <n v="7.1"/>
    <n v="8.1999999999999993"/>
    <n v="159"/>
    <n v="432"/>
    <n v="1.7"/>
    <n v="2.1"/>
    <n v="0.3"/>
    <n v="1.52"/>
    <n v="1700"/>
    <n v="3200"/>
    <n v="2100"/>
    <n v="4600"/>
    <n v="14"/>
    <n v="36"/>
  </r>
  <r>
    <n v="10110"/>
    <s v="RIVER DAMODAR AT DURGAPUR U/S, BURDWAN"/>
    <x v="7"/>
    <n v="21"/>
    <n v="35"/>
    <n v="7.6"/>
    <n v="8.9"/>
    <n v="7.5"/>
    <n v="8.4"/>
    <n v="194"/>
    <n v="475"/>
    <n v="2.2999999999999998"/>
    <n v="2.9"/>
    <n v="0.3"/>
    <n v="1.04"/>
    <n v="1400"/>
    <n v="3400"/>
    <n v="2100"/>
    <n v="4700"/>
    <n v="17"/>
    <n v="26"/>
  </r>
  <r>
    <n v="10111"/>
    <s v="RIVER DAMODAR AT RANIGANJ D/S, BURDWAN"/>
    <x v="7"/>
    <n v="18"/>
    <n v="33"/>
    <n v="7.5"/>
    <n v="9"/>
    <n v="7.4"/>
    <n v="8"/>
    <n v="227"/>
    <n v="714"/>
    <n v="2.1"/>
    <n v="2.8"/>
    <n v="0.3"/>
    <n v="2.95"/>
    <n v="1400"/>
    <n v="3300"/>
    <n v="2600"/>
    <n v="4600"/>
    <n v="14"/>
    <n v="33"/>
  </r>
  <r>
    <n v="4742"/>
    <s v="RIVER GALUDIH BARRAGE, GALUDIH, E.S"/>
    <x v="6"/>
    <n v="16"/>
    <n v="35"/>
    <n v="6.9"/>
    <n v="8.1999999999999993"/>
    <n v="7.1"/>
    <n v="7.9"/>
    <n v="224"/>
    <n v="312"/>
    <n v="1.1000000000000001"/>
    <n v="5"/>
    <n v="0"/>
    <n v="0"/>
    <m/>
    <m/>
    <m/>
    <m/>
    <m/>
    <m/>
  </r>
  <r>
    <n v="2517"/>
    <s v="RIVER MATHABHANGA, GOBINDAPUR, NADIA"/>
    <x v="7"/>
    <n v="19"/>
    <n v="39"/>
    <n v="1"/>
    <n v="5.6"/>
    <n v="7"/>
    <n v="8.4"/>
    <n v="339"/>
    <n v="715"/>
    <n v="1.7"/>
    <n v="12.8"/>
    <n v="0.3"/>
    <n v="0.83"/>
    <n v="5400"/>
    <n v="79000"/>
    <n v="24000"/>
    <n v="130000"/>
    <n v="790"/>
    <n v="2400"/>
  </r>
  <r>
    <n v="30064"/>
    <s v="RIVER MATHABHANGA AT GOVINDPUR (WEST BENGAL)"/>
    <x v="7"/>
    <n v="25"/>
    <n v="33"/>
    <n v="0.3"/>
    <n v="1.5"/>
    <n v="7"/>
    <n v="7.7"/>
    <n v="255"/>
    <n v="696"/>
    <n v="4"/>
    <n v="6"/>
    <n v="0.32"/>
    <n v="0.34"/>
    <n v="5400"/>
    <n v="1100000"/>
    <n v="17000"/>
    <n v="4900000"/>
    <n v="45"/>
    <n v="1400"/>
  </r>
  <r>
    <n v="1764"/>
    <s v="RIVER CHURNI D/S OF RANAGHAT TOWN, WEST_x000a_BENGAL"/>
    <x v="7"/>
    <n v="18"/>
    <n v="36"/>
    <n v="1"/>
    <n v="3.6"/>
    <n v="6.8"/>
    <n v="8.3000000000000007"/>
    <n v="385"/>
    <n v="748"/>
    <n v="1.7"/>
    <n v="4.8"/>
    <n v="0.3"/>
    <n v="0.94"/>
    <n v="13000"/>
    <n v="130000"/>
    <n v="33000"/>
    <n v="170000"/>
    <n v="1100"/>
    <n v="2400"/>
  </r>
  <r>
    <n v="2518"/>
    <s v="RIVER CHURNI, MAJHADIA, NADIA"/>
    <x v="7"/>
    <n v="20"/>
    <n v="38"/>
    <n v="1"/>
    <n v="3.5"/>
    <n v="6.8"/>
    <n v="8.3000000000000007"/>
    <n v="328"/>
    <n v="769"/>
    <n v="1.7"/>
    <n v="10.5"/>
    <n v="0.3"/>
    <n v="0.49"/>
    <n v="3500"/>
    <n v="35000"/>
    <n v="7900"/>
    <n v="79000"/>
    <n v="240"/>
    <n v="1300"/>
  </r>
  <r>
    <n v="2541"/>
    <s v="RIVER DWARAKESHWAR WATER INTAKE POINT FOR_x000a_BANKURA TOWN ON DWARAKESHWAR, BANKURA"/>
    <x v="7"/>
    <n v="18"/>
    <n v="33"/>
    <n v="7.6"/>
    <n v="9.1"/>
    <n v="7.5"/>
    <n v="8.1999999999999993"/>
    <n v="209"/>
    <n v="445"/>
    <n v="2.2000000000000002"/>
    <n v="3.5"/>
    <n v="0.3"/>
    <n v="3.17"/>
    <n v="1700"/>
    <n v="3200"/>
    <n v="2100"/>
    <n v="3900"/>
    <n v="17"/>
    <n v="32"/>
  </r>
  <r>
    <n v="2514"/>
    <s v="RIVER JALANGI, D/S OF KRISHNA NAGAR, NADIA"/>
    <x v="7"/>
    <n v="18"/>
    <n v="37"/>
    <n v="1.1000000000000001"/>
    <n v="8.9"/>
    <n v="7"/>
    <n v="8.8000000000000007"/>
    <n v="263"/>
    <n v="624"/>
    <n v="1.7"/>
    <n v="4.0999999999999996"/>
    <n v="0.3"/>
    <n v="0.49"/>
    <n v="700"/>
    <n v="24000"/>
    <n v="1700"/>
    <n v="35000"/>
    <n v="49"/>
    <n v="1100"/>
  </r>
  <r>
    <n v="1337"/>
    <s v="RIVER RUPNARAYAN BEFORE CONFL. TO GANGA NEAR_x000a_GEONKHALI,MEDINIPOREÂ€, WEST BENGAL"/>
    <x v="7"/>
    <n v="22"/>
    <n v="34"/>
    <n v="5.0999999999999996"/>
    <n v="7"/>
    <n v="7.5"/>
    <n v="8.9"/>
    <n v="416"/>
    <n v="3945"/>
    <n v="1"/>
    <n v="2.9"/>
    <n v="0.3"/>
    <n v="0.97"/>
    <n v="3200"/>
    <n v="4900"/>
    <n v="6300"/>
    <n v="9400"/>
    <n v="92"/>
    <n v="210"/>
  </r>
  <r>
    <n v="2509"/>
    <s v="RIVER D/S OF RUPNARAYAN AT KOLAGHAT, NEAR_x000a_KOLAGHAT RAIL BRIDGE NO.3,MEDINIPOREÂ€"/>
    <x v="7"/>
    <n v="21"/>
    <n v="35"/>
    <n v="5"/>
    <n v="9.6999999999999993"/>
    <n v="7.9"/>
    <n v="8.6999999999999993"/>
    <n v="232"/>
    <n v="1884"/>
    <n v="1"/>
    <n v="2.9"/>
    <n v="0.3"/>
    <n v="0.98"/>
    <n v="3300"/>
    <n v="4900"/>
    <n v="7000"/>
    <n v="11000"/>
    <n v="93"/>
    <n v="200"/>
  </r>
  <r>
    <n v="2531"/>
    <s v="RIVER U/S OF TARAPITH ON DWARKA AT SADHAK_x000a_BAMDEB GHAT, BIRBHUM"/>
    <x v="7"/>
    <n v="21"/>
    <n v="32"/>
    <n v="7.2"/>
    <n v="10.4"/>
    <n v="6.7"/>
    <n v="8.5"/>
    <n v="124"/>
    <n v="736"/>
    <n v="2.1"/>
    <n v="8.9"/>
    <n v="0.3"/>
    <n v="1.89"/>
    <n v="1700"/>
    <n v="3400"/>
    <n v="3200"/>
    <n v="4900"/>
    <n v="17"/>
    <n v="33"/>
  </r>
  <r>
    <n v="2532"/>
    <s v="RIVER D/S OF TARAPITH ON DWARKA, SATIGHAT"/>
    <x v="7"/>
    <n v="21"/>
    <n v="32"/>
    <n v="6.9"/>
    <n v="10.6"/>
    <n v="6.9"/>
    <n v="8.1999999999999993"/>
    <n v="128"/>
    <n v="972"/>
    <n v="2.6"/>
    <n v="9.8000000000000007"/>
    <n v="0.3"/>
    <n v="3.5"/>
    <n v="1700"/>
    <n v="3900"/>
    <n v="2600"/>
    <n v="9400"/>
    <n v="17"/>
    <n v="27"/>
  </r>
  <r>
    <n v="2549"/>
    <s v="RIVER U/S OF BINDYADHARI AT HAROA BRIDGE, 24_x000a_PARGANAS(N)"/>
    <x v="7"/>
    <n v="19"/>
    <n v="35"/>
    <n v="0.3"/>
    <n v="1.5"/>
    <n v="7.1"/>
    <n v="7.7"/>
    <n v="601"/>
    <n v="2379"/>
    <n v="8.5"/>
    <n v="13"/>
    <n v="0.73"/>
    <n v="3.97"/>
    <n v="32000"/>
    <n v="79000"/>
    <n v="70000"/>
    <n v="140000"/>
    <n v="240"/>
    <n v="460"/>
  </r>
  <r>
    <n v="2550"/>
    <s v="RIVER D/S OF BIDYADHARI AT MALANCHA BURNING_x000a_GHAT"/>
    <x v="7"/>
    <n v="21"/>
    <n v="36"/>
    <n v="0.6"/>
    <n v="2.1"/>
    <n v="7.1"/>
    <n v="7.5"/>
    <n v="1293"/>
    <n v="20380"/>
    <n v="6"/>
    <n v="10.4"/>
    <n v="0.62"/>
    <n v="4.09"/>
    <n v="23000"/>
    <n v="49000"/>
    <n v="63000"/>
    <n v="79000"/>
    <n v="170"/>
    <n v="460"/>
  </r>
  <r>
    <n v="2507"/>
    <s v="RIVER D/S OF KANSI AT MIDNAPORE, NEAR NEW_x000a_HANUMAN MANDIR, GANDHIGHAT, MEDINIPORE(W)"/>
    <x v="7"/>
    <n v="20"/>
    <n v="36"/>
    <n v="5.0999999999999996"/>
    <n v="8.4"/>
    <n v="7.2"/>
    <n v="8.8000000000000007"/>
    <n v="193"/>
    <n v="636"/>
    <n v="1.2"/>
    <n v="2.9"/>
    <n v="0.3"/>
    <n v="0.54"/>
    <n v="2200"/>
    <n v="4600"/>
    <n v="4600"/>
    <n v="7900"/>
    <n v="68"/>
    <n v="170"/>
  </r>
  <r>
    <n v="2525"/>
    <s v="RIVER MAHANANDA D/S, RAMGHAT, DARJEELING"/>
    <x v="7"/>
    <n v="18"/>
    <n v="30"/>
    <n v="2.2000000000000002"/>
    <n v="5.7"/>
    <n v="6.1"/>
    <n v="7.6"/>
    <n v="117"/>
    <n v="240"/>
    <n v="7"/>
    <n v="23.5"/>
    <n v="0.3"/>
    <n v="1.54"/>
    <n v="110000"/>
    <n v="1400000"/>
    <n v="220000"/>
    <n v="5000000"/>
    <n v="1100"/>
    <n v="35000"/>
  </r>
  <r>
    <n v="1946"/>
    <s v="RIVER MAHANANDA AT SILIGURI, DARJEELING"/>
    <x v="7"/>
    <n v="17"/>
    <n v="29"/>
    <n v="5.9"/>
    <n v="7.9"/>
    <n v="6.7"/>
    <n v="7.6"/>
    <n v="65"/>
    <n v="202"/>
    <n v="1.6"/>
    <n v="3.2"/>
    <n v="0.3"/>
    <n v="0.68"/>
    <n v="14000"/>
    <n v="300000"/>
    <n v="90000"/>
    <n v="900000"/>
    <n v="14"/>
    <n v="930"/>
  </r>
  <r>
    <n v="4727"/>
    <s v="RIVER MECHI AT NEHALJOTE"/>
    <x v="7"/>
    <n v="20"/>
    <n v="30"/>
    <n v="5.3"/>
    <n v="8"/>
    <n v="6.8"/>
    <n v="7.9"/>
    <n v="55"/>
    <n v="115"/>
    <n v="1"/>
    <n v="2.2000000000000002"/>
    <n v="0.3"/>
    <n v="0.54"/>
    <n v="1300"/>
    <n v="7000"/>
    <n v="2100"/>
    <n v="28000"/>
    <n v="17"/>
    <n v="350"/>
  </r>
  <r>
    <n v="4722"/>
    <s v="RIVER BALASON AT KHAPRAIL MORE"/>
    <x v="7"/>
    <n v="12"/>
    <n v="30"/>
    <n v="5.3"/>
    <n v="8.6"/>
    <n v="6.1"/>
    <n v="7.9"/>
    <n v="42"/>
    <n v="103"/>
    <n v="1"/>
    <n v="2.5"/>
    <n v="0.3"/>
    <n v="0.63"/>
    <n v="2200"/>
    <n v="50000"/>
    <n v="11000"/>
    <n v="160000"/>
    <n v="14"/>
    <n v="110"/>
  </r>
  <r>
    <n v="2508"/>
    <s v="RIVER D/S OF SILABATI AT GHATAL, MEDINIPORE(W)"/>
    <x v="7"/>
    <n v="20"/>
    <n v="35"/>
    <n v="5.0999999999999996"/>
    <n v="8"/>
    <n v="7.5"/>
    <n v="8.6999999999999993"/>
    <n v="194"/>
    <n v="424"/>
    <n v="1.3"/>
    <n v="2.8"/>
    <n v="0.3"/>
    <n v="1.6"/>
    <n v="3200"/>
    <n v="4900"/>
    <n v="6300"/>
    <n v="9400"/>
    <n v="92"/>
    <n v="200"/>
  </r>
  <r>
    <n v="2534"/>
    <s v="RIVER WATER INTAKE POINT FOR SURI TOWN ON_x000a_MAYURAKSHI, BIRBHUM"/>
    <x v="7"/>
    <n v="20"/>
    <n v="35"/>
    <n v="7.5"/>
    <n v="9.1"/>
    <n v="7"/>
    <n v="8.1999999999999993"/>
    <n v="97"/>
    <n v="251"/>
    <n v="1.5"/>
    <n v="2"/>
    <n v="0.3"/>
    <n v="2.2999999999999998"/>
    <n v="1400"/>
    <n v="2200"/>
    <n v="2100"/>
    <n v="3300"/>
    <n v="14"/>
    <n v="26"/>
  </r>
  <r>
    <n v="4710"/>
    <s v="RIVER HALDI AT NORGHAT"/>
    <x v="7"/>
    <n v="20"/>
    <n v="34"/>
    <n v="5"/>
    <n v="7"/>
    <n v="8"/>
    <n v="8.6"/>
    <n v="504"/>
    <n v="16200"/>
    <n v="1.1000000000000001"/>
    <n v="2.8"/>
    <n v="0.3"/>
    <n v="0.63"/>
    <n v="4000"/>
    <n v="4900"/>
    <n v="7000"/>
    <n v="11000"/>
    <n v="92"/>
    <n v="240"/>
  </r>
  <r>
    <n v="4711"/>
    <s v="RIVER RASULPUR AT RASULPUR GHAT"/>
    <x v="7"/>
    <n v="21"/>
    <n v="35"/>
    <n v="5.4"/>
    <n v="6.6"/>
    <n v="7.7"/>
    <n v="8.6"/>
    <n v="6245"/>
    <n v="27870"/>
    <n v="1"/>
    <n v="2.9"/>
    <n v="0.3"/>
    <n v="1.02"/>
    <n v="2100"/>
    <n v="4900"/>
    <n v="4900"/>
    <n v="8400"/>
    <n v="92"/>
    <n v="170"/>
  </r>
  <r>
    <n v="4717"/>
    <s v="RIVER JALDHAKA AT DHUPGURI"/>
    <x v="7"/>
    <n v="13"/>
    <n v="28"/>
    <n v="5.8"/>
    <n v="8.5"/>
    <n v="7"/>
    <n v="7.9"/>
    <n v="90"/>
    <n v="170"/>
    <n v="1"/>
    <n v="3.1"/>
    <n v="0.3"/>
    <n v="0.56000000000000005"/>
    <n v="2200"/>
    <n v="28000"/>
    <n v="8000"/>
    <n v="35000"/>
    <n v="13"/>
    <n v="240"/>
  </r>
  <r>
    <n v="4718"/>
    <s v="RIVER SILTORSA AT HASIMARA"/>
    <x v="7"/>
    <n v="15"/>
    <n v="27"/>
    <n v="6.3"/>
    <n v="8.9"/>
    <n v="7.1"/>
    <n v="7.8"/>
    <n v="74"/>
    <n v="190"/>
    <n v="1"/>
    <n v="2.1"/>
    <n v="0.3"/>
    <n v="0.59"/>
    <n v="2200"/>
    <n v="22000"/>
    <n v="5000"/>
    <n v="90000"/>
    <n v="17"/>
    <n v="170"/>
  </r>
  <r>
    <n v="1422"/>
    <s v="RIVER BURHIDIHING AT MARGHERITA, ASSAM"/>
    <x v="12"/>
    <n v="22"/>
    <n v="23"/>
    <n v="5.2"/>
    <n v="8.1999999999999993"/>
    <n v="7"/>
    <n v="7.9"/>
    <n v="106"/>
    <n v="148"/>
    <n v="2"/>
    <n v="2.5"/>
    <n v="0.6"/>
    <n v="1.4"/>
    <n v="360"/>
    <n v="730"/>
    <n v="910"/>
    <n v="1500"/>
    <n v="120"/>
    <n v="240"/>
  </r>
  <r>
    <n v="2062"/>
    <s v="RIVER BURHIDIHING NEAR DULIAJAN AT D/S, TINSUKIA,_x000a_ASSAM"/>
    <x v="12"/>
    <n v="23"/>
    <n v="24"/>
    <n v="5.0999999999999996"/>
    <n v="9"/>
    <n v="6.7"/>
    <n v="7.7"/>
    <n v="128"/>
    <n v="188"/>
    <n v="2.1"/>
    <n v="2.7"/>
    <n v="0.6"/>
    <n v="1.9"/>
    <n v="720"/>
    <n v="1100"/>
    <n v="1500"/>
    <n v="2100"/>
    <n v="210"/>
    <n v="490"/>
  </r>
  <r>
    <n v="2230"/>
    <s v="RIVER BURHIDIHING AT DULIAJAN (INTAKE POINT OF OIL_x000a_INDIA LTD.), ASSAM"/>
    <x v="12"/>
    <n v="22"/>
    <n v="27"/>
    <n v="5"/>
    <n v="8"/>
    <n v="6.9"/>
    <n v="7.7"/>
    <n v="126"/>
    <n v="178"/>
    <n v="2"/>
    <n v="2.6"/>
    <n v="0.7"/>
    <n v="1.4"/>
    <n v="610"/>
    <n v="1100"/>
    <n v="1600"/>
    <n v="2800"/>
    <n v="210"/>
    <n v="290"/>
  </r>
  <r>
    <n v="1796"/>
    <s v="RIVER DHANSIRI AT FULL NAGARJAN BRIDGE"/>
    <x v="13"/>
    <n v="20.8"/>
    <n v="33.4"/>
    <n v="6.1"/>
    <n v="7.6"/>
    <n v="6.6"/>
    <n v="8.1"/>
    <n v="66"/>
    <n v="699"/>
    <n v="1.6"/>
    <n v="2.2999999999999998"/>
    <n v="0.3"/>
    <n v="1.7"/>
    <m/>
    <m/>
    <m/>
    <m/>
    <m/>
    <m/>
  </r>
  <r>
    <n v="1797"/>
    <s v="RIVER DHANSIRI AT BRIDGE NEAR PURANA BAZAAR"/>
    <x v="13"/>
    <n v="20.3"/>
    <n v="33.299999999999997"/>
    <n v="5.8"/>
    <n v="7.5"/>
    <n v="6.7"/>
    <n v="8.1"/>
    <n v="74"/>
    <n v="305"/>
    <n v="1.4"/>
    <n v="2.5"/>
    <n v="0.4"/>
    <n v="2"/>
    <m/>
    <m/>
    <m/>
    <m/>
    <m/>
    <m/>
  </r>
  <r>
    <n v="1800"/>
    <s v="RIVER DHANSIRI AT NOTUN BOSTI NEAR NAGA_x000a_CEMETERY (OLD)"/>
    <x v="13"/>
    <n v="17.8"/>
    <n v="30.7"/>
    <n v="2.8"/>
    <n v="5.6"/>
    <n v="7"/>
    <n v="8"/>
    <n v="154"/>
    <n v="502"/>
    <n v="2.5"/>
    <n v="4.8"/>
    <n v="0.3"/>
    <n v="4.5"/>
    <m/>
    <m/>
    <m/>
    <m/>
    <m/>
    <m/>
  </r>
  <r>
    <n v="1798"/>
    <s v="RIVER DHANSIRI AT KUSHIABILL , NEAR KACHARI LOCAL_x000a_GROUND"/>
    <x v="13"/>
    <n v="21.4"/>
    <n v="34.299999999999997"/>
    <n v="5.6"/>
    <n v="8.5"/>
    <n v="6.8"/>
    <n v="8.1"/>
    <n v="85"/>
    <n v="279"/>
    <n v="1.5"/>
    <n v="2.4"/>
    <n v="0.4"/>
    <n v="1.4"/>
    <m/>
    <m/>
    <m/>
    <m/>
    <m/>
    <m/>
  </r>
  <r>
    <n v="1799"/>
    <s v="RIVER DHANSIRI AT TOWN BOUNDARY BRIDGE (DIPHU_x000a_ROAD)"/>
    <x v="13"/>
    <n v="16"/>
    <n v="31.9"/>
    <n v="5.0999999999999996"/>
    <n v="6.3"/>
    <n v="6.7"/>
    <n v="8.1999999999999993"/>
    <n v="76"/>
    <n v="260"/>
    <n v="1.7"/>
    <n v="2.8"/>
    <n v="0.5"/>
    <n v="2.5"/>
    <m/>
    <m/>
    <m/>
    <m/>
    <m/>
    <m/>
  </r>
  <r>
    <n v="1928"/>
    <s v="RIVER DHANSIRI NEAR NAGALAND- ASSAM BORDER"/>
    <x v="13"/>
    <n v="18.600000000000001"/>
    <n v="33.299999999999997"/>
    <n v="5.9"/>
    <n v="6.8"/>
    <n v="7.2"/>
    <n v="7.7"/>
    <n v="76"/>
    <n v="900"/>
    <n v="1.2"/>
    <n v="2.4"/>
    <n v="0.3"/>
    <n v="2.4"/>
    <m/>
    <m/>
    <m/>
    <m/>
    <m/>
    <m/>
  </r>
  <r>
    <n v="1259"/>
    <s v="RIVER DHANSIRI AT GOLAGHAT, ASSAM"/>
    <x v="12"/>
    <n v="21"/>
    <n v="32"/>
    <n v="5"/>
    <n v="10.5"/>
    <n v="7"/>
    <n v="7.9"/>
    <n v="136"/>
    <n v="172"/>
    <n v="2"/>
    <n v="2.6"/>
    <n v="0.7"/>
    <n v="2"/>
    <n v="300"/>
    <n v="940"/>
    <n v="720"/>
    <n v="2000"/>
    <n v="95"/>
    <n v="290"/>
  </r>
  <r>
    <n v="3764"/>
    <s v="RIVER DHANSIRI NEAR BRIDGE AT NH-15, DHANSIRI_x000a_BHALUKMARI JUNGLE, UDALGURI"/>
    <x v="12"/>
    <n v="18"/>
    <n v="30"/>
    <n v="5.6"/>
    <n v="6.4"/>
    <n v="6.9"/>
    <n v="7.6"/>
    <n v="112"/>
    <n v="136"/>
    <n v="1.9"/>
    <n v="2.4"/>
    <n v="0.7"/>
    <n v="1.8"/>
    <n v="300"/>
    <n v="730"/>
    <n v="730"/>
    <n v="1500"/>
    <n v="95"/>
    <n v="240"/>
  </r>
  <r>
    <n v="3792"/>
    <s v="RIVER DHANSIRI AT JAHAIGHAT"/>
    <x v="12"/>
    <n v="21"/>
    <n v="32"/>
    <n v="5.6"/>
    <n v="9.5"/>
    <n v="6.8"/>
    <n v="7.4"/>
    <n v="122"/>
    <n v="154"/>
    <n v="2"/>
    <n v="2.5"/>
    <n v="0.6"/>
    <n v="1.7"/>
    <n v="360"/>
    <n v="1400"/>
    <n v="910"/>
    <n v="2100"/>
    <n v="150"/>
    <n v="490"/>
  </r>
  <r>
    <n v="30070"/>
    <s v="RIVER DHANSIRI AT GANESH NAGAR"/>
    <x v="13"/>
    <n v="20.100000000000001"/>
    <n v="31.7"/>
    <n v="7"/>
    <n v="9.6"/>
    <n v="7.7"/>
    <n v="7.9"/>
    <n v="119"/>
    <n v="236"/>
    <n v="1"/>
    <n v="9"/>
    <n v="0.32"/>
    <n v="0.33"/>
    <n v="2"/>
    <n v="2"/>
    <n v="2"/>
    <n v="20"/>
    <n v="2"/>
    <n v="2"/>
  </r>
  <r>
    <n v="30071"/>
    <s v="RIVER DHANSIRI AT NAGARJAN BRIDGE"/>
    <x v="13"/>
    <n v="19.100000000000001"/>
    <n v="32"/>
    <n v="6.3"/>
    <n v="11.1"/>
    <n v="7.5"/>
    <n v="8"/>
    <n v="123"/>
    <n v="195"/>
    <n v="1.1000000000000001"/>
    <n v="2.9"/>
    <n v="0.32"/>
    <n v="0.34"/>
    <n v="2"/>
    <n v="4000"/>
    <n v="2"/>
    <n v="56000"/>
    <n v="2"/>
    <n v="2"/>
  </r>
  <r>
    <n v="30072"/>
    <s v="RIVER DHANSIRI AT KHATKATI GATE"/>
    <x v="13"/>
    <n v="18"/>
    <n v="32.700000000000003"/>
    <n v="5.4"/>
    <n v="7.9"/>
    <n v="7.2"/>
    <n v="7.6"/>
    <n v="128"/>
    <n v="250"/>
    <n v="1.5"/>
    <n v="3.4"/>
    <n v="0.32"/>
    <n v="1"/>
    <n v="2"/>
    <n v="7500"/>
    <n v="2"/>
    <n v="312000"/>
    <n v="2"/>
    <n v="2"/>
  </r>
  <r>
    <n v="30073"/>
    <s v="RIVER DHANSIRI AT BOKAJAN"/>
    <x v="12"/>
    <n v="18.5"/>
    <n v="33.6"/>
    <n v="5.9"/>
    <n v="9.4"/>
    <n v="7.3"/>
    <n v="7.6"/>
    <n v="130"/>
    <n v="239"/>
    <n v="1.6"/>
    <n v="4.3"/>
    <n v="0.32"/>
    <n v="1.08"/>
    <n v="2"/>
    <n v="8000"/>
    <n v="2"/>
    <n v="92000"/>
    <n v="2"/>
    <n v="2"/>
  </r>
  <r>
    <n v="30074"/>
    <s v="RIVER DHANSIRI AT NUMALIGARH"/>
    <x v="12"/>
    <n v="19.100000000000001"/>
    <n v="32.200000000000003"/>
    <n v="6.6"/>
    <n v="9.6"/>
    <n v="7.4"/>
    <n v="7.6"/>
    <n v="124"/>
    <n v="1021"/>
    <n v="1.1000000000000001"/>
    <n v="2.1"/>
    <n v="0.32"/>
    <n v="1.1000000000000001"/>
    <n v="2"/>
    <n v="19000"/>
    <n v="2"/>
    <n v="396000"/>
    <n v="2"/>
    <n v="2"/>
  </r>
  <r>
    <n v="1528"/>
    <s v="RIVER BHARALU AT GUWAHATI, ASSAM"/>
    <x v="12"/>
    <n v="21"/>
    <n v="36"/>
    <n v="0.3"/>
    <n v="1"/>
    <n v="6.9"/>
    <n v="7.6"/>
    <n v="520"/>
    <n v="610"/>
    <n v="30.8"/>
    <n v="37.9"/>
    <n v="2"/>
    <n v="3.8"/>
    <n v="2300"/>
    <n v="2900"/>
    <n v="4200"/>
    <n v="5300"/>
    <n v="460"/>
    <n v="490"/>
  </r>
  <r>
    <n v="3759"/>
    <s v="RIVER DIKRONG NEAR BRIDGE AT NH-52, BANDARDEWA"/>
    <x v="12"/>
    <n v="20"/>
    <n v="28"/>
    <n v="5.5"/>
    <n v="6.3"/>
    <n v="7"/>
    <n v="7.9"/>
    <n v="120"/>
    <n v="166"/>
    <n v="1.8"/>
    <n v="2.6"/>
    <n v="0.5"/>
    <n v="2.1"/>
    <n v="300"/>
    <n v="730"/>
    <n v="910"/>
    <n v="1600"/>
    <n v="96"/>
    <n v="240"/>
  </r>
  <r>
    <n v="3786"/>
    <s v="RIVER GAI NADI AT SOMARAJAN, DHEMAJI"/>
    <x v="12"/>
    <n v="22"/>
    <n v="24"/>
    <n v="5.2"/>
    <n v="7.8"/>
    <n v="6.9"/>
    <n v="7.8"/>
    <n v="140"/>
    <n v="174"/>
    <n v="2"/>
    <n v="2.6"/>
    <n v="0.6"/>
    <n v="1"/>
    <n v="360"/>
    <n v="720"/>
    <n v="910"/>
    <n v="1400"/>
    <n v="120"/>
    <n v="240"/>
  </r>
  <r>
    <n v="3807"/>
    <s v="RIVER DIGARU AT NH CROSSING"/>
    <x v="12"/>
    <n v="19"/>
    <n v="28"/>
    <n v="4.2"/>
    <n v="9.8000000000000007"/>
    <n v="7"/>
    <n v="7.6"/>
    <n v="101"/>
    <n v="136"/>
    <n v="2"/>
    <n v="2.5"/>
    <n v="0.6"/>
    <n v="1.3"/>
    <n v="620"/>
    <n v="1100"/>
    <n v="1200"/>
    <n v="2000"/>
    <n v="210"/>
    <n v="290"/>
  </r>
  <r>
    <n v="1530"/>
    <s v="RIVER DIGBOI AT LAKHIPATHE, RESERVE FOREST,_x000a_DIGBOI, ASSAM"/>
    <x v="12"/>
    <n v="22"/>
    <n v="24"/>
    <n v="2.2999999999999998"/>
    <n v="5.5"/>
    <n v="6.8"/>
    <n v="7.8"/>
    <n v="152"/>
    <n v="276"/>
    <n v="3"/>
    <n v="3.4"/>
    <n v="0.7"/>
    <n v="2"/>
    <n v="300"/>
    <n v="940"/>
    <n v="720"/>
    <n v="2000"/>
    <n v="95"/>
    <n v="290"/>
  </r>
  <r>
    <n v="2231"/>
    <s v="RIVER DIKHOW AT DIKHOW BRIDGE SIVASAGAR, ASSAM"/>
    <x v="12"/>
    <n v="20"/>
    <n v="31"/>
    <n v="6"/>
    <n v="8"/>
    <n v="6.8"/>
    <n v="7.5"/>
    <n v="122"/>
    <n v="172"/>
    <n v="1.8"/>
    <n v="2.5"/>
    <n v="0.8"/>
    <n v="1.6"/>
    <n v="360"/>
    <n v="910"/>
    <n v="720"/>
    <n v="2100"/>
    <n v="120"/>
    <n v="340"/>
  </r>
  <r>
    <n v="3776"/>
    <s v="RIVER DIKHOW AT NAGINI MORA (INTER-STATE_x000a_BOUNDARIES, ASSAM-NAGALAND)"/>
    <x v="12"/>
    <n v="18"/>
    <n v="30"/>
    <n v="5.7"/>
    <n v="8"/>
    <n v="6.7"/>
    <n v="7.5"/>
    <n v="126"/>
    <n v="166"/>
    <n v="1.7"/>
    <n v="2.6"/>
    <n v="0.6"/>
    <n v="1"/>
    <n v="360"/>
    <n v="910"/>
    <n v="1100"/>
    <n v="2100"/>
    <n v="110"/>
    <n v="340"/>
  </r>
  <r>
    <n v="3778"/>
    <s v="RIVER DIKHOW AT DIKHOWMUKH CONFLUENCE WITH_x000a_BRAHAMPUTRA"/>
    <x v="12"/>
    <n v="20"/>
    <n v="32"/>
    <n v="5.8"/>
    <n v="7.9"/>
    <n v="6.7"/>
    <n v="7.6"/>
    <n v="138"/>
    <n v="209"/>
    <n v="1.8"/>
    <n v="2.5"/>
    <n v="0.8"/>
    <n v="1.1000000000000001"/>
    <n v="300"/>
    <n v="730"/>
    <n v="730"/>
    <n v="2800"/>
    <n v="110"/>
    <n v="280"/>
  </r>
  <r>
    <n v="2524"/>
    <s v="RIVER KALJANI D/S OF ALIPURDWAR, MUNICIPALITY_x000a_DISCHARGE POINT, COOCHBEHAR"/>
    <x v="7"/>
    <n v="20"/>
    <n v="31"/>
    <n v="6.1"/>
    <n v="8.1"/>
    <n v="7.2"/>
    <n v="7.9"/>
    <n v="62"/>
    <n v="134"/>
    <n v="1"/>
    <n v="2.8"/>
    <n v="0.3"/>
    <n v="0.38"/>
    <n v="2200"/>
    <n v="17000"/>
    <n v="11000"/>
    <n v="50000"/>
    <n v="13"/>
    <n v="350"/>
  </r>
  <r>
    <n v="1298"/>
    <s v="RIVER DISANG AT GUDAMGHAT, ASSAM"/>
    <x v="12"/>
    <n v="18"/>
    <n v="29"/>
    <n v="5.7"/>
    <n v="6.9"/>
    <n v="6.9"/>
    <n v="7.9"/>
    <n v="98"/>
    <n v="126"/>
    <n v="1.8"/>
    <n v="2.2999999999999998"/>
    <n v="0.6"/>
    <n v="1.2"/>
    <n v="360"/>
    <n v="910"/>
    <n v="730"/>
    <n v="2300"/>
    <n v="130"/>
    <n v="340"/>
  </r>
  <r>
    <n v="2058"/>
    <s v="RIVER DISANG AT DILLIGHAT, DIBRUGARH DIST.,_x000a_ASSAM"/>
    <x v="12"/>
    <n v="23"/>
    <n v="23"/>
    <n v="5.3"/>
    <n v="10.5"/>
    <n v="7"/>
    <n v="7.5"/>
    <n v="120"/>
    <n v="188"/>
    <n v="1.8"/>
    <n v="2.4"/>
    <n v="0.4"/>
    <n v="1.6"/>
    <n v="360"/>
    <n v="1100"/>
    <n v="910"/>
    <n v="2100"/>
    <n v="120"/>
    <n v="290"/>
  </r>
  <r>
    <n v="4005"/>
    <s v="RIVER DISANG AT NH CROSSING"/>
    <x v="12"/>
    <n v="20"/>
    <n v="31"/>
    <n v="5.5"/>
    <n v="7.3"/>
    <n v="7"/>
    <n v="7.7"/>
    <n v="110"/>
    <n v="138"/>
    <n v="1.6"/>
    <n v="2.6"/>
    <n v="0.7"/>
    <n v="1.1000000000000001"/>
    <n v="360"/>
    <n v="720"/>
    <n v="730"/>
    <n v="1500"/>
    <n v="110"/>
    <n v="260"/>
  </r>
  <r>
    <n v="3763"/>
    <s v="RIVER GABHARU NEAR BRIDGE AT NH-52, NEAR_x000a_TUMIUKI, SONITPUR"/>
    <x v="12"/>
    <n v="16"/>
    <n v="28"/>
    <n v="5"/>
    <n v="6.3"/>
    <n v="6.8"/>
    <n v="7.8"/>
    <n v="106"/>
    <n v="132"/>
    <n v="2.1"/>
    <n v="2.5"/>
    <n v="0.7"/>
    <n v="1.3"/>
    <n v="360"/>
    <n v="730"/>
    <n v="1100"/>
    <n v="1500"/>
    <n v="120"/>
    <n v="240"/>
  </r>
  <r>
    <n v="4011"/>
    <s v="RIVER TOCKLAI NEAR BRIDGE AT JORHAT"/>
    <x v="12"/>
    <n v="21"/>
    <n v="34"/>
    <n v="5"/>
    <n v="6.8"/>
    <n v="6.6"/>
    <n v="7.8"/>
    <n v="188"/>
    <n v="272"/>
    <n v="2"/>
    <n v="2.8"/>
    <n v="0.8"/>
    <n v="1.3"/>
    <n v="720"/>
    <n v="1100"/>
    <n v="1400"/>
    <n v="2800"/>
    <n v="260"/>
    <n v="420"/>
  </r>
  <r>
    <n v="4012"/>
    <s v="RIVER TUNIA AT D/S BRPL"/>
    <x v="12"/>
    <n v="21"/>
    <n v="35"/>
    <n v="5.0999999999999996"/>
    <n v="5.4"/>
    <n v="6.8"/>
    <n v="7.7"/>
    <n v="138"/>
    <n v="164"/>
    <n v="1.9"/>
    <n v="2.6"/>
    <n v="0.7"/>
    <n v="2"/>
    <n v="620"/>
    <n v="940"/>
    <n v="1200"/>
    <n v="1900"/>
    <n v="210"/>
    <n v="290"/>
  </r>
  <r>
    <n v="4329"/>
    <s v="RIVER LARSING NEAR LOCL DEPO AT MOINARBOND"/>
    <x v="12"/>
    <n v="20"/>
    <n v="23"/>
    <n v="5"/>
    <n v="5.4"/>
    <n v="7"/>
    <n v="7.3"/>
    <n v="92"/>
    <n v="133"/>
    <n v="2"/>
    <n v="2.2999999999999998"/>
    <n v="0.7"/>
    <n v="1"/>
    <n v="360"/>
    <n v="730"/>
    <n v="910"/>
    <n v="1500"/>
    <n v="120"/>
    <n v="240"/>
  </r>
  <r>
    <n v="4331"/>
    <s v="RIVER DHATESHWARI D/S OF HAILAKANDI"/>
    <x v="12"/>
    <n v="21"/>
    <n v="24"/>
    <n v="4.2"/>
    <n v="5.7"/>
    <n v="6.6"/>
    <n v="7.2"/>
    <n v="128"/>
    <n v="162"/>
    <n v="2"/>
    <n v="2.8"/>
    <n v="0.9"/>
    <n v="1.3"/>
    <n v="620"/>
    <n v="910"/>
    <n v="1300"/>
    <n v="2000"/>
    <n v="210"/>
    <n v="290"/>
  </r>
  <r>
    <n v="4332"/>
    <s v="RIVER DEMOW AT DEMOW TOWN"/>
    <x v="12"/>
    <n v="21"/>
    <n v="33"/>
    <n v="5.5"/>
    <n v="7.8"/>
    <n v="6.8"/>
    <n v="7.5"/>
    <n v="108"/>
    <n v="132"/>
    <n v="1.9"/>
    <n v="2.6"/>
    <n v="0.8"/>
    <n v="1.2"/>
    <n v="360"/>
    <n v="910"/>
    <n v="1100"/>
    <n v="2300"/>
    <n v="140"/>
    <n v="350"/>
  </r>
  <r>
    <n v="4336"/>
    <s v="RIVER BORSILA AT BORSILA, DEOPANI, NAMTI"/>
    <x v="12"/>
    <n v="18"/>
    <n v="31"/>
    <n v="5"/>
    <n v="7.9"/>
    <n v="6.6"/>
    <n v="7.4"/>
    <n v="83"/>
    <n v="102"/>
    <n v="1.8"/>
    <n v="2.4"/>
    <n v="0.6"/>
    <n v="1.2"/>
    <n v="360"/>
    <n v="730"/>
    <n v="720"/>
    <n v="2100"/>
    <n v="110"/>
    <n v="280"/>
  </r>
  <r>
    <n v="4341"/>
    <s v="RIVER BARNADI NEAR BRIDGE, NH-52, DUMUNICHOWKI_x000a_KAMRUP"/>
    <x v="12"/>
    <n v="19"/>
    <n v="37"/>
    <n v="5.5"/>
    <n v="9.3000000000000007"/>
    <n v="7"/>
    <n v="7.8"/>
    <n v="120"/>
    <n v="148"/>
    <n v="2"/>
    <n v="2.4"/>
    <n v="0.5"/>
    <n v="1.3"/>
    <n v="360"/>
    <n v="910"/>
    <n v="910"/>
    <n v="2000"/>
    <n v="150"/>
    <n v="240"/>
  </r>
  <r>
    <n v="2838"/>
    <s v="RIVER NONEY/IJEI AT NONEY BRIDGE, NONEY"/>
    <x v="14"/>
    <n v="20"/>
    <n v="24"/>
    <n v="7.1"/>
    <n v="7.4"/>
    <n v="7.2"/>
    <n v="7.3"/>
    <n v="160"/>
    <n v="190"/>
    <n v="3.2"/>
    <n v="3.3"/>
    <n v="0"/>
    <n v="0"/>
    <n v="40"/>
    <n v="75"/>
    <n v="85"/>
    <n v="165"/>
    <m/>
    <m/>
  </r>
  <r>
    <n v="2240"/>
    <s v="RIVER BARAK AT D/S OF SILCHAR, ASSAM"/>
    <x v="12"/>
    <n v="22"/>
    <n v="24"/>
    <n v="5"/>
    <n v="5.6"/>
    <n v="7"/>
    <n v="7.3"/>
    <n v="90"/>
    <n v="116"/>
    <n v="2"/>
    <n v="2.8"/>
    <n v="0.6"/>
    <n v="1.2"/>
    <n v="300"/>
    <n v="1100"/>
    <n v="730"/>
    <n v="2800"/>
    <n v="95"/>
    <n v="490"/>
  </r>
  <r>
    <n v="1262"/>
    <s v="RIVER BRAHMAPUTRA AT NIMATIGHAT, ASSAM"/>
    <x v="12"/>
    <n v="18"/>
    <n v="30"/>
    <n v="6.3"/>
    <n v="8.4"/>
    <n v="7"/>
    <n v="7.6"/>
    <n v="124"/>
    <n v="186"/>
    <n v="2"/>
    <n v="2.5"/>
    <n v="0.6"/>
    <n v="1.4"/>
    <n v="300"/>
    <n v="730"/>
    <n v="600"/>
    <n v="2000"/>
    <n v="110"/>
    <n v="280"/>
  </r>
  <r>
    <n v="1526"/>
    <s v="RIVER BRAHMPUTRA RIVER AT DHENUKHAPAHAR,_x000a_ASSAM"/>
    <x v="12"/>
    <n v="18"/>
    <n v="26"/>
    <n v="7"/>
    <n v="7.7"/>
    <n v="6.8"/>
    <n v="7.6"/>
    <n v="120"/>
    <n v="146"/>
    <n v="2"/>
    <n v="2.5"/>
    <n v="0.7"/>
    <n v="1.7"/>
    <n v="360"/>
    <n v="1100"/>
    <n v="910"/>
    <n v="2000"/>
    <n v="120"/>
    <n v="290"/>
  </r>
  <r>
    <n v="1030"/>
    <s v="RIVER BRAHMAPUTRA AT DIBRUGARH, ASSAM"/>
    <x v="12"/>
    <n v="21"/>
    <n v="25"/>
    <n v="5"/>
    <n v="7.5"/>
    <n v="6.8"/>
    <n v="7.5"/>
    <n v="102"/>
    <n v="152"/>
    <n v="2"/>
    <n v="2.7"/>
    <n v="0.7"/>
    <n v="1.6"/>
    <n v="360"/>
    <n v="1100"/>
    <n v="730"/>
    <n v="2100"/>
    <n v="120"/>
    <n v="290"/>
  </r>
  <r>
    <n v="1031"/>
    <s v="RIVER BRAHMAPUTRA AT PANDU, ASSAM"/>
    <x v="12"/>
    <n v="19"/>
    <n v="30"/>
    <n v="6.1"/>
    <n v="8.6999999999999993"/>
    <n v="6.7"/>
    <n v="7.8"/>
    <n v="126"/>
    <n v="166"/>
    <n v="2"/>
    <n v="2.7"/>
    <n v="0.6"/>
    <n v="1.5"/>
    <n v="730"/>
    <n v="1100"/>
    <n v="1500"/>
    <n v="2100"/>
    <n v="150"/>
    <n v="290"/>
  </r>
  <r>
    <n v="1299"/>
    <s v="RIVER BRAHMAPUTRA AT JOGIGHOPA NEAR BRIDGE,_x000a_ASSAM"/>
    <x v="12"/>
    <n v="22"/>
    <n v="36"/>
    <n v="5.4"/>
    <n v="6.5"/>
    <n v="7"/>
    <n v="7.8"/>
    <n v="146"/>
    <n v="170"/>
    <n v="2"/>
    <n v="2.6"/>
    <n v="0.7"/>
    <n v="2.2999999999999998"/>
    <n v="360"/>
    <n v="1100"/>
    <n v="1100"/>
    <n v="2100"/>
    <n v="120"/>
    <n v="290"/>
  </r>
  <r>
    <n v="2069"/>
    <s v="RIVER BRAHMPUTRA NEAR WATER INTAKE POINT AT_x000a_KACHARIGHAT, PANBAZAR, GUWAHATI, ASSAM"/>
    <x v="12"/>
    <n v="19"/>
    <n v="32"/>
    <n v="5.4"/>
    <n v="8.9"/>
    <n v="7.2"/>
    <n v="7.9"/>
    <n v="132"/>
    <n v="214"/>
    <n v="2.1"/>
    <n v="2.6"/>
    <n v="0.6"/>
    <n v="1.8"/>
    <n v="360"/>
    <n v="1100"/>
    <n v="910"/>
    <n v="2700"/>
    <n v="120"/>
    <n v="490"/>
  </r>
  <r>
    <n v="2064"/>
    <s v="RIVER BRAHMAPUTRA AT CHANDRAPUR, GUWAHATI,_x000a_ASSAM"/>
    <x v="12"/>
    <n v="18"/>
    <n v="29"/>
    <n v="6.9"/>
    <n v="9.6999999999999993"/>
    <n v="6.8"/>
    <n v="8"/>
    <n v="128"/>
    <n v="178"/>
    <n v="2"/>
    <n v="2.6"/>
    <n v="0.6"/>
    <n v="1.7"/>
    <n v="610"/>
    <n v="2800"/>
    <n v="1500"/>
    <n v="3600"/>
    <n v="210"/>
    <n v="490"/>
  </r>
  <r>
    <n v="2067"/>
    <s v="RIVER BRAHMPUTRA AT SUALKUCHI, DIST. KAMRUP,_x000a_ASSAM"/>
    <x v="12"/>
    <n v="22"/>
    <n v="30"/>
    <n v="5"/>
    <n v="8.1999999999999993"/>
    <n v="7.1"/>
    <n v="7.9"/>
    <n v="115"/>
    <n v="130"/>
    <n v="2.1"/>
    <n v="2.8"/>
    <n v="0.6"/>
    <n v="1.7"/>
    <n v="360"/>
    <n v="1500"/>
    <n v="1100"/>
    <n v="2100"/>
    <n v="95"/>
    <n v="490"/>
  </r>
  <r>
    <n v="2066"/>
    <s v="RIVER BRAHMAPUTRA AT DHUBRI, ASSAM"/>
    <x v="12"/>
    <n v="20"/>
    <n v="34"/>
    <n v="5.2"/>
    <n v="5.7"/>
    <n v="6.9"/>
    <n v="7.6"/>
    <n v="130"/>
    <n v="168"/>
    <n v="2"/>
    <n v="2.5"/>
    <n v="0.7"/>
    <n v="1.7"/>
    <n v="360"/>
    <n v="1100"/>
    <n v="910"/>
    <n v="2100"/>
    <n v="120"/>
    <n v="290"/>
  </r>
  <r>
    <n v="3781"/>
    <s v="RIVER BRAHAMPUTRA AT BOGIBEEL BRIDGE,_x000a_BOGIBEEL, DIBRUGARH"/>
    <x v="12"/>
    <n v="22"/>
    <n v="28"/>
    <n v="5"/>
    <n v="7.3"/>
    <n v="7"/>
    <n v="7.4"/>
    <n v="120"/>
    <n v="146"/>
    <n v="2"/>
    <n v="2.5"/>
    <n v="0.6"/>
    <n v="1.4"/>
    <n v="300"/>
    <n v="910"/>
    <n v="730"/>
    <n v="2000"/>
    <n v="95"/>
    <n v="290"/>
  </r>
  <r>
    <n v="4004"/>
    <s v="RIVER BRAHMAPUTRA AT BISWANATH GHAT"/>
    <x v="12"/>
    <n v="18"/>
    <n v="24"/>
    <n v="7"/>
    <n v="7.3"/>
    <n v="6.8"/>
    <n v="7.8"/>
    <n v="108"/>
    <n v="176"/>
    <n v="2"/>
    <n v="2.7"/>
    <n v="0.7"/>
    <n v="1.5"/>
    <n v="610"/>
    <n v="1100"/>
    <n v="1400"/>
    <n v="2100"/>
    <n v="210"/>
    <n v="490"/>
  </r>
  <r>
    <n v="5610"/>
    <s v="RIVER BRAHMAPUTRA AT MATIA (BAHATI GHAT)"/>
    <x v="12"/>
    <n v="21"/>
    <n v="36"/>
    <n v="5.4"/>
    <n v="5.6"/>
    <n v="7"/>
    <n v="7.3"/>
    <n v="120"/>
    <n v="130"/>
    <n v="2"/>
    <n v="2.2999999999999998"/>
    <n v="0.7"/>
    <n v="0.9"/>
    <n v="360"/>
    <n v="1100"/>
    <n v="910"/>
    <n v="2700"/>
    <n v="120"/>
    <n v="290"/>
  </r>
  <r>
    <n v="5612"/>
    <s v="RIVER BRAHMAPUTRA NEWR DHOLA SADIA BRIDGE"/>
    <x v="12"/>
    <n v="22"/>
    <n v="26"/>
    <n v="5.5"/>
    <n v="8.1999999999999993"/>
    <n v="6.9"/>
    <n v="7.8"/>
    <n v="98"/>
    <n v="130"/>
    <n v="2"/>
    <n v="2.2999999999999998"/>
    <n v="0.6"/>
    <n v="0.8"/>
    <n v="730"/>
    <n v="1500"/>
    <n v="1500"/>
    <n v="2800"/>
    <n v="240"/>
    <n v="490"/>
  </r>
  <r>
    <n v="2950"/>
    <s v="RIVER BANAS AT DHANARI DAM, NEAR SWAROOPGANJ,_x000a_SIROHI, RAJASTHAN"/>
    <x v="11"/>
    <n v="21.5"/>
    <n v="32.299999999999997"/>
    <n v="4.5999999999999996"/>
    <n v="6.4"/>
    <n v="7.1"/>
    <n v="8.3000000000000007"/>
    <n v="358"/>
    <n v="611"/>
    <n v="1"/>
    <n v="4"/>
    <n v="1.94"/>
    <n v="3.49"/>
    <n v="2"/>
    <n v="5"/>
    <n v="2"/>
    <n v="16"/>
    <n v="2"/>
    <n v="2"/>
  </r>
  <r>
    <n v="2951"/>
    <s v="RIVER BANAS BISULPUR DAM, TONK, RAJASTHAN"/>
    <x v="11"/>
    <n v="18"/>
    <n v="32"/>
    <n v="5.2"/>
    <n v="6.6"/>
    <n v="7.9"/>
    <n v="8.5"/>
    <n v="386"/>
    <n v="607"/>
    <n v="1"/>
    <n v="2.2999999999999998"/>
    <n v="0.5"/>
    <n v="1.82"/>
    <n v="58"/>
    <n v="170"/>
    <n v="170"/>
    <n v="280"/>
    <n v="25"/>
    <n v="39"/>
  </r>
  <r>
    <n v="4167"/>
    <s v="RIVER BANAS AT TRIVENI SANGAM, BHILWARA"/>
    <x v="11"/>
    <n v="19"/>
    <n v="23"/>
    <n v="4.7"/>
    <n v="5.9"/>
    <n v="7.8"/>
    <n v="8.6999999999999993"/>
    <n v="499"/>
    <n v="876"/>
    <n v="1.3"/>
    <n v="2.2999999999999998"/>
    <n v="1.1200000000000001"/>
    <n v="3.52"/>
    <n v="130"/>
    <n v="350"/>
    <n v="220"/>
    <n v="540"/>
    <n v="31"/>
    <n v="49"/>
  </r>
  <r>
    <n v="2952"/>
    <s v="RIVER NEAR NEWTA DAM,JAIPUR,RAJSTHAN"/>
    <x v="11"/>
    <n v="19"/>
    <n v="29"/>
    <n v="0.6"/>
    <n v="5.2"/>
    <n v="7.8"/>
    <n v="9.4"/>
    <n v="1434"/>
    <n v="2440"/>
    <n v="3.6"/>
    <n v="16"/>
    <n v="1.1200000000000001"/>
    <n v="5.13"/>
    <n v="70"/>
    <n v="350"/>
    <n v="430"/>
    <n v="1600"/>
    <n v="7"/>
    <n v="63"/>
  </r>
  <r>
    <n v="4790"/>
    <s v="RIVER PIPLADAT PIPLAD DAM, BHAWANI MANDI"/>
    <x v="11"/>
    <n v="20"/>
    <n v="31"/>
    <n v="4.2"/>
    <n v="5.8"/>
    <n v="8"/>
    <n v="9.4"/>
    <n v="490"/>
    <n v="754"/>
    <n v="1.9"/>
    <n v="4.0999999999999996"/>
    <n v="1.1200000000000001"/>
    <n v="2.42"/>
    <n v="130"/>
    <n v="240"/>
    <n v="240"/>
    <n v="430"/>
    <n v="26"/>
    <n v="47"/>
  </r>
  <r>
    <n v="4770"/>
    <s v="RIVER KOTHARI AT MEJA DAM BHILWARA (UPSTREAM_x000a_OF KOTHARI RIVER)"/>
    <x v="11"/>
    <n v="18.5"/>
    <n v="22"/>
    <n v="4.5999999999999996"/>
    <n v="6.5"/>
    <n v="7.5"/>
    <n v="9.9"/>
    <n v="237"/>
    <n v="623"/>
    <n v="1.4"/>
    <n v="2.5"/>
    <n v="0.52"/>
    <n v="1.94"/>
    <n v="110"/>
    <n v="280"/>
    <n v="280"/>
    <n v="540"/>
    <n v="33"/>
    <n v="120"/>
  </r>
  <r>
    <n v="5468"/>
    <s v="RIVER KOTHARI AT KOTHARI DAM, BHILWARA"/>
    <x v="11"/>
    <n v="20.5"/>
    <n v="23.5"/>
    <n v="4.2"/>
    <n v="5.9"/>
    <n v="8"/>
    <n v="9.4"/>
    <n v="761"/>
    <n v="988"/>
    <n v="1.8"/>
    <n v="3.6"/>
    <n v="0.62"/>
    <n v="2.12"/>
    <n v="210"/>
    <n v="350"/>
    <n v="350"/>
    <n v="540"/>
    <n v="31"/>
    <n v="84"/>
  </r>
  <r>
    <n v="4172"/>
    <s v="RIVER BERACH AT GHOSUNDA DAM, CHITTORGARH"/>
    <x v="11"/>
    <n v="17"/>
    <n v="30"/>
    <n v="4.2"/>
    <n v="6.5"/>
    <n v="7.1"/>
    <n v="7.7"/>
    <n v="720"/>
    <n v="1023"/>
    <n v="2"/>
    <n v="2.9"/>
    <n v="1.82"/>
    <n v="2.95"/>
    <n v="110"/>
    <n v="170"/>
    <n v="170"/>
    <n v="280"/>
    <n v="21"/>
    <n v="58"/>
  </r>
  <r>
    <n v="4175"/>
    <s v="RIVER BERACH, NEAR HOTEL PADMINI, CHITTORGARH"/>
    <x v="11"/>
    <n v="17"/>
    <n v="30"/>
    <n v="3.2"/>
    <n v="6.2"/>
    <n v="7.1"/>
    <n v="7.9"/>
    <n v="720"/>
    <n v="1448"/>
    <n v="2"/>
    <n v="3.6"/>
    <n v="1.82"/>
    <n v="4.62"/>
    <n v="110"/>
    <n v="170"/>
    <n v="170"/>
    <n v="280"/>
    <n v="21"/>
    <n v="34"/>
  </r>
  <r>
    <n v="4804"/>
    <s v="RIVER BERACH NEAR VILLAGE-NAGARI, CHITTORGARH"/>
    <x v="11"/>
    <n v="16"/>
    <n v="30"/>
    <n v="4.2"/>
    <n v="6.6"/>
    <n v="7.3"/>
    <n v="8.1"/>
    <n v="672"/>
    <n v="902"/>
    <n v="1"/>
    <n v="3"/>
    <n v="2.2200000000000002"/>
    <n v="5.12"/>
    <n v="84"/>
    <n v="220"/>
    <n v="94"/>
    <n v="500"/>
    <n v="14"/>
    <n v="140"/>
  </r>
  <r>
    <n v="4173"/>
    <s v="RIVER GAMBHIRI AT GAMBHIRI DAM, NIMBAHERA-TEHSIL, CHITTORGARH"/>
    <x v="11"/>
    <n v="16"/>
    <n v="30"/>
    <n v="4.0999999999999996"/>
    <n v="6.9"/>
    <n v="7.1"/>
    <n v="7.9"/>
    <n v="372"/>
    <n v="682"/>
    <n v="1"/>
    <n v="2.2000000000000002"/>
    <n v="1.82"/>
    <n v="3.69"/>
    <n v="90"/>
    <n v="170"/>
    <n v="170"/>
    <n v="300"/>
    <n v="24"/>
    <n v="70"/>
  </r>
  <r>
    <n v="4174"/>
    <s v="RIVER GAMBHIRI NEAR BUS STAND (OLD CITY BRIDGE),_x000a_CHITTORGARH,RAJASTHAN"/>
    <x v="11"/>
    <n v="18"/>
    <n v="30"/>
    <n v="4"/>
    <n v="6.6"/>
    <n v="7.1"/>
    <n v="7.9"/>
    <n v="605"/>
    <n v="945"/>
    <n v="1.9"/>
    <n v="3.5"/>
    <n v="3.19"/>
    <n v="7.01"/>
    <n v="110"/>
    <n v="220"/>
    <n v="150"/>
    <n v="350"/>
    <n v="24"/>
    <n v="79"/>
  </r>
  <r>
    <n v="2945"/>
    <s v="RIVER CHHAPI AT CHHAPI DAM UPSTREAM , JHALAWAR,_x000a_RAJASTHAN"/>
    <x v="11"/>
    <n v="20"/>
    <n v="32"/>
    <n v="5.0999999999999996"/>
    <n v="6.2"/>
    <n v="7.8"/>
    <n v="8.5"/>
    <n v="229"/>
    <n v="439"/>
    <n v="1"/>
    <n v="2.2000000000000002"/>
    <n v="0.82"/>
    <n v="2.64"/>
    <n v="110"/>
    <n v="170"/>
    <n v="210"/>
    <n v="350"/>
    <n v="22"/>
    <n v="34"/>
  </r>
  <r>
    <n v="2946"/>
    <s v="RIVER UJAD AT BHIM SAGAR DAM UPSTREAM ,_x000a_JHALAWAR, RAJASTHAN"/>
    <x v="11"/>
    <n v="20"/>
    <n v="32"/>
    <n v="4.0999999999999996"/>
    <n v="5.9"/>
    <n v="7.6"/>
    <n v="8.5"/>
    <n v="247"/>
    <n v="448"/>
    <n v="1"/>
    <n v="2"/>
    <n v="0.82"/>
    <n v="3.93"/>
    <n v="79"/>
    <n v="170"/>
    <n v="150"/>
    <n v="280"/>
    <n v="21"/>
    <n v="31"/>
  </r>
  <r>
    <n v="2869"/>
    <s v="RIVER BARAK AT SENAPATI"/>
    <x v="14"/>
    <n v="19"/>
    <n v="22"/>
    <n v="7.2"/>
    <n v="7.5"/>
    <n v="7.3"/>
    <n v="7.3"/>
    <n v="210"/>
    <n v="262"/>
    <n v="3"/>
    <n v="3.3"/>
    <n v="0"/>
    <n v="0"/>
    <n v="10"/>
    <n v="30"/>
    <n v="45"/>
    <n v="80"/>
    <m/>
    <m/>
  </r>
  <r>
    <n v="2875"/>
    <s v="RIVER BARAK AT N.H. 53, TAMENGLONG"/>
    <x v="14"/>
    <n v="18"/>
    <n v="23"/>
    <n v="7"/>
    <n v="7.4"/>
    <n v="7.1"/>
    <n v="7.3"/>
    <n v="140"/>
    <n v="184"/>
    <n v="3.1"/>
    <n v="3.3"/>
    <n v="0"/>
    <n v="0"/>
    <n v="15"/>
    <n v="25"/>
    <n v="40"/>
    <n v="45"/>
    <m/>
    <m/>
  </r>
  <r>
    <n v="1423"/>
    <s v="RIVER BARAK RIVER AT PANCHAGRAM , ASSAM"/>
    <x v="12"/>
    <n v="20"/>
    <n v="23"/>
    <n v="6"/>
    <n v="6.3"/>
    <n v="6.8"/>
    <n v="7.4"/>
    <n v="102"/>
    <n v="134"/>
    <n v="2.1"/>
    <n v="2.7"/>
    <n v="0.6"/>
    <n v="1.2"/>
    <n v="620"/>
    <n v="940"/>
    <n v="1400"/>
    <n v="2000"/>
    <n v="210"/>
    <n v="290"/>
  </r>
  <r>
    <n v="4649"/>
    <s v="RIVER MANU AT MANUBAZAR"/>
    <x v="15"/>
    <n v="21"/>
    <n v="31"/>
    <n v="5.2"/>
    <n v="6.4"/>
    <n v="6.9"/>
    <n v="7.6"/>
    <n v="134"/>
    <n v="191"/>
    <n v="1.2"/>
    <n v="2.1"/>
    <n v="0.9"/>
    <n v="2.7"/>
    <n v="33"/>
    <n v="63"/>
    <n v="110"/>
    <n v="280"/>
    <m/>
    <m/>
  </r>
  <r>
    <n v="4650"/>
    <s v="RIVER MANU AT CHAILENGTA"/>
    <x v="15"/>
    <n v="21"/>
    <n v="30.5"/>
    <n v="5.2"/>
    <n v="6.2"/>
    <n v="6.6"/>
    <n v="7.2"/>
    <n v="142"/>
    <n v="189"/>
    <n v="1.1000000000000001"/>
    <n v="1.9"/>
    <n v="0.9"/>
    <n v="2.4"/>
    <n v="27"/>
    <n v="58"/>
    <n v="94"/>
    <n v="240"/>
    <m/>
    <m/>
  </r>
  <r>
    <n v="2877"/>
    <s v="RIVER KHUGA (TUITHA) DAM ON KHUGA RIVER"/>
    <x v="14"/>
    <n v="19"/>
    <n v="22"/>
    <n v="7.2"/>
    <n v="7.4"/>
    <n v="7.1"/>
    <n v="7.3"/>
    <n v="170"/>
    <n v="190"/>
    <n v="3"/>
    <n v="3.3"/>
    <n v="0"/>
    <n v="0"/>
    <n v="20"/>
    <n v="25"/>
    <n v="55"/>
    <n v="65"/>
    <m/>
    <m/>
  </r>
  <r>
    <n v="2878"/>
    <s v="RIVER THONGJAOROK AT THONGJAOROK BRIDGE"/>
    <x v="14"/>
    <n v="19"/>
    <n v="28"/>
    <n v="7.1"/>
    <n v="7.5"/>
    <n v="7"/>
    <n v="7.4"/>
    <n v="150"/>
    <n v="190"/>
    <n v="3.2"/>
    <n v="3.5"/>
    <n v="0"/>
    <n v="140"/>
    <n v="40"/>
    <n v="65"/>
    <n v="45"/>
    <n v="155"/>
    <m/>
    <m/>
  </r>
  <r>
    <n v="2242"/>
    <s v="RIVER KUSHIARA AT KARIMGANJ, ASSAM"/>
    <x v="12"/>
    <n v="20"/>
    <n v="24"/>
    <n v="5.2"/>
    <n v="6.8"/>
    <n v="7"/>
    <n v="7.3"/>
    <n v="84"/>
    <n v="108"/>
    <n v="2"/>
    <n v="2.5"/>
    <n v="0.6"/>
    <n v="1.3"/>
    <n v="360"/>
    <n v="730"/>
    <n v="910"/>
    <n v="1600"/>
    <n v="120"/>
    <n v="290"/>
  </r>
  <r>
    <n v="1925"/>
    <s v="RIVER KHUGA (TUITHA) AT RENGKAI,_x000a_CHURACHANDPUR"/>
    <x v="14"/>
    <n v="19"/>
    <n v="24"/>
    <n v="5.4"/>
    <n v="7.3"/>
    <n v="7.1"/>
    <n v="7.2"/>
    <n v="140"/>
    <n v="574"/>
    <n v="3.2"/>
    <n v="4.5999999999999996"/>
    <n v="0"/>
    <n v="0"/>
    <n v="60"/>
    <n v="230"/>
    <n v="195"/>
    <n v="780"/>
    <m/>
    <m/>
  </r>
  <r>
    <n v="2880"/>
    <s v="RIVER NAMBUL AT BISHNUPUR"/>
    <x v="14"/>
    <n v="18"/>
    <n v="29"/>
    <n v="7.1"/>
    <n v="7.4"/>
    <n v="7"/>
    <n v="7.4"/>
    <n v="162"/>
    <n v="215"/>
    <n v="3.3"/>
    <n v="3.4"/>
    <n v="0"/>
    <n v="0"/>
    <n v="70"/>
    <n v="105"/>
    <n v="165"/>
    <n v="230"/>
    <m/>
    <m/>
  </r>
  <r>
    <n v="3107"/>
    <s v="RIVER DIHING AT MIAO (U/S OF NOA DIHING)"/>
    <x v="16"/>
    <n v="19.399999999999999"/>
    <n v="27.6"/>
    <n v="6.9"/>
    <n v="9.8000000000000007"/>
    <n v="7.4"/>
    <n v="8.1"/>
    <n v="79"/>
    <n v="428"/>
    <n v="1"/>
    <n v="2"/>
    <n v="0"/>
    <n v="0"/>
    <m/>
    <m/>
    <m/>
    <m/>
    <m/>
    <m/>
  </r>
  <r>
    <n v="3095"/>
    <s v="RIVER SENKI AT CHANDRANAGAR, ITANAGAR, (U/S OF_x000a_PACHIN RIVER)"/>
    <x v="16"/>
    <n v="20.3"/>
    <n v="29.4"/>
    <n v="6.2"/>
    <n v="8.9"/>
    <n v="7"/>
    <n v="8.8000000000000007"/>
    <n v="57"/>
    <n v="296"/>
    <n v="1"/>
    <n v="2.6"/>
    <n v="0"/>
    <n v="0"/>
    <m/>
    <m/>
    <m/>
    <m/>
    <m/>
    <m/>
  </r>
  <r>
    <n v="3096"/>
    <s v="RIVER DIKRONG AT NIRJULI (U/S)"/>
    <x v="16"/>
    <n v="21.4"/>
    <n v="32.799999999999997"/>
    <n v="6"/>
    <n v="9.1999999999999993"/>
    <n v="6.7"/>
    <n v="8.6999999999999993"/>
    <n v="65"/>
    <n v="219"/>
    <n v="1"/>
    <n v="2.6"/>
    <n v="0"/>
    <n v="0"/>
    <m/>
    <m/>
    <m/>
    <m/>
    <m/>
    <m/>
  </r>
  <r>
    <n v="3777"/>
    <s v="RIVER DORIKA NEAR MSW DUMPING SITE, SIVASAGAR"/>
    <x v="12"/>
    <n v="20"/>
    <n v="33"/>
    <n v="4.2"/>
    <n v="5.8"/>
    <n v="6.6"/>
    <n v="7.6"/>
    <n v="108"/>
    <n v="208"/>
    <n v="1.9"/>
    <n v="2.8"/>
    <n v="0.6"/>
    <n v="1.3"/>
    <n v="720"/>
    <n v="1100"/>
    <n v="1500"/>
    <n v="2800"/>
    <n v="270"/>
    <n v="390"/>
  </r>
  <r>
    <n v="3105"/>
    <s v="RIVER GAI NADI, NEAR HSS LIKABALI (D/S)"/>
    <x v="16"/>
    <n v="22"/>
    <n v="27.9"/>
    <n v="6.4"/>
    <n v="9.4"/>
    <n v="7.1"/>
    <n v="8.6"/>
    <n v="85"/>
    <n v="470"/>
    <n v="1"/>
    <n v="1"/>
    <n v="0"/>
    <n v="0"/>
    <m/>
    <m/>
    <m/>
    <m/>
    <m/>
    <m/>
  </r>
  <r>
    <n v="1261"/>
    <s v="RIVER SUBANSIRI AT GERUKAMUKH (BEFORE_x000a_CONFLUENCE WITH RIVER BRAHMAPUTRA)"/>
    <x v="12"/>
    <n v="22"/>
    <n v="23"/>
    <n v="6.2"/>
    <n v="8.3000000000000007"/>
    <n v="7"/>
    <n v="7.6"/>
    <n v="108"/>
    <n v="138"/>
    <n v="2"/>
    <n v="2.4"/>
    <n v="0.4"/>
    <n v="1.6"/>
    <n v="360"/>
    <n v="940"/>
    <n v="910"/>
    <n v="2100"/>
    <n v="120"/>
    <n v="290"/>
  </r>
  <r>
    <n v="3097"/>
    <s v="RIVER SUBANSIRI AT GERUKAMUKH"/>
    <x v="16"/>
    <n v="19"/>
    <n v="27.5"/>
    <n v="6.2"/>
    <n v="9.6"/>
    <n v="7"/>
    <n v="7.9"/>
    <n v="56"/>
    <n v="1012"/>
    <n v="1"/>
    <n v="1"/>
    <n v="0"/>
    <n v="0"/>
    <m/>
    <m/>
    <m/>
    <m/>
    <m/>
    <m/>
  </r>
  <r>
    <n v="3098"/>
    <s v="RIVER SIANG AT RANAGHAT, NEAR RCC BRIDGE,_x000a_PASIGHAT(U/S)"/>
    <x v="16"/>
    <n v="20"/>
    <n v="28.1"/>
    <n v="7.6"/>
    <n v="9.8000000000000007"/>
    <n v="7.4"/>
    <n v="9.3000000000000007"/>
    <n v="98"/>
    <n v="1579"/>
    <n v="1"/>
    <n v="1"/>
    <n v="0"/>
    <n v="0"/>
    <m/>
    <m/>
    <m/>
    <m/>
    <m/>
    <m/>
  </r>
  <r>
    <n v="4342"/>
    <s v="RIVER BARALIA (NEAR CHATPUJA GHAT) RANGIA,_x000a_KAMRUP"/>
    <x v="12"/>
    <n v="19"/>
    <n v="36"/>
    <n v="5.9"/>
    <n v="8.5"/>
    <n v="7.2"/>
    <n v="7.9"/>
    <n v="136"/>
    <n v="176"/>
    <n v="2.2000000000000002"/>
    <n v="2.7"/>
    <n v="0.6"/>
    <n v="1.4"/>
    <n v="620"/>
    <n v="1100"/>
    <n v="1100"/>
    <n v="2100"/>
    <n v="210"/>
    <n v="290"/>
  </r>
  <r>
    <n v="4343"/>
    <s v="RIVER BURALIA (NEAR BRIDGE ALONG NH-31) NALBARI"/>
    <x v="12"/>
    <n v="20"/>
    <n v="31"/>
    <n v="5.0999999999999996"/>
    <n v="9.5"/>
    <n v="7"/>
    <n v="8"/>
    <n v="116"/>
    <n v="140"/>
    <n v="2.1"/>
    <n v="2.6"/>
    <n v="0.5"/>
    <n v="1.8"/>
    <n v="600"/>
    <n v="910"/>
    <n v="1200"/>
    <n v="2000"/>
    <n v="160"/>
    <n v="290"/>
  </r>
  <r>
    <n v="2888"/>
    <s v="RIVER CHATHE AT BRIDGE NEAR CIHSR"/>
    <x v="13"/>
    <n v="21.3"/>
    <n v="36.799999999999997"/>
    <n v="6.3"/>
    <n v="8.8000000000000007"/>
    <n v="6.9"/>
    <n v="8.5"/>
    <n v="80"/>
    <n v="737"/>
    <n v="1.4"/>
    <n v="1.7"/>
    <n v="0.4"/>
    <n v="6.8"/>
    <m/>
    <m/>
    <m/>
    <m/>
    <m/>
    <m/>
  </r>
  <r>
    <n v="2891"/>
    <s v="DZUCHA RU"/>
    <x v="13"/>
    <n v="17.600000000000001"/>
    <n v="28"/>
    <n v="6.3"/>
    <n v="7.4"/>
    <n v="6.7"/>
    <n v="8.5"/>
    <n v="142"/>
    <n v="315"/>
    <n v="1.4"/>
    <n v="1.8"/>
    <n v="0.5"/>
    <n v="10.6"/>
    <m/>
    <m/>
    <m/>
    <m/>
    <m/>
    <m/>
  </r>
  <r>
    <n v="2889"/>
    <s v="DZUDZA RU BELOW HYDRO PROJECT STATION"/>
    <x v="13"/>
    <n v="15.6"/>
    <n v="29.2"/>
    <n v="6.8"/>
    <n v="7.5"/>
    <n v="6.5"/>
    <n v="8.6999999999999993"/>
    <n v="66"/>
    <n v="263"/>
    <n v="1.2"/>
    <n v="1.9"/>
    <n v="0.3"/>
    <n v="9.4"/>
    <m/>
    <m/>
    <m/>
    <m/>
    <m/>
    <m/>
  </r>
  <r>
    <n v="2892"/>
    <s v="KHA RU ADJOINING MUNICIPAL COUNCIL SWM SITE"/>
    <x v="13"/>
    <n v="17.5"/>
    <n v="28.9"/>
    <n v="6.2"/>
    <n v="7.4"/>
    <n v="6.5"/>
    <n v="8.3000000000000007"/>
    <n v="88"/>
    <n v="1343"/>
    <n v="1.4"/>
    <n v="1.9"/>
    <n v="0.3"/>
    <n v="3.3"/>
    <m/>
    <m/>
    <m/>
    <m/>
    <m/>
    <m/>
  </r>
  <r>
    <n v="2893"/>
    <s v="RIVER DZUCHA CONFLUENCE OF DZUCHA AND KHA RU"/>
    <x v="13"/>
    <n v="17.899999999999999"/>
    <n v="27.7"/>
    <n v="6.1"/>
    <n v="7.6"/>
    <n v="6.9"/>
    <n v="8.5"/>
    <n v="85"/>
    <n v="866"/>
    <n v="1.4"/>
    <n v="2.1"/>
    <n v="0.5"/>
    <n v="4.7"/>
    <m/>
    <m/>
    <m/>
    <m/>
    <m/>
    <m/>
  </r>
  <r>
    <n v="2228"/>
    <s v="GELA BEEL AT DERGAON, ASSAM"/>
    <x v="12"/>
    <n v="20"/>
    <n v="30"/>
    <n v="5"/>
    <n v="9.6"/>
    <n v="6.8"/>
    <n v="7.5"/>
    <n v="122"/>
    <n v="150"/>
    <n v="2"/>
    <n v="2.7"/>
    <n v="0.6"/>
    <n v="1.5"/>
    <n v="300"/>
    <n v="730"/>
    <n v="910"/>
    <n v="1500"/>
    <n v="120"/>
    <n v="240"/>
  </r>
  <r>
    <n v="4719"/>
    <s v="RIVER TORSA D/S OF GHUGHUMARI"/>
    <x v="7"/>
    <n v="15"/>
    <n v="28"/>
    <n v="6.3"/>
    <n v="8.9"/>
    <n v="7"/>
    <n v="7.9"/>
    <n v="83"/>
    <n v="155"/>
    <n v="1"/>
    <n v="2.8"/>
    <n v="0.3"/>
    <n v="0.66"/>
    <n v="1300"/>
    <n v="30000"/>
    <n v="3000"/>
    <n v="160000"/>
    <n v="14"/>
    <n v="140"/>
  </r>
  <r>
    <n v="4724"/>
    <s v="RIVER TORSA AT HASIMARA"/>
    <x v="7"/>
    <n v="18"/>
    <n v="27"/>
    <n v="7.3"/>
    <n v="8.9"/>
    <n v="7.2"/>
    <n v="7.8"/>
    <n v="60"/>
    <n v="131"/>
    <n v="1"/>
    <n v="2.7"/>
    <n v="0.3"/>
    <n v="0.49"/>
    <n v="2300"/>
    <n v="5000"/>
    <n v="7000"/>
    <n v="30000"/>
    <n v="12"/>
    <n v="1600"/>
  </r>
  <r>
    <n v="2238"/>
    <s v="RIVER BEKI AT NH-37 CROSSING AT BARPETA ROAD,_x000a_ASSAM"/>
    <x v="12"/>
    <n v="16"/>
    <n v="30"/>
    <n v="5.3"/>
    <n v="5.6"/>
    <n v="6.8"/>
    <n v="7.6"/>
    <n v="138"/>
    <n v="168"/>
    <n v="2"/>
    <n v="2.7"/>
    <n v="0.7"/>
    <n v="2.1"/>
    <n v="360"/>
    <n v="730"/>
    <n v="1100"/>
    <n v="1500"/>
    <n v="120"/>
    <n v="240"/>
  </r>
  <r>
    <n v="3108"/>
    <s v="RIVER BERENG AT CHOWKHAM"/>
    <x v="16"/>
    <n v="15.3"/>
    <n v="27.6"/>
    <n v="0.4"/>
    <n v="8.9"/>
    <n v="7.4"/>
    <n v="8.8000000000000007"/>
    <n v="105"/>
    <n v="204"/>
    <n v="1"/>
    <n v="1"/>
    <n v="0"/>
    <n v="0"/>
    <m/>
    <m/>
    <m/>
    <m/>
    <m/>
    <m/>
  </r>
  <r>
    <n v="1527"/>
    <s v="RIVER BHOGDOI AT JORHAT , ASSAM"/>
    <x v="12"/>
    <n v="21"/>
    <n v="33"/>
    <n v="5.2"/>
    <n v="8.5"/>
    <n v="6.6"/>
    <n v="7.3"/>
    <n v="140"/>
    <n v="258"/>
    <n v="1.9"/>
    <n v="2.5"/>
    <n v="0.6"/>
    <n v="1.4"/>
    <n v="360"/>
    <n v="910"/>
    <n v="910"/>
    <n v="2000"/>
    <n v="140"/>
    <n v="340"/>
  </r>
  <r>
    <n v="3769"/>
    <s v="RIVER BHOGDOI (PUJADUBI GHAT) INTAKE POINT OF_x000a_URBAN WATER SUPPLY, JORHAT"/>
    <x v="12"/>
    <n v="21"/>
    <n v="33"/>
    <n v="6"/>
    <n v="8"/>
    <n v="6.6"/>
    <n v="7.7"/>
    <n v="138"/>
    <n v="228"/>
    <n v="1.6"/>
    <n v="2.8"/>
    <n v="0.6"/>
    <n v="1.4"/>
    <n v="300"/>
    <n v="730"/>
    <n v="700"/>
    <n v="1100"/>
    <n v="110"/>
    <n v="280"/>
  </r>
  <r>
    <n v="1258"/>
    <s v="RIVER JHANJI AT N.H. CROSSING JORHAT, ASSAM"/>
    <x v="12"/>
    <n v="19"/>
    <n v="32"/>
    <n v="5.5"/>
    <n v="8.1"/>
    <n v="6.6"/>
    <n v="7.4"/>
    <n v="110"/>
    <n v="132"/>
    <n v="2.1"/>
    <n v="2.6"/>
    <n v="0.6"/>
    <n v="1.4"/>
    <n v="300"/>
    <n v="360"/>
    <n v="720"/>
    <n v="2100"/>
    <n v="110"/>
    <n v="340"/>
  </r>
  <r>
    <n v="2063"/>
    <s v="RIVER JIA BHARALI AT BISWANATH CHARALI, SONITPUR"/>
    <x v="12"/>
    <n v="18"/>
    <n v="25"/>
    <n v="6.8"/>
    <n v="7"/>
    <n v="7"/>
    <n v="7.5"/>
    <n v="126"/>
    <n v="142"/>
    <n v="2"/>
    <n v="2.5"/>
    <n v="0.7"/>
    <n v="1.8"/>
    <n v="360"/>
    <n v="730"/>
    <n v="910"/>
    <n v="2000"/>
    <n v="120"/>
    <n v="290"/>
  </r>
  <r>
    <n v="2239"/>
    <s v="RIVER SANKOSH DHUBRI, ASSAM"/>
    <x v="12"/>
    <n v="21"/>
    <n v="33"/>
    <n v="5.2"/>
    <n v="5.4"/>
    <n v="6.9"/>
    <n v="7.7"/>
    <n v="126"/>
    <n v="152"/>
    <n v="2"/>
    <n v="2.5"/>
    <n v="0.6"/>
    <n v="1.8"/>
    <n v="300"/>
    <n v="910"/>
    <n v="620"/>
    <n v="2000"/>
    <n v="96"/>
    <n v="290"/>
  </r>
  <r>
    <n v="2890"/>
    <s v="SANUO RU BELOW NEW SECRETARIAT"/>
    <x v="13"/>
    <n v="17.399999999999999"/>
    <n v="26.1"/>
    <n v="6.3"/>
    <n v="7.5"/>
    <n v="6.5"/>
    <n v="9"/>
    <n v="152"/>
    <n v="754"/>
    <n v="1.4"/>
    <n v="2"/>
    <n v="0.3"/>
    <n v="4.8"/>
    <m/>
    <m/>
    <m/>
    <m/>
    <m/>
    <m/>
  </r>
  <r>
    <n v="2233"/>
    <s v="RIVER BOGINADI NEAR BRIDGE NH-52, LAKHIMPUR,_x000a_ASSAM"/>
    <x v="12"/>
    <n v="19"/>
    <n v="32"/>
    <n v="5.5"/>
    <n v="6.3"/>
    <n v="7.2"/>
    <n v="7.9"/>
    <n v="112"/>
    <n v="136"/>
    <n v="2"/>
    <n v="2.4"/>
    <n v="0.5"/>
    <n v="2"/>
    <n v="620"/>
    <n v="930"/>
    <n v="1300"/>
    <n v="2000"/>
    <n v="210"/>
    <n v="290"/>
  </r>
  <r>
    <n v="3372"/>
    <s v="RIVER RILANG AT MAWKYRWAT,"/>
    <x v="17"/>
    <n v="14"/>
    <n v="19"/>
    <n v="7.3"/>
    <n v="8.8000000000000007"/>
    <n v="6.8"/>
    <n v="7.2"/>
    <n v="30"/>
    <n v="39"/>
    <n v="1"/>
    <n v="1.1000000000000001"/>
    <n v="0.32"/>
    <n v="0.41"/>
    <n v="2"/>
    <n v="2"/>
    <n v="24"/>
    <n v="64"/>
    <n v="2"/>
    <n v="2"/>
  </r>
  <r>
    <n v="3377"/>
    <s v="RIVER MYNTANG AT NARTIANG"/>
    <x v="17"/>
    <n v="12"/>
    <n v="20"/>
    <n v="6.6"/>
    <n v="8.1999999999999993"/>
    <n v="6.8"/>
    <n v="7.1"/>
    <n v="34"/>
    <n v="45"/>
    <n v="1.3"/>
    <n v="2.2999999999999998"/>
    <n v="0.32"/>
    <n v="5.37"/>
    <n v="2"/>
    <n v="48"/>
    <n v="230"/>
    <n v="540"/>
    <n v="2"/>
    <n v="14"/>
  </r>
  <r>
    <n v="3378"/>
    <s v="RIVER MYNTANG AT MYNSO"/>
    <x v="17"/>
    <n v="10"/>
    <n v="20"/>
    <n v="7.1"/>
    <n v="8.6999999999999993"/>
    <n v="6.7"/>
    <n v="7.1"/>
    <n v="36"/>
    <n v="46"/>
    <n v="1"/>
    <n v="1.5"/>
    <n v="0.34"/>
    <n v="5.41"/>
    <n v="2"/>
    <n v="6"/>
    <n v="23"/>
    <n v="49"/>
    <n v="2"/>
    <n v="2"/>
  </r>
  <r>
    <n v="3380"/>
    <s v="RIVER DAMRING (KRISHNAI RIVER) AT RESUBELPARA"/>
    <x v="17"/>
    <n v="15"/>
    <n v="22"/>
    <n v="7"/>
    <n v="7.9"/>
    <n v="6.9"/>
    <n v="7.6"/>
    <n v="58"/>
    <n v="76"/>
    <n v="1.3"/>
    <n v="2.1"/>
    <n v="0.32"/>
    <n v="0.5"/>
    <n v="12"/>
    <n v="63"/>
    <n v="350"/>
    <n v="700"/>
    <n v="2"/>
    <n v="21"/>
  </r>
  <r>
    <n v="3381"/>
    <s v="RIVER MANDA (DUDHNOI RIVER) AT JAMGE,"/>
    <x v="17"/>
    <n v="15"/>
    <n v="22"/>
    <n v="6.6"/>
    <n v="7.6"/>
    <n v="6.6"/>
    <n v="6.9"/>
    <n v="60"/>
    <n v="74"/>
    <n v="1.5"/>
    <n v="2.5"/>
    <n v="0.32"/>
    <n v="0.54"/>
    <n v="23"/>
    <n v="120"/>
    <n v="310"/>
    <n v="790"/>
    <n v="2"/>
    <n v="30"/>
  </r>
  <r>
    <n v="3382"/>
    <s v="RIVER MANDA (DUDHNOI RIVER) AT WAGEASI"/>
    <x v="17"/>
    <n v="15"/>
    <n v="22"/>
    <n v="7"/>
    <n v="7.6"/>
    <n v="7"/>
    <n v="7.5"/>
    <n v="57"/>
    <n v="77"/>
    <n v="1.5"/>
    <n v="2.2999999999999998"/>
    <n v="0.32"/>
    <n v="0.45"/>
    <n v="12"/>
    <n v="110"/>
    <n v="310"/>
    <n v="630"/>
    <n v="2"/>
    <n v="27"/>
  </r>
  <r>
    <n v="2050"/>
    <s v="RIVER TLAWNG MID STREAM, REIEK KAI, AIZAWL,U/S_x000a_OF TLAWNG BRIDGE"/>
    <x v="18"/>
    <n v="19"/>
    <n v="25"/>
    <n v="5.0999999999999996"/>
    <n v="8.1999999999999993"/>
    <n v="7.3"/>
    <n v="8.4"/>
    <n v="102"/>
    <n v="367"/>
    <n v="1"/>
    <n v="1.3"/>
    <n v="0.02"/>
    <n v="0.56999999999999995"/>
    <n v="2"/>
    <n v="150"/>
    <n v="210"/>
    <n v="2400"/>
    <n v="17"/>
    <n v="17"/>
  </r>
  <r>
    <n v="2051"/>
    <s v="RIVER TLAWNG MID STREAM, REIEK KAI, AIZAWL,D/S OF_x000a_TLAWNG BRIDGE"/>
    <x v="18"/>
    <n v="19"/>
    <n v="25"/>
    <n v="5.3"/>
    <n v="8.4"/>
    <n v="7.3"/>
    <n v="8.3000000000000007"/>
    <n v="110"/>
    <n v="364"/>
    <n v="1"/>
    <n v="1.5"/>
    <n v="0.02"/>
    <n v="0.6"/>
    <n v="2"/>
    <n v="150"/>
    <n v="210"/>
    <n v="2400"/>
    <n v="17"/>
    <n v="17"/>
  </r>
  <r>
    <n v="2053"/>
    <s v="RIVER TUIRIAL MID STREAM, TUIRIAL VILLAGE,D/S OF_x000a_TUIRIAL BRIDGE"/>
    <x v="18"/>
    <n v="19"/>
    <n v="24"/>
    <n v="4.2"/>
    <n v="8.3000000000000007"/>
    <n v="6.7"/>
    <n v="8.4"/>
    <n v="145"/>
    <n v="428"/>
    <n v="1"/>
    <n v="1.2"/>
    <n v="0.02"/>
    <n v="1.08"/>
    <n v="3"/>
    <n v="240"/>
    <n v="1100"/>
    <n v="2400"/>
    <n v="21"/>
    <n v="21"/>
  </r>
  <r>
    <n v="3709"/>
    <s v="RIVER TLAWNG SAIRANG"/>
    <x v="18"/>
    <n v="19"/>
    <n v="26"/>
    <n v="5.7"/>
    <n v="10.6"/>
    <n v="7.2"/>
    <n v="8.6"/>
    <n v="131"/>
    <n v="329"/>
    <n v="1"/>
    <n v="1.8"/>
    <n v="0.02"/>
    <n v="4.88"/>
    <n v="2"/>
    <n v="240"/>
    <n v="1100"/>
    <n v="2400"/>
    <n v="23"/>
    <n v="23"/>
  </r>
  <r>
    <n v="3754"/>
    <s v="RIVER TLAWNG D/S, RIMAWI VENG, BAIRABI,KOLASIB_x000a_DIST."/>
    <x v="18"/>
    <n v="11"/>
    <n v="25"/>
    <n v="5.5"/>
    <n v="10"/>
    <n v="6.8"/>
    <n v="7.9"/>
    <n v="148"/>
    <n v="280"/>
    <n v="1"/>
    <n v="1.6"/>
    <n v="0.02"/>
    <n v="2.4"/>
    <m/>
    <m/>
    <m/>
    <m/>
    <m/>
    <m/>
  </r>
  <r>
    <n v="4121"/>
    <s v="RIVER TLAWNG D/S,SUARPUI, BAIRABI HEPP DAM SITE,_x000a_BAIRABI,KOLASIB DIST."/>
    <x v="18"/>
    <n v="10"/>
    <n v="25"/>
    <n v="5.4"/>
    <n v="7.5"/>
    <n v="6.8"/>
    <n v="8.1"/>
    <n v="107"/>
    <n v="265"/>
    <n v="1"/>
    <n v="1.4"/>
    <n v="0.02"/>
    <n v="1.8"/>
    <m/>
    <m/>
    <m/>
    <m/>
    <m/>
    <m/>
  </r>
  <r>
    <n v="3734"/>
    <s v="RIVER TLAWNG U/S, ZOBAWK VILLAGE, LUNGLEI DIST."/>
    <x v="18"/>
    <n v="14"/>
    <n v="26"/>
    <n v="6.9"/>
    <n v="9.6"/>
    <n v="6.1"/>
    <n v="7.2"/>
    <n v="36"/>
    <n v="214"/>
    <n v="1"/>
    <n v="1.4"/>
    <n v="0.02"/>
    <n v="5.28"/>
    <m/>
    <m/>
    <m/>
    <m/>
    <m/>
    <m/>
  </r>
  <r>
    <n v="3736"/>
    <s v="RIVER TLAWNG U/S, PIALTHLENG ZOTLANG, LUNGLEI"/>
    <x v="18"/>
    <n v="20"/>
    <n v="28"/>
    <n v="6.2"/>
    <n v="9.1999999999999993"/>
    <n v="7.3"/>
    <n v="8"/>
    <n v="77"/>
    <n v="225"/>
    <n v="1.1000000000000001"/>
    <n v="1.3"/>
    <n v="0.02"/>
    <n v="0.96"/>
    <m/>
    <m/>
    <m/>
    <m/>
    <m/>
    <m/>
  </r>
  <r>
    <n v="3710"/>
    <s v="RIVER, SERLUI STREAM, REIEK KAI,_x000a_NEAR PHE WATER TREATMENT PLANT, AIZAWL"/>
    <x v="18"/>
    <n v="18"/>
    <n v="24"/>
    <n v="5.7"/>
    <n v="8.1999999999999993"/>
    <n v="7.3"/>
    <n v="8.5"/>
    <n v="18"/>
    <n v="422"/>
    <n v="1"/>
    <n v="1.3"/>
    <n v="0.02"/>
    <n v="31.02"/>
    <m/>
    <m/>
    <m/>
    <m/>
    <m/>
    <m/>
  </r>
  <r>
    <n v="3711"/>
    <s v="VAIPUANPHO STREAM, AILAWNG, MAMIT DIST."/>
    <x v="18"/>
    <n v="20"/>
    <n v="24"/>
    <n v="4.9000000000000004"/>
    <n v="8.1999999999999993"/>
    <n v="7.2"/>
    <n v="8.1"/>
    <n v="38"/>
    <n v="126"/>
    <n v="1"/>
    <n v="1.3"/>
    <n v="0.02"/>
    <n v="0.92"/>
    <m/>
    <m/>
    <m/>
    <m/>
    <m/>
    <m/>
  </r>
  <r>
    <n v="3712"/>
    <s v="TUIKUAL STREAM, D/S, REIEK KAI, NEAR PHE WATER_x000a_TREATMENT PLANT, AIZAWL"/>
    <x v="18"/>
    <n v="19"/>
    <n v="25"/>
    <n v="3.9"/>
    <n v="8.1999999999999993"/>
    <n v="7.6"/>
    <n v="8.4"/>
    <n v="113"/>
    <n v="359"/>
    <n v="1"/>
    <n v="5.5"/>
    <n v="0.02"/>
    <n v="1.42"/>
    <n v="2"/>
    <n v="210"/>
    <n v="210"/>
    <n v="2400"/>
    <n v="26"/>
    <n v="26"/>
  </r>
  <r>
    <n v="3713"/>
    <s v="SAKHISIH STREAM,_x000a_MISSION VENGTHLANG, AIZAWL"/>
    <x v="18"/>
    <n v="15"/>
    <n v="24"/>
    <n v="4.0999999999999996"/>
    <n v="6.9"/>
    <n v="5.6"/>
    <n v="8.1"/>
    <n v="182"/>
    <n v="746"/>
    <n v="1"/>
    <n v="2.9"/>
    <n v="0.02"/>
    <n v="10.92"/>
    <m/>
    <m/>
    <m/>
    <m/>
    <m/>
    <m/>
  </r>
  <r>
    <n v="3714"/>
    <s v="RIVER TUIRIAL UPSTREAM, SUMSUIH,AIZAWL DIST"/>
    <x v="18"/>
    <n v="11"/>
    <n v="22"/>
    <n v="6.6"/>
    <n v="7.8"/>
    <n v="6"/>
    <n v="7.6"/>
    <n v="24"/>
    <n v="280"/>
    <n v="1"/>
    <n v="1.8"/>
    <n v="0.02"/>
    <n v="1.3"/>
    <m/>
    <m/>
    <m/>
    <m/>
    <m/>
    <m/>
  </r>
  <r>
    <n v="3715"/>
    <s v="RIVER TUIRIAL MID STREAM, AIRFIELD, U/S OF TUIRIAL_x000a_WASTE MANAGEMENT CENTRE,AIZAWL DIST."/>
    <x v="18"/>
    <n v="19"/>
    <n v="24"/>
    <n v="4.2"/>
    <n v="8.1"/>
    <n v="7.4"/>
    <n v="8.4"/>
    <n v="143"/>
    <n v="413"/>
    <n v="1"/>
    <n v="1.4"/>
    <n v="0.02"/>
    <n v="5.32"/>
    <m/>
    <m/>
    <m/>
    <m/>
    <m/>
    <m/>
  </r>
  <r>
    <n v="4118"/>
    <s v="RIVER TUIRIAL D/S, HEPP DAM, SAIPUM, KOLASIB DIST."/>
    <x v="18"/>
    <n v="19"/>
    <n v="36"/>
    <n v="5.3"/>
    <n v="9.1"/>
    <n v="6.9"/>
    <n v="7.5"/>
    <n v="81"/>
    <n v="119"/>
    <n v="1"/>
    <n v="1.4"/>
    <n v="0.02"/>
    <n v="0.78"/>
    <m/>
    <m/>
    <m/>
    <m/>
    <m/>
    <m/>
  </r>
  <r>
    <n v="3717"/>
    <s v="RIVER TUIRIAL MID STREAM, AIRFIELD, D/S OF TUIRIAL_x000a_WASTE MANAGEMENT CENTRE,AIZAWL DIST"/>
    <x v="18"/>
    <n v="19"/>
    <n v="24"/>
    <n v="4.0999999999999996"/>
    <n v="8.1999999999999993"/>
    <n v="7.5"/>
    <n v="8.5"/>
    <n v="167"/>
    <n v="480"/>
    <n v="1"/>
    <n v="1.4"/>
    <n v="0.02"/>
    <n v="1.63"/>
    <m/>
    <m/>
    <m/>
    <m/>
    <m/>
    <m/>
  </r>
  <r>
    <n v="2052"/>
    <s v="RIVER TUIRIAL MID STREAM, TUIRIAL VILLAGE,U/S OF_x000a_TUIRIAL BRIDGE"/>
    <x v="18"/>
    <n v="19"/>
    <n v="24"/>
    <n v="4"/>
    <n v="8"/>
    <n v="6.5"/>
    <n v="8.4"/>
    <n v="149"/>
    <n v="405"/>
    <n v="1"/>
    <n v="1.3"/>
    <n v="0.02"/>
    <n v="1.46"/>
    <n v="3"/>
    <n v="240"/>
    <n v="1100"/>
    <n v="2400"/>
    <n v="21"/>
    <n v="21"/>
  </r>
  <r>
    <n v="3716"/>
    <s v="DAMDIAI STREAM, AIRFIELD,NEAR TUIRIAL WASTE_x000a_MANAGEMENT CENTRE,AIZAWL DIST"/>
    <x v="18"/>
    <n v="19"/>
    <n v="24"/>
    <n v="5.0999999999999996"/>
    <n v="9"/>
    <n v="7.7"/>
    <n v="8.4"/>
    <n v="119"/>
    <n v="320"/>
    <n v="1"/>
    <n v="1.6"/>
    <n v="0.02"/>
    <n v="0.86"/>
    <m/>
    <m/>
    <m/>
    <m/>
    <m/>
    <m/>
  </r>
  <r>
    <n v="3718"/>
    <s v="CHITE STREAM, ARMED VENG,_x000a_NEAR MINI SPORTS COMPLEX, AIZAWL"/>
    <x v="18"/>
    <n v="20"/>
    <n v="24"/>
    <n v="1.5"/>
    <n v="7.1"/>
    <n v="7.3"/>
    <n v="8.1999999999999993"/>
    <n v="371"/>
    <n v="914"/>
    <n v="1.2"/>
    <n v="29"/>
    <n v="0.02"/>
    <n v="18"/>
    <n v="2"/>
    <n v="1100"/>
    <n v="1600"/>
    <n v="2400"/>
    <n v="240"/>
    <n v="240"/>
  </r>
  <r>
    <n v="3719"/>
    <s v="TUIRINI RIVER, SELING, SAITUAL DIST"/>
    <x v="18"/>
    <n v="16"/>
    <n v="26"/>
    <n v="7.5"/>
    <n v="9.8000000000000007"/>
    <n v="6.8"/>
    <n v="8"/>
    <n v="93"/>
    <n v="217"/>
    <n v="1"/>
    <n v="1.5"/>
    <n v="0.02"/>
    <n v="1.3"/>
    <m/>
    <m/>
    <m/>
    <m/>
    <m/>
    <m/>
  </r>
  <r>
    <n v="3720"/>
    <s v="TUIVAWL RIVER, KEIFANG VILLAGE, NEAR TUIVAWL_x000a_BRIDGE,SAITUAL DIST"/>
    <x v="18"/>
    <n v="16"/>
    <n v="26"/>
    <n v="6.8"/>
    <n v="9.9"/>
    <n v="6.6"/>
    <n v="7.7"/>
    <n v="97"/>
    <n v="215"/>
    <n v="1"/>
    <n v="1.4"/>
    <n v="0.02"/>
    <n v="0.59"/>
    <m/>
    <m/>
    <m/>
    <m/>
    <m/>
    <m/>
  </r>
  <r>
    <n v="3721"/>
    <s v="LAWIBUAL STREAM,_x000a_I.T.I VENG, AIZAWL"/>
    <x v="18"/>
    <n v="18"/>
    <n v="24"/>
    <n v="0.3"/>
    <n v="6.9"/>
    <n v="5.6"/>
    <n v="8.1999999999999993"/>
    <n v="166"/>
    <n v="855"/>
    <n v="1"/>
    <n v="14.3"/>
    <n v="0.02"/>
    <n v="8.1999999999999993"/>
    <n v="3"/>
    <n v="210"/>
    <n v="2400"/>
    <n v="2400"/>
    <m/>
    <m/>
  </r>
  <r>
    <n v="3724"/>
    <s v="CHALLUI STREAM, LENGPUI, AIZAWL DIST"/>
    <x v="18"/>
    <n v="18"/>
    <n v="24"/>
    <n v="5.9"/>
    <n v="9.6"/>
    <n v="6.7"/>
    <n v="8.1"/>
    <n v="104"/>
    <n v="259"/>
    <n v="1"/>
    <n v="1.6"/>
    <n v="0.02"/>
    <n v="1.1399999999999999"/>
    <m/>
    <m/>
    <m/>
    <m/>
    <m/>
    <m/>
  </r>
  <r>
    <n v="3735"/>
    <s v="MAT RIVER, DAWN VILLAGE, NEAR MAT_x000a_BRIDGE,LUNGLEI DIST."/>
    <x v="18"/>
    <n v="15"/>
    <n v="26"/>
    <n v="6"/>
    <n v="10.5"/>
    <n v="5.7"/>
    <n v="7.5"/>
    <n v="37"/>
    <n v="1209"/>
    <n v="1"/>
    <n v="1.5"/>
    <n v="0.02"/>
    <n v="8.4499999999999993"/>
    <m/>
    <m/>
    <m/>
    <m/>
    <m/>
    <m/>
  </r>
  <r>
    <n v="3740"/>
    <s v="SAIKAH STREAM, LAWNGTLAI"/>
    <x v="18"/>
    <n v="21"/>
    <n v="25"/>
    <n v="5"/>
    <n v="7.2"/>
    <n v="6.5"/>
    <n v="7.6"/>
    <n v="60"/>
    <n v="479"/>
    <n v="1"/>
    <n v="1.5"/>
    <n v="0.02"/>
    <n v="1.55"/>
    <m/>
    <m/>
    <m/>
    <m/>
    <m/>
    <m/>
  </r>
  <r>
    <n v="3744"/>
    <s v="CHHIMTUIPUI RIVER, KAWLCHAW, NEAR CHHIMTUPUI_x000a_BRIDGE, SAIHA DIST."/>
    <x v="18"/>
    <n v="15"/>
    <n v="34"/>
    <n v="6"/>
    <n v="8.9"/>
    <n v="6.8"/>
    <n v="8"/>
    <n v="99"/>
    <n v="557"/>
    <n v="1"/>
    <n v="1.4"/>
    <n v="0.02"/>
    <n v="2.35"/>
    <m/>
    <m/>
    <m/>
    <m/>
    <m/>
    <m/>
  </r>
  <r>
    <n v="3746"/>
    <s v="TUIKUM RIVER,_x000a_NEAR PHE WATER TREATMENT PLANT, SERCHHIP"/>
    <x v="18"/>
    <n v="14"/>
    <n v="25"/>
    <n v="5.7"/>
    <n v="8.1999999999999993"/>
    <n v="6.3"/>
    <n v="7.8"/>
    <n v="69"/>
    <n v="306"/>
    <n v="1"/>
    <n v="1.5"/>
    <n v="0.02"/>
    <n v="1.06"/>
    <m/>
    <m/>
    <m/>
    <m/>
    <m/>
    <m/>
  </r>
  <r>
    <n v="3747"/>
    <s v="SESAH STREAM, DINTHAR, SERCHHIP"/>
    <x v="18"/>
    <n v="13"/>
    <n v="24"/>
    <n v="6.7"/>
    <n v="9.1999999999999993"/>
    <n v="6.9"/>
    <n v="7.9"/>
    <n v="75"/>
    <n v="232"/>
    <n v="1"/>
    <n v="1.4"/>
    <n v="0.02"/>
    <n v="0.7"/>
    <m/>
    <m/>
    <m/>
    <m/>
    <m/>
    <m/>
  </r>
  <r>
    <n v="3749"/>
    <s v="RIVER PHE RESERVIOR (LAHMUN RIVER), MIZO VENG,_x000a_MAMIT"/>
    <x v="18"/>
    <n v="17"/>
    <n v="23"/>
    <n v="6.6"/>
    <n v="7.9"/>
    <n v="7.2"/>
    <n v="8.1999999999999993"/>
    <n v="72"/>
    <n v="212"/>
    <n v="1"/>
    <n v="1.6"/>
    <n v="0.02"/>
    <n v="0.92"/>
    <m/>
    <m/>
    <m/>
    <m/>
    <m/>
    <m/>
  </r>
  <r>
    <n v="3750"/>
    <s v="RIVER TEIREI BAWNGVA, MAMIT DIST."/>
    <x v="18"/>
    <n v="16"/>
    <n v="25"/>
    <n v="6"/>
    <n v="8.6"/>
    <n v="7.1"/>
    <n v="8"/>
    <n v="148"/>
    <n v="273"/>
    <n v="1"/>
    <n v="1.4"/>
    <n v="0.02"/>
    <n v="1.95"/>
    <m/>
    <m/>
    <m/>
    <m/>
    <m/>
    <m/>
  </r>
  <r>
    <n v="3751"/>
    <s v="RIVER TUT DAPCHHUAH, MAMIT DIST."/>
    <x v="18"/>
    <n v="15"/>
    <n v="25"/>
    <n v="7.7"/>
    <n v="8.8000000000000007"/>
    <n v="6.4"/>
    <n v="8.1"/>
    <n v="109"/>
    <n v="673"/>
    <n v="1"/>
    <n v="1.5"/>
    <n v="0.02"/>
    <n v="2.48"/>
    <m/>
    <m/>
    <m/>
    <m/>
    <m/>
    <m/>
  </r>
  <r>
    <n v="3752"/>
    <s v="RIVER TUICHHUAHEN STREAM,_x000a_NEAR PHE WATER TREATMENT PLANT, KOLASIB"/>
    <x v="18"/>
    <n v="16"/>
    <n v="23"/>
    <n v="6.6"/>
    <n v="8.4"/>
    <n v="6"/>
    <n v="7.7"/>
    <n v="70"/>
    <n v="668"/>
    <n v="1"/>
    <n v="1.4"/>
    <n v="0.02"/>
    <n v="2.25"/>
    <m/>
    <m/>
    <m/>
    <m/>
    <m/>
    <m/>
  </r>
  <r>
    <n v="3756"/>
    <s v="RIVER TIAU, ZOKHAWTHAR,_x000a_NEAR TIAU BRIDGE,CHAMPHAI DIST."/>
    <x v="18"/>
    <n v="17"/>
    <n v="23"/>
    <n v="5.0999999999999996"/>
    <n v="9.1999999999999993"/>
    <n v="7.2"/>
    <n v="8.4"/>
    <n v="137"/>
    <n v="643"/>
    <n v="1"/>
    <n v="1.2"/>
    <n v="0.02"/>
    <n v="6.02"/>
    <m/>
    <m/>
    <m/>
    <m/>
    <m/>
    <m/>
  </r>
  <r>
    <n v="3757"/>
    <s v="RIVER TUIPUI NEAR PHE WATER TREATMENT PLANT,_x000a_CHAMPHAI DIST."/>
    <x v="18"/>
    <n v="17"/>
    <n v="22"/>
    <n v="5.0999999999999996"/>
    <n v="7.8"/>
    <n v="6.4"/>
    <n v="7.9"/>
    <n v="73"/>
    <n v="194"/>
    <n v="1"/>
    <n v="5.6"/>
    <n v="0.02"/>
    <n v="1.31"/>
    <m/>
    <m/>
    <m/>
    <m/>
    <m/>
    <m/>
  </r>
  <r>
    <n v="5500"/>
    <s v="RIVER LEIMAKHONG NEAR KANTO AWANG LEIKAI"/>
    <x v="14"/>
    <n v="19"/>
    <n v="29"/>
    <n v="7.1"/>
    <n v="7.3"/>
    <n v="7.1"/>
    <n v="7.3"/>
    <n v="95"/>
    <n v="240"/>
    <n v="3.2"/>
    <n v="3.5"/>
    <n v="0"/>
    <n v="0"/>
    <n v="50"/>
    <n v="75"/>
    <n v="75"/>
    <n v="190"/>
    <m/>
    <m/>
  </r>
  <r>
    <n v="5501"/>
    <s v="TUPUL RIVER AT TUPUL BRIDGE, NONEY"/>
    <x v="14"/>
    <n v="18"/>
    <n v="20"/>
    <n v="7.2"/>
    <n v="7.4"/>
    <n v="7.2"/>
    <n v="7.4"/>
    <n v="290"/>
    <n v="320"/>
    <n v="3"/>
    <n v="3.1"/>
    <n v="0"/>
    <n v="0"/>
    <n v="20"/>
    <n v="35"/>
    <n v="50"/>
    <n v="65"/>
    <m/>
    <m/>
  </r>
  <r>
    <n v="5502"/>
    <s v="RIVER KONGBA AT IRONG"/>
    <x v="14"/>
    <n v="18.2"/>
    <n v="29"/>
    <n v="7"/>
    <n v="7.3"/>
    <n v="7"/>
    <n v="7.8"/>
    <n v="120"/>
    <n v="215"/>
    <n v="3.2"/>
    <n v="3.4"/>
    <n v="0"/>
    <n v="0"/>
    <n v="125"/>
    <n v="170"/>
    <n v="245"/>
    <n v="315"/>
    <m/>
    <m/>
  </r>
  <r>
    <n v="5503"/>
    <s v="RIVER KONGBA AT IRANPHAM"/>
    <x v="14"/>
    <n v="20"/>
    <n v="29"/>
    <n v="6.8"/>
    <n v="7.3"/>
    <n v="6.8"/>
    <n v="7.4"/>
    <n v="180"/>
    <n v="498"/>
    <n v="3.3"/>
    <n v="3.5"/>
    <n v="0"/>
    <n v="0"/>
    <n v="170"/>
    <n v="300"/>
    <n v="335"/>
    <n v="465"/>
    <m/>
    <m/>
  </r>
  <r>
    <n v="4110"/>
    <s v="RIVER NONGAL AT NANGALBIBRA"/>
    <x v="17"/>
    <n v="15"/>
    <n v="23"/>
    <n v="6.9"/>
    <n v="7.7"/>
    <n v="4"/>
    <n v="4.5"/>
    <n v="130"/>
    <n v="154"/>
    <n v="1.3"/>
    <n v="2"/>
    <n v="0.32"/>
    <n v="0.49"/>
    <n v="9"/>
    <n v="43"/>
    <n v="350"/>
    <n v="630"/>
    <n v="2"/>
    <n v="13"/>
  </r>
  <r>
    <n v="4113"/>
    <s v="RIVER DAMRING AT BOLDAMGRE"/>
    <x v="17"/>
    <n v="16"/>
    <n v="22"/>
    <n v="7"/>
    <n v="7.4"/>
    <n v="7"/>
    <n v="8"/>
    <n v="65"/>
    <n v="769"/>
    <n v="1.3"/>
    <n v="2.1"/>
    <n v="0.34"/>
    <n v="0.55000000000000004"/>
    <n v="9"/>
    <n v="49"/>
    <n v="330"/>
    <n v="630"/>
    <n v="4"/>
    <n v="17"/>
  </r>
  <r>
    <n v="4114"/>
    <s v="RIVER CHITE STREAM, NEAR SIPMIU'S STP,_x000a_BETHLEHEM VENGTHLANG, AIZAWL"/>
    <x v="18"/>
    <n v="20"/>
    <n v="24"/>
    <n v="2.2000000000000002"/>
    <n v="7.4"/>
    <n v="7.2"/>
    <n v="8.1999999999999993"/>
    <n v="505"/>
    <n v="994"/>
    <n v="1.2"/>
    <n v="29"/>
    <n v="0.02"/>
    <n v="14.31"/>
    <n v="9"/>
    <n v="170"/>
    <n v="1600"/>
    <n v="2400"/>
    <n v="240"/>
    <n v="240"/>
  </r>
  <r>
    <n v="4115"/>
    <s v="RIVER TUIKUAL STREAM, U/S,_x000a_MIZORAM NEW CAPITAL COMPLEX , DINTHAR, AIZAWL"/>
    <x v="18"/>
    <n v="16"/>
    <n v="26"/>
    <n v="0.3"/>
    <n v="5.4"/>
    <n v="6.9"/>
    <n v="8"/>
    <n v="76"/>
    <n v="1020"/>
    <n v="2.2000000000000002"/>
    <n v="29.1"/>
    <n v="0.02"/>
    <n v="8.73"/>
    <n v="2"/>
    <n v="1100"/>
    <n v="1100"/>
    <n v="2400"/>
    <n v="26"/>
    <n v="26"/>
  </r>
  <r>
    <n v="4118"/>
    <s v="RIVER TUIRIAL D/S, HEPP DAM, SAIPUM, KOLASIB DIST."/>
    <x v="18"/>
    <n v="19"/>
    <n v="36"/>
    <n v="5.3"/>
    <n v="9.1"/>
    <n v="6.9"/>
    <n v="7.5"/>
    <n v="81"/>
    <n v="119"/>
    <n v="1"/>
    <n v="1.4"/>
    <n v="0.02"/>
    <n v="0.78"/>
    <m/>
    <m/>
    <m/>
    <m/>
    <m/>
    <m/>
  </r>
  <r>
    <n v="4119"/>
    <s v="RIVER SERLUI D/S, SERLUI 'B' HEPP DAM,_x000a_BILKHAWTHLIR, KOLASIB DIST."/>
    <x v="18"/>
    <n v="19"/>
    <n v="38"/>
    <n v="5.8"/>
    <n v="9.1"/>
    <n v="6.3"/>
    <n v="7.3"/>
    <n v="93"/>
    <n v="331"/>
    <n v="1"/>
    <n v="1.4"/>
    <n v="0.02"/>
    <n v="0.76"/>
    <m/>
    <m/>
    <m/>
    <m/>
    <m/>
    <m/>
  </r>
  <r>
    <n v="4120"/>
    <s v="RIVER TEIREI D/S_x000a_NR CONFLUENCE PT WITH TLAWNG RIVER, SAPMARA,_x000a_BAIRABI,KOLASIB DIST."/>
    <x v="18"/>
    <n v="10"/>
    <n v="25"/>
    <n v="5.4"/>
    <n v="7.1"/>
    <n v="6.4"/>
    <n v="8.4"/>
    <n v="92"/>
    <n v="453"/>
    <n v="1"/>
    <n v="1.4"/>
    <n v="0.02"/>
    <n v="1.9"/>
    <m/>
    <m/>
    <m/>
    <m/>
    <m/>
    <m/>
  </r>
  <r>
    <n v="4122"/>
    <s v="RIVER KHAWTHLANGTUIPUI ,TLABUNG, LUNGLEI DIST."/>
    <x v="18"/>
    <n v="20"/>
    <n v="28"/>
    <n v="5.4"/>
    <n v="9.6999999999999993"/>
    <n v="6.7"/>
    <n v="7.6"/>
    <n v="46"/>
    <n v="272"/>
    <n v="1"/>
    <n v="1.4"/>
    <n v="0.02"/>
    <n v="0.77"/>
    <m/>
    <m/>
    <m/>
    <m/>
    <m/>
    <m/>
  </r>
  <r>
    <n v="4123"/>
    <s v="RIVER, TUIPUI D DARZOKAI, HNAHTHIAL DIST."/>
    <x v="18"/>
    <n v="17"/>
    <n v="30"/>
    <n v="5.8"/>
    <n v="12.7"/>
    <n v="6.8"/>
    <n v="8.1"/>
    <n v="51"/>
    <n v="233"/>
    <n v="1"/>
    <n v="1.4"/>
    <n v="0.02"/>
    <n v="0.83"/>
    <m/>
    <m/>
    <m/>
    <m/>
    <m/>
    <m/>
  </r>
  <r>
    <n v="4125"/>
    <s v="RIVER TUIPUI U/S,_x000a_NR CONFLUENCE PT KEILUNGLIAH STREAM,_x000a_VENGTHAR, CHAMPHAI"/>
    <x v="18"/>
    <n v="17"/>
    <n v="25"/>
    <n v="2.5"/>
    <n v="7.6"/>
    <n v="6.4"/>
    <n v="7.3"/>
    <n v="40"/>
    <n v="240"/>
    <n v="1"/>
    <n v="1.2"/>
    <n v="0.02"/>
    <n v="3.11"/>
    <m/>
    <m/>
    <m/>
    <m/>
    <m/>
    <m/>
  </r>
  <r>
    <n v="4130"/>
    <s v="RIVER NGENGPUI STREAM,NR KALADAN MULTI MODAL_x000a_RD, LAWNGTLAI DIST."/>
    <x v="18"/>
    <n v="21"/>
    <n v="24"/>
    <n v="5.0999999999999996"/>
    <n v="7.5"/>
    <n v="6.3"/>
    <n v="7.6"/>
    <n v="74"/>
    <n v="175"/>
    <n v="1"/>
    <n v="1.6"/>
    <n v="0.02"/>
    <n v="0.85"/>
    <m/>
    <m/>
    <m/>
    <m/>
    <m/>
    <m/>
  </r>
  <r>
    <n v="4132"/>
    <s v="RIVER VANTAWNG WATER FALL, THENZAWL, SERCHHIP_x000a_DIST."/>
    <x v="18"/>
    <n v="14"/>
    <n v="27"/>
    <n v="5.0999999999999996"/>
    <n v="7.2"/>
    <n v="6.5"/>
    <n v="7.1"/>
    <n v="30"/>
    <n v="128"/>
    <n v="1"/>
    <n v="1.5"/>
    <n v="0.02"/>
    <n v="1.43"/>
    <m/>
    <m/>
    <m/>
    <m/>
    <m/>
    <m/>
  </r>
  <r>
    <n v="2232"/>
    <s v="RIVER KOHORA AT N.H. CROSSING, KOHORA, ASSAM_x000a_(BRAHMAPUTRA)"/>
    <x v="12"/>
    <n v="22"/>
    <n v="32"/>
    <n v="3.7"/>
    <n v="9.1999999999999993"/>
    <n v="6.8"/>
    <n v="7.4"/>
    <n v="106"/>
    <n v="176"/>
    <n v="2"/>
    <n v="2.4"/>
    <n v="0.7"/>
    <n v="2"/>
    <n v="360"/>
    <n v="1100"/>
    <n v="1100"/>
    <n v="2100"/>
    <n v="120"/>
    <n v="290"/>
  </r>
  <r>
    <n v="4304"/>
    <s v="RIVER SDERKARIAH AT SOHRA (CHERRAPUNJEE)"/>
    <x v="17"/>
    <n v="14"/>
    <n v="19"/>
    <n v="6.6"/>
    <n v="8.1"/>
    <n v="4"/>
    <n v="5.5"/>
    <n v="66"/>
    <n v="130"/>
    <n v="1"/>
    <n v="1.7"/>
    <n v="0.32"/>
    <n v="0.59"/>
    <n v="2"/>
    <n v="4"/>
    <n v="12"/>
    <n v="79"/>
    <n v="2"/>
    <n v="4"/>
  </r>
  <r>
    <n v="4305"/>
    <s v="RIVER LAITRYNGEW AT LAITRYNGEW"/>
    <x v="17"/>
    <n v="14"/>
    <n v="18"/>
    <n v="6.7"/>
    <n v="7.7"/>
    <n v="3.8"/>
    <n v="5.4"/>
    <n v="86"/>
    <n v="178"/>
    <n v="1"/>
    <n v="1.8"/>
    <n v="0.32"/>
    <n v="0.62"/>
    <n v="2"/>
    <n v="4"/>
    <n v="21"/>
    <n v="84"/>
    <n v="2"/>
    <n v="4"/>
  </r>
  <r>
    <n v="4306"/>
    <s v="RIVER WAHKHLEK KHLEK AT SAITSOHPEN"/>
    <x v="17"/>
    <n v="14"/>
    <n v="18"/>
    <n v="7.2"/>
    <n v="8.5"/>
    <n v="6.9"/>
    <n v="7.6"/>
    <n v="81"/>
    <n v="116"/>
    <n v="1.1000000000000001"/>
    <n v="1.6"/>
    <n v="0.32"/>
    <n v="5.64"/>
    <n v="2"/>
    <n v="4"/>
    <n v="23"/>
    <n v="49"/>
    <n v="2"/>
    <n v="2"/>
  </r>
  <r>
    <n v="4307"/>
    <s v="RIVER WAHREW AT MAJAI"/>
    <x v="17"/>
    <n v="17"/>
    <n v="19"/>
    <n v="7.6"/>
    <n v="8.5"/>
    <n v="6.9"/>
    <n v="7.3"/>
    <n v="33"/>
    <n v="58"/>
    <n v="1"/>
    <n v="1.4"/>
    <n v="0.32"/>
    <n v="5.51"/>
    <n v="2"/>
    <n v="2"/>
    <n v="27"/>
    <n v="79"/>
    <n v="2"/>
    <n v="2"/>
  </r>
  <r>
    <n v="4308"/>
    <s v="RIVER UMNGI AT JAKREM"/>
    <x v="17"/>
    <n v="9"/>
    <n v="20"/>
    <n v="7.1"/>
    <n v="8.5"/>
    <n v="6.8"/>
    <n v="7.2"/>
    <n v="30"/>
    <n v="45"/>
    <n v="1"/>
    <n v="1.4"/>
    <n v="0.32"/>
    <n v="0.46"/>
    <n v="2"/>
    <n v="4"/>
    <n v="23"/>
    <n v="70"/>
    <n v="2"/>
    <n v="2"/>
  </r>
  <r>
    <n v="4309"/>
    <s v="RIVER UMNGI AT UMPUNG"/>
    <x v="17"/>
    <n v="15"/>
    <n v="21"/>
    <n v="7.2"/>
    <n v="8.6"/>
    <n v="7"/>
    <n v="7.8"/>
    <n v="38"/>
    <n v="55"/>
    <n v="1"/>
    <n v="1.7"/>
    <n v="0.32"/>
    <n v="5.32"/>
    <n v="2"/>
    <n v="6"/>
    <n v="27"/>
    <n v="130"/>
    <n v="2"/>
    <n v="4"/>
  </r>
  <r>
    <n v="4310"/>
    <s v="RIVER RWIANG AT RWIANG"/>
    <x v="17"/>
    <n v="14.2"/>
    <n v="21"/>
    <n v="6.9"/>
    <n v="8.4"/>
    <n v="6.7"/>
    <n v="7.3"/>
    <n v="34"/>
    <n v="53"/>
    <n v="1"/>
    <n v="1.7"/>
    <n v="0.32"/>
    <n v="5.45"/>
    <n v="2"/>
    <n v="17"/>
    <n v="33"/>
    <n v="170"/>
    <n v="2"/>
    <n v="4"/>
  </r>
  <r>
    <n v="4311"/>
    <s v="RIVER KALIPAI AT RYMBAI"/>
    <x v="17"/>
    <n v="14.6"/>
    <n v="20"/>
    <n v="4.2"/>
    <n v="7.8"/>
    <n v="2.7"/>
    <n v="3.2"/>
    <n v="315"/>
    <n v="1095"/>
    <n v="1.2"/>
    <n v="2.7"/>
    <n v="0.32"/>
    <n v="5.32"/>
    <n v="2"/>
    <n v="2"/>
    <n v="2"/>
    <n v="2"/>
    <n v="2"/>
    <n v="2"/>
  </r>
  <r>
    <n v="4312"/>
    <s v="RIVER KMAI UM AT RYMBAI"/>
    <x v="17"/>
    <n v="14.4"/>
    <n v="20"/>
    <n v="6.6"/>
    <n v="7.9"/>
    <n v="2.6"/>
    <n v="3"/>
    <n v="680"/>
    <n v="1505"/>
    <n v="1"/>
    <n v="2.2999999999999998"/>
    <n v="0.32"/>
    <n v="0.65"/>
    <n v="2"/>
    <n v="2"/>
    <n v="2"/>
    <n v="2"/>
    <n v="2"/>
    <n v="2"/>
  </r>
  <r>
    <n v="4313"/>
    <s v="RIVER WAIKHRWI AT MOOPALA"/>
    <x v="17"/>
    <n v="9"/>
    <n v="19"/>
    <n v="6.7"/>
    <n v="7.8"/>
    <n v="2.7"/>
    <n v="3"/>
    <n v="464"/>
    <n v="1160"/>
    <n v="1.1000000000000001"/>
    <n v="1.9"/>
    <n v="0.32"/>
    <n v="0.34"/>
    <n v="2"/>
    <n v="2"/>
    <n v="2"/>
    <n v="2"/>
    <n v="2"/>
    <n v="2"/>
  </r>
  <r>
    <n v="4314"/>
    <s v="RIVER KWAI AT SUTNGA, JALAPHET"/>
    <x v="17"/>
    <n v="12"/>
    <n v="20"/>
    <n v="6.2"/>
    <n v="7.8"/>
    <n v="3.6"/>
    <n v="4.3"/>
    <n v="126"/>
    <n v="360"/>
    <n v="1.2"/>
    <n v="2.1"/>
    <n v="0.32"/>
    <n v="0.32"/>
    <n v="2"/>
    <n v="2"/>
    <n v="2"/>
    <n v="2"/>
    <n v="2"/>
    <n v="2"/>
  </r>
  <r>
    <n v="4315"/>
    <s v="RIVER LUKHA AT KHADDUM"/>
    <x v="17"/>
    <n v="14.2"/>
    <n v="19.3"/>
    <n v="6.8"/>
    <n v="8.8000000000000007"/>
    <n v="4.7"/>
    <n v="7.8"/>
    <n v="150"/>
    <n v="550"/>
    <n v="1.2"/>
    <n v="1.9"/>
    <n v="0.32"/>
    <n v="1.22"/>
    <n v="2"/>
    <n v="6"/>
    <n v="49"/>
    <n v="170"/>
    <n v="2"/>
    <n v="2"/>
  </r>
  <r>
    <n v="4316"/>
    <s v="RIVER MYNTDU AT MIHMYNTDU"/>
    <x v="17"/>
    <n v="12"/>
    <n v="20"/>
    <n v="6.6"/>
    <n v="7.6"/>
    <n v="6.6"/>
    <n v="6.9"/>
    <n v="36"/>
    <n v="61"/>
    <n v="1.3"/>
    <n v="2.1"/>
    <n v="0.32"/>
    <n v="0.71"/>
    <n v="46"/>
    <n v="140"/>
    <n v="430"/>
    <n v="1200"/>
    <n v="4"/>
    <n v="30"/>
  </r>
  <r>
    <n v="3379"/>
    <s v="RIVER MYNTDU AT LESHKA"/>
    <x v="17"/>
    <n v="13"/>
    <n v="21"/>
    <n v="7"/>
    <n v="8.4"/>
    <n v="5"/>
    <n v="7.1"/>
    <n v="41"/>
    <n v="76"/>
    <n v="1"/>
    <n v="1.9"/>
    <n v="0.35"/>
    <n v="0.63"/>
    <n v="11"/>
    <n v="63"/>
    <n v="170"/>
    <n v="2400"/>
    <n v="2"/>
    <n v="21"/>
  </r>
  <r>
    <n v="1631"/>
    <s v="RIVER MYNTDU JOWAI"/>
    <x v="17"/>
    <n v="15"/>
    <n v="20"/>
    <n v="6.7"/>
    <n v="7.4"/>
    <n v="6.7"/>
    <n v="7.1"/>
    <n v="36"/>
    <n v="58"/>
    <n v="1.6"/>
    <n v="2.4"/>
    <n v="0.32"/>
    <n v="0.96"/>
    <n v="220"/>
    <n v="480"/>
    <n v="1400"/>
    <n v="3100"/>
    <n v="130"/>
    <n v="240"/>
  </r>
  <r>
    <n v="1428"/>
    <s v="RIVER KYRHUHKHLA KHLIEHRIAT"/>
    <x v="17"/>
    <n v="13"/>
    <n v="19"/>
    <n v="6.6"/>
    <n v="7.2"/>
    <n v="2.8"/>
    <n v="4.0999999999999996"/>
    <n v="111"/>
    <n v="550"/>
    <n v="1.9"/>
    <n v="2.7"/>
    <n v="0.32"/>
    <n v="0.7"/>
    <n v="2"/>
    <n v="2"/>
    <n v="2"/>
    <n v="2"/>
    <n v="2"/>
    <n v="2"/>
  </r>
  <r>
    <n v="4317"/>
    <s v="RIVER LAMU AT LESHKA"/>
    <x v="17"/>
    <n v="12.6"/>
    <n v="20"/>
    <n v="6.6"/>
    <n v="8.5"/>
    <n v="6.8"/>
    <n v="7.6"/>
    <n v="40"/>
    <n v="75"/>
    <n v="1"/>
    <n v="1.8"/>
    <n v="0.32"/>
    <n v="0.46"/>
    <n v="4"/>
    <n v="23"/>
    <n v="110"/>
    <n v="240"/>
    <n v="2"/>
    <n v="4"/>
  </r>
  <r>
    <n v="4318"/>
    <s v="RIVER LYNRIANG AT LESHKA POWER HOUSE"/>
    <x v="17"/>
    <n v="13.8"/>
    <n v="20"/>
    <n v="6.4"/>
    <n v="7.6"/>
    <n v="2.7"/>
    <n v="3.5"/>
    <n v="433"/>
    <n v="1270"/>
    <n v="1.1000000000000001"/>
    <n v="2"/>
    <n v="0.32"/>
    <n v="0.47"/>
    <n v="2"/>
    <n v="2"/>
    <n v="2"/>
    <n v="2"/>
    <n v="2"/>
    <n v="2"/>
  </r>
  <r>
    <n v="4319"/>
    <s v="RIVER UMIUREM AT LALE"/>
    <x v="17"/>
    <n v="14"/>
    <n v="19"/>
    <n v="6.8"/>
    <n v="8.4"/>
    <n v="3.8"/>
    <n v="4.5"/>
    <n v="158"/>
    <n v="595"/>
    <n v="1"/>
    <n v="2"/>
    <n v="0.32"/>
    <n v="0.47"/>
    <n v="2"/>
    <n v="2"/>
    <n v="2"/>
    <n v="2"/>
    <n v="2"/>
    <n v="2"/>
  </r>
  <r>
    <n v="4320"/>
    <s v="RIVER KUPLI AT LOOSKI"/>
    <x v="17"/>
    <n v="14.6"/>
    <n v="19"/>
    <n v="6.6"/>
    <n v="8.4"/>
    <n v="3.8"/>
    <n v="4.5"/>
    <n v="143"/>
    <n v="308"/>
    <n v="1.2"/>
    <n v="1.9"/>
    <n v="0.32"/>
    <n v="0.43"/>
    <n v="2"/>
    <n v="2"/>
    <n v="2"/>
    <n v="2"/>
    <n v="2"/>
    <n v="2"/>
  </r>
  <r>
    <n v="4321"/>
    <s v="RIVER KUPLI AT KHANDONG"/>
    <x v="17"/>
    <n v="14"/>
    <n v="19"/>
    <n v="6.6"/>
    <n v="7.8"/>
    <n v="3.7"/>
    <n v="4.7"/>
    <n v="140"/>
    <n v="301"/>
    <n v="1.2"/>
    <n v="1.9"/>
    <n v="0.32"/>
    <n v="0.56000000000000005"/>
    <n v="2"/>
    <n v="2"/>
    <n v="2"/>
    <n v="84"/>
    <n v="2"/>
    <n v="2"/>
  </r>
  <r>
    <n v="4322"/>
    <s v="RIVER THLU UMWI AT THLU UMWI"/>
    <x v="17"/>
    <n v="10"/>
    <n v="21"/>
    <n v="6.7"/>
    <n v="7.9"/>
    <n v="4"/>
    <n v="4.9000000000000004"/>
    <n v="36"/>
    <n v="58"/>
    <n v="1.2"/>
    <n v="2"/>
    <n v="0.32"/>
    <n v="0.39"/>
    <n v="2"/>
    <n v="9"/>
    <n v="12"/>
    <n v="120"/>
    <n v="2"/>
    <n v="4"/>
  </r>
  <r>
    <n v="1633"/>
    <s v="RIVER SIMSANG WILLIAMNAGAR"/>
    <x v="17"/>
    <n v="15"/>
    <n v="23"/>
    <n v="6.8"/>
    <n v="7.8"/>
    <n v="6.9"/>
    <n v="7.7"/>
    <n v="50"/>
    <n v="73"/>
    <n v="1.2"/>
    <n v="2"/>
    <n v="0.32"/>
    <n v="0.45"/>
    <n v="23"/>
    <n v="170"/>
    <n v="330"/>
    <n v="790"/>
    <n v="4"/>
    <n v="58"/>
  </r>
  <r>
    <n v="1801"/>
    <s v="RIVER TEESTA AFTER CONFLUENCS OF RIVERS_x000a_LACHENCHU AND LACHUNGCHU AT CHUNGTHANG"/>
    <x v="19"/>
    <n v="9.1999999999999993"/>
    <n v="18"/>
    <n v="7"/>
    <n v="8.6999999999999993"/>
    <n v="6.8"/>
    <n v="7.2"/>
    <n v="91"/>
    <n v="180"/>
    <n v="2"/>
    <n v="2.2999999999999998"/>
    <n v="1"/>
    <n v="3.8"/>
    <n v="24"/>
    <n v="61"/>
    <n v="56"/>
    <n v="130"/>
    <m/>
    <m/>
  </r>
  <r>
    <n v="1807"/>
    <s v="RIVER TEESTA AFTER CONFLUENCS WITH RANICHU AT_x000a_SINGTAM"/>
    <x v="19"/>
    <n v="14"/>
    <n v="24"/>
    <n v="7.4"/>
    <n v="9.4"/>
    <n v="6.6"/>
    <n v="7.4"/>
    <n v="139"/>
    <n v="173"/>
    <n v="2"/>
    <n v="2.4"/>
    <n v="1.9"/>
    <n v="4.4000000000000004"/>
    <n v="31"/>
    <n v="85"/>
    <n v="66"/>
    <n v="178"/>
    <m/>
    <m/>
  </r>
  <r>
    <n v="1808"/>
    <s v="RIVER TEESTA AFTER CONFLUENCS WITH RONGPOCHU_x000a_AFTER MEETING THE INDUSTRIAL EFFLUENTS FROM_x000a_THE TOWN RANGPO"/>
    <x v="19"/>
    <n v="16"/>
    <n v="23"/>
    <n v="7.9"/>
    <n v="9.1"/>
    <n v="6.7"/>
    <n v="7.4"/>
    <n v="139"/>
    <n v="170"/>
    <n v="1.6"/>
    <n v="2.2999999999999998"/>
    <n v="2"/>
    <n v="4.7"/>
    <n v="29"/>
    <n v="105"/>
    <n v="61"/>
    <n v="185"/>
    <m/>
    <m/>
  </r>
  <r>
    <n v="1809"/>
    <s v="RIVER TEESTA AT MELLI DOWNSTREAM MELLI"/>
    <x v="19"/>
    <n v="14"/>
    <n v="23"/>
    <n v="8"/>
    <n v="9.4"/>
    <n v="6.8"/>
    <n v="7.6"/>
    <n v="132"/>
    <n v="182"/>
    <n v="2"/>
    <n v="2.4"/>
    <n v="2"/>
    <n v="5"/>
    <n v="32"/>
    <n v="100"/>
    <n v="64"/>
    <n v="185"/>
    <m/>
    <m/>
  </r>
  <r>
    <n v="1947"/>
    <s v="RIVER TEESTA AT SEVOKE, SILIGURI, DARJEELING"/>
    <x v="7"/>
    <n v="11"/>
    <n v="27"/>
    <n v="7.1"/>
    <n v="8.9"/>
    <n v="6.3"/>
    <n v="8"/>
    <n v="36"/>
    <n v="86"/>
    <n v="1"/>
    <n v="2.1"/>
    <n v="0.3"/>
    <n v="0.75"/>
    <n v="800"/>
    <n v="24000"/>
    <n v="2300"/>
    <n v="50000"/>
    <n v="11"/>
    <n v="140"/>
  </r>
  <r>
    <n v="4723"/>
    <s v="RIVER TEESTA AT JALPESH"/>
    <x v="7"/>
    <n v="11"/>
    <n v="29"/>
    <n v="6"/>
    <n v="8.6"/>
    <n v="6.9"/>
    <n v="7.7"/>
    <n v="52"/>
    <n v="8136"/>
    <n v="1"/>
    <n v="2.8"/>
    <n v="0.3"/>
    <n v="0.56999999999999995"/>
    <n v="1100"/>
    <n v="7000"/>
    <n v="2100"/>
    <n v="50000"/>
    <n v="17"/>
    <n v="130"/>
  </r>
  <r>
    <n v="4728"/>
    <s v="RIVER RAIDAK AT ALIPURDUAR"/>
    <x v="7"/>
    <n v="20"/>
    <n v="29"/>
    <n v="6"/>
    <n v="9"/>
    <n v="7.3"/>
    <n v="7.9"/>
    <n v="110"/>
    <n v="179"/>
    <n v="1.1000000000000001"/>
    <n v="2.4"/>
    <n v="0.3"/>
    <n v="0.3"/>
    <n v="800"/>
    <n v="3400"/>
    <n v="1700"/>
    <n v="17000"/>
    <n v="17"/>
    <n v="70"/>
  </r>
  <r>
    <n v="2241"/>
    <s v="RIVER SONAI AT SONAI, ASSAM"/>
    <x v="12"/>
    <n v="21"/>
    <n v="25"/>
    <n v="5"/>
    <n v="5.6"/>
    <n v="7.2"/>
    <n v="7.4"/>
    <n v="88"/>
    <n v="120"/>
    <n v="2.2000000000000002"/>
    <n v="2.5"/>
    <n v="0.7"/>
    <n v="1.1000000000000001"/>
    <n v="600"/>
    <n v="1100"/>
    <n v="1100"/>
    <n v="2000"/>
    <n v="210"/>
    <n v="290"/>
  </r>
  <r>
    <n v="2234"/>
    <s v="RIVER RANGA NADI D/S OF HYDEL PROJECT, ASSAM"/>
    <x v="12"/>
    <n v="19"/>
    <n v="28"/>
    <n v="5.4"/>
    <n v="6.2"/>
    <n v="6.9"/>
    <n v="8"/>
    <n v="122"/>
    <n v="168"/>
    <n v="2"/>
    <n v="2.6"/>
    <n v="0.6"/>
    <n v="1.4"/>
    <n v="300"/>
    <n v="730"/>
    <n v="730"/>
    <n v="1600"/>
    <n v="95"/>
    <n v="290"/>
  </r>
  <r>
    <n v="2034"/>
    <s v="RIVER RANGIT AT DAM SITE (NHPC)"/>
    <x v="19"/>
    <n v="10"/>
    <n v="23"/>
    <n v="8"/>
    <n v="8.6"/>
    <n v="6.9"/>
    <n v="7.3"/>
    <n v="142"/>
    <n v="177"/>
    <n v="1.7"/>
    <n v="2.4"/>
    <n v="2"/>
    <n v="4.7"/>
    <n v="19"/>
    <n v="71"/>
    <n v="46"/>
    <n v="134"/>
    <m/>
    <m/>
  </r>
  <r>
    <n v="2035"/>
    <s v="RIVER RANGIT AT LEGSHIP"/>
    <x v="19"/>
    <n v="13"/>
    <n v="23"/>
    <n v="7.9"/>
    <n v="9.8000000000000007"/>
    <n v="6.9"/>
    <n v="7.4"/>
    <n v="131"/>
    <n v="192"/>
    <n v="1.5"/>
    <n v="2.2999999999999998"/>
    <n v="2"/>
    <n v="4.5"/>
    <n v="20"/>
    <n v="87"/>
    <n v="52"/>
    <n v="154"/>
    <m/>
    <m/>
  </r>
  <r>
    <n v="2036"/>
    <s v="RIVER RANGIT AT RESHI"/>
    <x v="19"/>
    <n v="13"/>
    <n v="22"/>
    <n v="8"/>
    <n v="9.1999999999999993"/>
    <n v="6.7"/>
    <n v="7.3"/>
    <n v="148"/>
    <n v="181"/>
    <n v="1.8"/>
    <n v="2.2999999999999998"/>
    <n v="2"/>
    <n v="5"/>
    <n v="23"/>
    <n v="82"/>
    <n v="56"/>
    <n v="140"/>
    <m/>
    <m/>
  </r>
  <r>
    <n v="2037"/>
    <s v="RIVER RANGIT AT JORETHANG"/>
    <x v="19"/>
    <n v="15"/>
    <n v="23"/>
    <n v="8"/>
    <n v="9.1999999999999993"/>
    <n v="6.6"/>
    <n v="7.5"/>
    <n v="137"/>
    <n v="184"/>
    <n v="2"/>
    <n v="2.4"/>
    <n v="2"/>
    <n v="4.4000000000000004"/>
    <n v="22"/>
    <n v="99"/>
    <n v="35"/>
    <n v="162"/>
    <m/>
    <m/>
  </r>
  <r>
    <n v="2038"/>
    <s v="RIVER RANGIT AT TRIVENI MELLI"/>
    <x v="19"/>
    <n v="14"/>
    <n v="23"/>
    <n v="8.1"/>
    <n v="9"/>
    <n v="6.7"/>
    <n v="7.5"/>
    <n v="139"/>
    <n v="179"/>
    <n v="2"/>
    <n v="2.5"/>
    <n v="2"/>
    <n v="4.3"/>
    <n v="32"/>
    <n v="100"/>
    <n v="56"/>
    <n v="172"/>
    <m/>
    <m/>
  </r>
  <r>
    <n v="5553"/>
    <s v="RIVER RANGIT AT UPSTREAM OF DAM , RANGIT STAGE-IV RESHI NHPC RESHI SORENG,DIST"/>
    <x v="19"/>
    <n v="15"/>
    <n v="24"/>
    <n v="7.8"/>
    <n v="8.4"/>
    <n v="6.9"/>
    <n v="7.3"/>
    <n v="51"/>
    <n v="89"/>
    <n v="1.8"/>
    <n v="2.2000000000000002"/>
    <n v="2"/>
    <n v="4.5"/>
    <n v="30"/>
    <n v="84"/>
    <n v="63"/>
    <n v="125"/>
    <m/>
    <m/>
  </r>
  <r>
    <n v="5554"/>
    <s v="RIVER RANGIT AT JORETHANG (MAJIGOAN), NAMCHI"/>
    <x v="19"/>
    <n v="16"/>
    <n v="24"/>
    <n v="7.8"/>
    <n v="8.6"/>
    <n v="6.7"/>
    <n v="7.3"/>
    <n v="25"/>
    <n v="97"/>
    <n v="1.9"/>
    <n v="2.4"/>
    <n v="1.8"/>
    <n v="21"/>
    <n v="30"/>
    <n v="80"/>
    <n v="72"/>
    <n v="105"/>
    <m/>
    <m/>
  </r>
  <r>
    <n v="5555"/>
    <s v="RIVER RANGIT AT MANPUR(BELOW INDUSTRIAL_x000a_AREA),NAMCHI DIST SIKKIM"/>
    <x v="19"/>
    <n v="15"/>
    <n v="23"/>
    <n v="7.8"/>
    <n v="8.4"/>
    <n v="6.6"/>
    <n v="7.3"/>
    <n v="48"/>
    <n v="125"/>
    <n v="1.9"/>
    <n v="2.1"/>
    <n v="1.8"/>
    <n v="4.9000000000000004"/>
    <n v="27"/>
    <n v="80"/>
    <n v="61"/>
    <n v="120"/>
    <m/>
    <m/>
  </r>
  <r>
    <n v="5556"/>
    <s v="RIVER TEESTA AT MAMRING BELOW MAMRING_x000a_BRIDGE,NAMCHI, DIST , SIKKIM"/>
    <x v="19"/>
    <n v="15"/>
    <n v="23"/>
    <n v="3.5"/>
    <n v="8.9"/>
    <n v="7"/>
    <n v="7.4"/>
    <n v="51"/>
    <n v="109"/>
    <n v="2"/>
    <n v="2.2999999999999998"/>
    <n v="2"/>
    <n v="4.5999999999999996"/>
    <n v="31"/>
    <n v="103"/>
    <n v="70"/>
    <n v="153"/>
    <m/>
    <m/>
  </r>
  <r>
    <n v="5557"/>
    <s v="RIVER TEESTA AT BARDANG BELOW ATTC, PAKYONG_x000a_DIST"/>
    <x v="19"/>
    <n v="16"/>
    <n v="24"/>
    <n v="7.9"/>
    <n v="9"/>
    <n v="6.8"/>
    <n v="7.2"/>
    <n v="54"/>
    <n v="115"/>
    <n v="1.9"/>
    <n v="2.2999999999999998"/>
    <n v="2"/>
    <n v="4.3"/>
    <n v="35"/>
    <n v="94"/>
    <n v="67"/>
    <n v="112"/>
    <m/>
    <m/>
  </r>
  <r>
    <n v="1805"/>
    <s v="RIVER AFTER CONFLUENCE OF RANICHU AND_x000a_RORACHU AT RANIPOOL"/>
    <x v="19"/>
    <n v="14"/>
    <n v="24"/>
    <n v="7.8"/>
    <n v="9"/>
    <n v="6.7"/>
    <n v="7.4"/>
    <n v="121"/>
    <n v="180"/>
    <n v="2.1"/>
    <n v="2.6"/>
    <n v="1.6"/>
    <n v="4.8"/>
    <n v="34"/>
    <n v="105"/>
    <n v="45"/>
    <n v="187"/>
    <m/>
    <m/>
  </r>
  <r>
    <n v="1806"/>
    <s v="RIVER RANICHU BEFORE CONFLUENCE WITH TEESTA_x000a_AT SINGTAM, SIKKIM"/>
    <x v="19"/>
    <n v="15"/>
    <n v="23"/>
    <n v="8.1"/>
    <n v="9.1"/>
    <n v="6.6"/>
    <n v="7.5"/>
    <n v="119"/>
    <n v="181"/>
    <n v="2"/>
    <n v="2.5"/>
    <n v="1.6"/>
    <n v="25"/>
    <n v="22"/>
    <n v="100"/>
    <n v="54"/>
    <n v="170"/>
    <m/>
    <m/>
  </r>
  <r>
    <n v="1802"/>
    <s v="RIVER DIKCHU BEFORE CONFLUENCS WITH RIVER_x000a_TEESTA NEAR NHPC HYDROELECTRIC POWER_x000a_PROJECT DIKCHU"/>
    <x v="19"/>
    <n v="8"/>
    <n v="18"/>
    <n v="7.8"/>
    <n v="9.1"/>
    <n v="6.6"/>
    <n v="7.4"/>
    <n v="105"/>
    <n v="190"/>
    <n v="1.7"/>
    <n v="2.2999999999999998"/>
    <n v="1.5"/>
    <n v="4.0999999999999996"/>
    <n v="31"/>
    <n v="76"/>
    <n v="54"/>
    <n v="155"/>
    <m/>
    <m/>
  </r>
  <r>
    <n v="5281"/>
    <s v="RIVER RANGPO U/S DAM SITE"/>
    <x v="19"/>
    <n v="15"/>
    <n v="22"/>
    <n v="8.1"/>
    <n v="8.8000000000000007"/>
    <n v="6.7"/>
    <n v="7.4"/>
    <n v="149"/>
    <n v="172"/>
    <n v="1.9"/>
    <n v="2.4"/>
    <n v="2"/>
    <n v="4.5"/>
    <n v="32"/>
    <n v="70"/>
    <n v="67"/>
    <n v="120"/>
    <m/>
    <m/>
  </r>
  <r>
    <n v="5282"/>
    <s v="RIVER RANGPO D/S DAM SITE"/>
    <x v="19"/>
    <n v="14"/>
    <n v="23"/>
    <n v="8"/>
    <n v="8.6999999999999993"/>
    <n v="6.7"/>
    <n v="7.5"/>
    <n v="157"/>
    <n v="171"/>
    <n v="2"/>
    <n v="2.2999999999999998"/>
    <n v="2.1"/>
    <n v="4.7"/>
    <n v="28"/>
    <n v="100"/>
    <n v="64"/>
    <n v="149"/>
    <m/>
    <m/>
  </r>
  <r>
    <n v="5283"/>
    <s v="RIVER RONGLI U/S DAM SITE"/>
    <x v="19"/>
    <n v="14"/>
    <n v="22"/>
    <n v="8"/>
    <n v="8.5"/>
    <n v="6.6"/>
    <n v="7.4"/>
    <n v="129"/>
    <n v="159"/>
    <n v="2"/>
    <n v="2.4"/>
    <n v="2"/>
    <n v="4.5999999999999996"/>
    <n v="30"/>
    <n v="102"/>
    <n v="69"/>
    <n v="189"/>
    <m/>
    <m/>
  </r>
  <r>
    <n v="5284"/>
    <s v="RIVER RONGLI D/S DAM SITE"/>
    <x v="19"/>
    <n v="14"/>
    <n v="22"/>
    <n v="8"/>
    <n v="8.6"/>
    <n v="6.6"/>
    <n v="7.3"/>
    <n v="99"/>
    <n v="139"/>
    <n v="2"/>
    <n v="2.2999999999999998"/>
    <n v="2.1"/>
    <n v="4.8"/>
    <n v="28"/>
    <n v="105"/>
    <n v="71"/>
    <n v="134"/>
    <m/>
    <m/>
  </r>
  <r>
    <n v="5285"/>
    <s v="RIVER RANGPO AT POWER HOUSE D/S OF GATI_x000a_INFRASTRUCTURE PVT. LTD."/>
    <x v="19"/>
    <n v="14"/>
    <n v="22"/>
    <n v="8"/>
    <n v="8.6999999999999993"/>
    <n v="6.6"/>
    <n v="7.3"/>
    <n v="35"/>
    <n v="127"/>
    <n v="1.7"/>
    <n v="2.1"/>
    <n v="2"/>
    <n v="5.0999999999999996"/>
    <n v="21"/>
    <n v="88"/>
    <n v="61"/>
    <n v="165"/>
    <m/>
    <m/>
  </r>
  <r>
    <n v="5286"/>
    <s v="RIVER RANGPO AT U/S OF RORATHANG BAZAR (ABOVE_x000a_SWISS GARNIER)"/>
    <x v="19"/>
    <n v="13"/>
    <n v="21"/>
    <n v="7.5"/>
    <n v="8.8000000000000007"/>
    <n v="6.5"/>
    <n v="7.3"/>
    <n v="34"/>
    <n v="148"/>
    <n v="1.5"/>
    <n v="2.2000000000000002"/>
    <n v="1.8"/>
    <n v="5.2"/>
    <n v="24"/>
    <n v="120"/>
    <n v="79"/>
    <n v="200"/>
    <m/>
    <m/>
  </r>
  <r>
    <n v="5287"/>
    <s v="RIVER RANGPO AT D/S OF RORATHANG BRIDGE"/>
    <x v="19"/>
    <n v="13"/>
    <n v="22"/>
    <n v="7.9"/>
    <n v="8.6999999999999993"/>
    <n v="6.7"/>
    <n v="7.3"/>
    <n v="32"/>
    <n v="112"/>
    <n v="1.6"/>
    <n v="2.4"/>
    <n v="1.8"/>
    <n v="4.5"/>
    <n v="29"/>
    <n v="123"/>
    <n v="52"/>
    <n v="173"/>
    <m/>
    <m/>
  </r>
  <r>
    <n v="5288"/>
    <s v="RIVER RANGPO AT D/S OF PHARMA PLANT KUMREK"/>
    <x v="19"/>
    <n v="13"/>
    <n v="22"/>
    <n v="7"/>
    <n v="8.4"/>
    <n v="6.7"/>
    <n v="7.4"/>
    <n v="33"/>
    <n v="135"/>
    <n v="2"/>
    <n v="2.2999999999999998"/>
    <n v="2"/>
    <n v="4.5999999999999996"/>
    <n v="36"/>
    <n v="100"/>
    <n v="67"/>
    <n v="168"/>
    <m/>
    <m/>
  </r>
  <r>
    <n v="5289"/>
    <s v="RIVER RANGPO AT D/S OF POWER HOUSE OF MADHYA_x000a_BHARAT"/>
    <x v="19"/>
    <n v="15"/>
    <n v="23"/>
    <n v="7.3"/>
    <n v="8.4"/>
    <n v="6.7"/>
    <n v="7.5"/>
    <n v="34"/>
    <n v="132"/>
    <n v="2"/>
    <n v="2.5"/>
    <n v="1.9"/>
    <n v="4.4000000000000004"/>
    <n v="32"/>
    <n v="112"/>
    <n v="79"/>
    <n v="175"/>
    <m/>
    <m/>
  </r>
  <r>
    <n v="2236"/>
    <s v="RIVER KAPILI AT DHARMTUL BRIDGE, NH-31,_x000a_MORIGAON, ASSAM"/>
    <x v="12"/>
    <n v="18"/>
    <n v="30"/>
    <n v="5"/>
    <n v="9.1999999999999993"/>
    <n v="6.8"/>
    <n v="7.5"/>
    <n v="120"/>
    <n v="176"/>
    <n v="2.1"/>
    <n v="2.5"/>
    <n v="0.7"/>
    <n v="1.7"/>
    <n v="360"/>
    <n v="930"/>
    <n v="910"/>
    <n v="1600"/>
    <n v="120"/>
    <n v="290"/>
  </r>
  <r>
    <n v="2523"/>
    <s v="RIVER KAROLA, D/S OF JALPAIGURI, NEAR MIN_x000a_BHAWAN, JALPAIGURI"/>
    <x v="7"/>
    <n v="21"/>
    <n v="29"/>
    <n v="4"/>
    <n v="8.1999999999999993"/>
    <n v="6.8"/>
    <n v="7.8"/>
    <n v="70"/>
    <n v="164"/>
    <n v="1"/>
    <n v="8"/>
    <n v="0.3"/>
    <n v="0.77"/>
    <n v="2200"/>
    <n v="24000"/>
    <n v="5000"/>
    <n v="90000"/>
    <n v="23"/>
    <n v="540"/>
  </r>
  <r>
    <n v="2068"/>
    <s v="RIVER KATHAKAL U/S AT MATIJURI, DIST. HAILAKANDI,_x000a_ASSAM"/>
    <x v="12"/>
    <n v="22"/>
    <n v="24"/>
    <n v="5.3"/>
    <n v="6.2"/>
    <n v="6.8"/>
    <n v="7.2"/>
    <n v="104"/>
    <n v="134"/>
    <n v="2"/>
    <n v="2.4"/>
    <n v="0.7"/>
    <n v="1.1000000000000001"/>
    <n v="610"/>
    <n v="1500"/>
    <n v="1100"/>
    <n v="2100"/>
    <n v="210"/>
    <n v="460"/>
  </r>
  <r>
    <n v="2061"/>
    <s v="RIVER KHARSANG B/C WITH BURIDIHING NEAR_x000a_KHARSANG (ASSAM-ARUNANCHAL BORDER), ASSAM"/>
    <x v="12"/>
    <n v="21"/>
    <n v="24"/>
    <n v="5.0999999999999996"/>
    <n v="8.1"/>
    <n v="6.9"/>
    <n v="7.6"/>
    <n v="128"/>
    <n v="166"/>
    <n v="2"/>
    <n v="2.6"/>
    <n v="0.4"/>
    <n v="1"/>
    <n v="300"/>
    <n v="730"/>
    <n v="720"/>
    <n v="1600"/>
    <n v="120"/>
    <n v="240"/>
  </r>
  <r>
    <n v="2059"/>
    <s v="RIVER KOLONG AT MARIGAON, ASSAM"/>
    <x v="12"/>
    <n v="18"/>
    <n v="33"/>
    <n v="5"/>
    <n v="8.4"/>
    <n v="6.9"/>
    <n v="7.8"/>
    <n v="140"/>
    <n v="176"/>
    <n v="2"/>
    <n v="2.5"/>
    <n v="0.7"/>
    <n v="1.5"/>
    <n v="360"/>
    <n v="930"/>
    <n v="910"/>
    <n v="2000"/>
    <n v="120"/>
    <n v="290"/>
  </r>
  <r>
    <n v="2237"/>
    <s v="RIVER KOLONG AT U/S OF ANANDARAM DEKIAL PHUKAN_x000a_BRIDGE, NAGAON, ASSAM"/>
    <x v="12"/>
    <n v="17"/>
    <n v="29"/>
    <n v="5"/>
    <n v="7.4"/>
    <n v="6.8"/>
    <n v="7.5"/>
    <n v="118"/>
    <n v="180"/>
    <n v="2"/>
    <n v="2.5"/>
    <n v="0.8"/>
    <n v="1.9"/>
    <n v="620"/>
    <n v="1100"/>
    <n v="1500"/>
    <n v="2000"/>
    <n v="210"/>
    <n v="290"/>
  </r>
  <r>
    <n v="2229"/>
    <s v="RIVER KUNDLI AT KUNDLI/ SAPAKHOWA, SADIA, ASSAM"/>
    <x v="12"/>
    <n v="21"/>
    <n v="25"/>
    <n v="5"/>
    <n v="8.4"/>
    <n v="7"/>
    <n v="7.7"/>
    <n v="126"/>
    <n v="172"/>
    <n v="2"/>
    <n v="2.6"/>
    <n v="0.6"/>
    <n v="1.6"/>
    <n v="300"/>
    <n v="910"/>
    <n v="1400"/>
    <n v="2000"/>
    <n v="120"/>
    <n v="290"/>
  </r>
  <r>
    <n v="3417"/>
    <s v="RIVER MANU AT MANUGHAT, CONFL POINT OF_x000a_CHAWMANU CHARRA &amp; MANU RIVER, DHALAI"/>
    <x v="15"/>
    <n v="21"/>
    <n v="30.5"/>
    <n v="5.4"/>
    <n v="6.6"/>
    <n v="7"/>
    <n v="7.7"/>
    <n v="125"/>
    <n v="189"/>
    <n v="1.2"/>
    <n v="2.2000000000000002"/>
    <n v="0.7"/>
    <n v="1.9"/>
    <n v="39"/>
    <n v="58"/>
    <n v="94"/>
    <n v="210"/>
    <m/>
    <m/>
  </r>
  <r>
    <n v="3418"/>
    <s v="RIVER MANU AT KAILASHAHAR D/S, NORTH TRIPURA"/>
    <x v="15"/>
    <n v="21"/>
    <n v="31"/>
    <n v="5.3"/>
    <n v="6.7"/>
    <n v="7"/>
    <n v="7.7"/>
    <n v="122"/>
    <n v="191"/>
    <n v="1.1000000000000001"/>
    <n v="2.1"/>
    <n v="0.7"/>
    <n v="1.9"/>
    <n v="26"/>
    <n v="58"/>
    <n v="94"/>
    <n v="210"/>
    <m/>
    <m/>
  </r>
  <r>
    <n v="3419"/>
    <s v="RIVER MANU AT KUMARGHAT, NORTH TRIPURA"/>
    <x v="15"/>
    <n v="21"/>
    <n v="31"/>
    <n v="5.3"/>
    <n v="6.4"/>
    <n v="7.1"/>
    <n v="7.7"/>
    <n v="124"/>
    <n v="179"/>
    <n v="1.2"/>
    <n v="1.9"/>
    <n v="0.7"/>
    <n v="1.7"/>
    <n v="31"/>
    <n v="58"/>
    <n v="84"/>
    <n v="210"/>
    <m/>
    <m/>
  </r>
  <r>
    <n v="3367"/>
    <s v="RIVER NONBAH AT NANGSTOIN MARKET"/>
    <x v="17"/>
    <n v="13"/>
    <n v="20"/>
    <n v="6.5"/>
    <n v="7.6"/>
    <n v="6.7"/>
    <n v="7"/>
    <n v="40"/>
    <n v="83"/>
    <n v="2"/>
    <n v="2.7"/>
    <n v="0.32"/>
    <n v="0.93"/>
    <n v="430"/>
    <n v="1200"/>
    <n v="2700"/>
    <n v="4900"/>
    <n v="21"/>
    <n v="480"/>
  </r>
  <r>
    <n v="3368"/>
    <s v="RIVER NONBAH AT PHOTSOHSAT"/>
    <x v="17"/>
    <n v="13.6"/>
    <n v="20"/>
    <n v="6.6"/>
    <n v="8.6"/>
    <n v="6.7"/>
    <n v="7.3"/>
    <n v="31"/>
    <n v="44"/>
    <n v="1.1000000000000001"/>
    <n v="1.7"/>
    <n v="0.32"/>
    <n v="0.54"/>
    <n v="4"/>
    <n v="70"/>
    <n v="110"/>
    <n v="170"/>
    <n v="2"/>
    <n v="6"/>
  </r>
  <r>
    <n v="3369"/>
    <s v="RIVER KYNSHI AT SOHIONG"/>
    <x v="17"/>
    <n v="12.3"/>
    <n v="19"/>
    <n v="6.6"/>
    <n v="7.8"/>
    <n v="6.7"/>
    <n v="7.3"/>
    <n v="29"/>
    <n v="44"/>
    <n v="1.2"/>
    <n v="1.7"/>
    <n v="0.32"/>
    <n v="0.53"/>
    <n v="6"/>
    <n v="33"/>
    <n v="240"/>
    <n v="540"/>
    <n v="2"/>
    <n v="6"/>
  </r>
  <r>
    <n v="3370"/>
    <s v="RIVER KYNSHI AT NANGKHNUM"/>
    <x v="17"/>
    <n v="12.5"/>
    <n v="20"/>
    <n v="6.8"/>
    <n v="8"/>
    <n v="6.9"/>
    <n v="7.3"/>
    <n v="32"/>
    <n v="42"/>
    <n v="1"/>
    <n v="1.5"/>
    <n v="0.32"/>
    <n v="0.46"/>
    <n v="2"/>
    <n v="2"/>
    <n v="38"/>
    <n v="70"/>
    <n v="2"/>
    <n v="2"/>
  </r>
  <r>
    <n v="3371"/>
    <s v="RIVER KYNSHI AT RANIKOR"/>
    <x v="17"/>
    <n v="15"/>
    <n v="22"/>
    <n v="7"/>
    <n v="8.4"/>
    <n v="6.5"/>
    <n v="6.9"/>
    <n v="42"/>
    <n v="72"/>
    <n v="1"/>
    <n v="1.6"/>
    <n v="0.32"/>
    <n v="0.51"/>
    <n v="2"/>
    <n v="4"/>
    <n v="110"/>
    <n v="170"/>
    <n v="2"/>
    <n v="2"/>
  </r>
  <r>
    <n v="3373"/>
    <s v="RIVER WAH BLEI AT RIANGDO,"/>
    <x v="17"/>
    <n v="14.6"/>
    <n v="21"/>
    <n v="6.9"/>
    <n v="7.9"/>
    <n v="6.7"/>
    <n v="7.5"/>
    <n v="33"/>
    <n v="53"/>
    <n v="1.2"/>
    <n v="1.8"/>
    <n v="0.32"/>
    <n v="0.52"/>
    <n v="4"/>
    <n v="17"/>
    <n v="110"/>
    <n v="240"/>
    <n v="2"/>
    <n v="4"/>
  </r>
  <r>
    <n v="3374"/>
    <s v="RIVER WAH BLEI AT SDAD DKHAR,"/>
    <x v="17"/>
    <n v="14"/>
    <n v="20"/>
    <n v="6.8"/>
    <n v="8.9"/>
    <n v="6.5"/>
    <n v="6.8"/>
    <n v="62"/>
    <n v="89"/>
    <n v="1"/>
    <n v="1.8"/>
    <n v="0.32"/>
    <n v="0.47"/>
    <n v="2"/>
    <n v="21"/>
    <n v="120"/>
    <n v="170"/>
    <n v="2"/>
    <n v="4"/>
  </r>
  <r>
    <n v="3099"/>
    <s v="RIVER LOHIT AT ALUBARI (D/S)"/>
    <x v="16"/>
    <n v="15"/>
    <n v="28.5"/>
    <n v="0.7"/>
    <n v="9.3000000000000007"/>
    <n v="7.4"/>
    <n v="8.1"/>
    <n v="102"/>
    <n v="286"/>
    <n v="1"/>
    <n v="1"/>
    <n v="0"/>
    <n v="0"/>
    <m/>
    <m/>
    <m/>
    <m/>
    <m/>
    <m/>
  </r>
  <r>
    <n v="3797"/>
    <s v="RIVER MANAS (SANTOSHPUR) NEAR LENGTISINGA"/>
    <x v="12"/>
    <n v="19"/>
    <n v="34"/>
    <n v="5.2"/>
    <n v="5.6"/>
    <n v="6.8"/>
    <n v="7.6"/>
    <n v="132"/>
    <n v="146"/>
    <n v="2"/>
    <n v="2.7"/>
    <n v="0.6"/>
    <n v="1.6"/>
    <n v="600"/>
    <n v="910"/>
    <n v="1100"/>
    <n v="2100"/>
    <n v="210"/>
    <n v="290"/>
  </r>
  <r>
    <n v="2060"/>
    <s v="RIVER MANAS AT NH-31 CROSSING, BARPETA_x000a_DISTRICT, ASSAM"/>
    <x v="12"/>
    <n v="19"/>
    <n v="32"/>
    <n v="5.0999999999999996"/>
    <n v="5.7"/>
    <n v="6.9"/>
    <n v="7.7"/>
    <n v="132"/>
    <n v="168"/>
    <n v="1.9"/>
    <n v="2.7"/>
    <n v="0.6"/>
    <n v="2.2000000000000002"/>
    <n v="600"/>
    <n v="730"/>
    <n v="1100"/>
    <n v="1500"/>
    <n v="210"/>
    <n v="240"/>
  </r>
  <r>
    <n v="1803"/>
    <s v="RIVER MANEY KHOLA AT BURTUK NEAR ARMY BASE_x000a_CAMP, 4 KM U/S OF GANGTOK"/>
    <x v="19"/>
    <n v="12"/>
    <n v="21"/>
    <n v="7.3"/>
    <n v="8.4"/>
    <n v="6.8"/>
    <n v="7.5"/>
    <n v="112"/>
    <n v="172"/>
    <n v="1.9"/>
    <n v="2.5"/>
    <n v="1.9"/>
    <n v="4.5999999999999996"/>
    <n v="22"/>
    <n v="97"/>
    <n v="27"/>
    <n v="155"/>
    <m/>
    <m/>
  </r>
  <r>
    <n v="1804"/>
    <s v="RIVER MANEY KHOLA AFTER CONFLUENCS WITH RAY_x000a_KHOLA AT ADAMPOOL AFTER MEETING WASTE OF STP,_x000a_GANGTOK"/>
    <x v="19"/>
    <n v="13"/>
    <n v="23"/>
    <n v="7.8"/>
    <n v="8.5"/>
    <n v="6.7"/>
    <n v="7.3"/>
    <n v="121"/>
    <n v="178"/>
    <n v="2.1"/>
    <n v="22"/>
    <n v="2"/>
    <n v="23"/>
    <n v="38"/>
    <n v="93"/>
    <n v="68"/>
    <n v="196"/>
    <m/>
    <m/>
  </r>
  <r>
    <n v="2894"/>
    <s v="RIVER MILAK AT BORBORA WARD, TULI"/>
    <x v="13"/>
    <n v="19.600000000000001"/>
    <n v="30.6"/>
    <n v="6.9"/>
    <n v="8.1999999999999993"/>
    <n v="7.1"/>
    <n v="8.1999999999999993"/>
    <n v="79"/>
    <n v="490"/>
    <n v="1"/>
    <n v="1.4"/>
    <n v="0.5"/>
    <n v="1.5"/>
    <m/>
    <m/>
    <m/>
    <m/>
    <m/>
    <m/>
  </r>
  <r>
    <n v="2895"/>
    <s v="RIVER MILAK AT PAPER NAGAR, TULI"/>
    <x v="13"/>
    <n v="19.5"/>
    <n v="30"/>
    <n v="7"/>
    <n v="8.3000000000000007"/>
    <n v="7.4"/>
    <n v="8.4"/>
    <n v="85"/>
    <n v="520"/>
    <n v="1"/>
    <n v="1.5"/>
    <n v="0.4"/>
    <n v="1.3"/>
    <m/>
    <m/>
    <m/>
    <m/>
    <m/>
    <m/>
  </r>
  <r>
    <n v="3100"/>
    <s v="RIVER NAMCHIK AT KHARSANG"/>
    <x v="16"/>
    <n v="19.600000000000001"/>
    <n v="27.3"/>
    <n v="7.4"/>
    <n v="9.4"/>
    <n v="7.4"/>
    <n v="8.1"/>
    <n v="78"/>
    <n v="476"/>
    <n v="1"/>
    <n v="1"/>
    <n v="0"/>
    <n v="0"/>
    <m/>
    <m/>
    <m/>
    <m/>
    <m/>
    <m/>
  </r>
  <r>
    <n v="3109"/>
    <s v="RIVER NOA DIHING AT NAMSAI, (D/S OF DIHING)"/>
    <x v="16"/>
    <n v="19"/>
    <n v="26.9"/>
    <n v="6.6"/>
    <n v="8.6999999999999993"/>
    <n v="7.6"/>
    <n v="8.4"/>
    <n v="83"/>
    <n v="313"/>
    <n v="1"/>
    <n v="2.2000000000000002"/>
    <n v="0"/>
    <n v="0"/>
    <m/>
    <m/>
    <m/>
    <m/>
    <m/>
    <m/>
  </r>
  <r>
    <n v="3103"/>
    <s v="RIVER PACHIN AT NAHARLAGUN (BELOW BARAPANI_x000a_BRIDGE), (D/S OF RIVER SENKI)"/>
    <x v="16"/>
    <n v="21.6"/>
    <n v="34.200000000000003"/>
    <n v="6"/>
    <n v="9.1999999999999993"/>
    <n v="7.1"/>
    <n v="7.9"/>
    <n v="67"/>
    <n v="193"/>
    <n v="1"/>
    <n v="2.8"/>
    <n v="0"/>
    <n v="0"/>
    <m/>
    <m/>
    <m/>
    <m/>
    <m/>
    <m/>
  </r>
  <r>
    <n v="2065"/>
    <s v="RIVER PAGLDIA NEAR NALBARI TOWN, DIST. NALBARI,_x000a_ASSAM"/>
    <x v="12"/>
    <n v="22"/>
    <n v="33"/>
    <n v="5.8"/>
    <n v="8.1"/>
    <n v="7"/>
    <n v="8"/>
    <n v="142"/>
    <n v="230"/>
    <n v="2"/>
    <n v="2.8"/>
    <n v="0.6"/>
    <n v="1.8"/>
    <n v="610"/>
    <n v="1500"/>
    <n v="1100"/>
    <n v="2100"/>
    <n v="210"/>
    <n v="490"/>
  </r>
  <r>
    <n v="2235"/>
    <s v="RIVER PANCHNOI AT NH-52 CROSSING, ORANG, ASSAM"/>
    <x v="12"/>
    <n v="16"/>
    <n v="28"/>
    <n v="5"/>
    <n v="6.2"/>
    <n v="6.8"/>
    <n v="7.2"/>
    <n v="102"/>
    <n v="144"/>
    <n v="2.2000000000000002"/>
    <n v="2.7"/>
    <n v="0.8"/>
    <n v="1.7"/>
    <n v="620"/>
    <n v="940"/>
    <n v="1300"/>
    <n v="2100"/>
    <n v="210"/>
    <n v="290"/>
  </r>
  <r>
    <n v="1531"/>
    <s v="RIVER MORA BHARALI AT TEZPUR, ASSAM"/>
    <x v="12"/>
    <n v="19"/>
    <n v="30"/>
    <n v="3.8"/>
    <n v="5.4"/>
    <n v="6.9"/>
    <n v="7.4"/>
    <n v="148"/>
    <n v="242"/>
    <n v="3"/>
    <n v="3.3"/>
    <n v="0.9"/>
    <n v="2"/>
    <n v="360"/>
    <n v="940"/>
    <n v="1100"/>
    <n v="2000"/>
    <n v="120"/>
    <n v="290"/>
  </r>
  <r>
    <n v="1929"/>
    <s v="RIVER CHATHE NEAR ICAR, MEDZIPHEMA"/>
    <x v="13"/>
    <n v="17.2"/>
    <n v="31.4"/>
    <n v="6.6"/>
    <n v="8"/>
    <n v="6.5"/>
    <n v="8.9"/>
    <n v="85"/>
    <n v="232"/>
    <n v="1.2"/>
    <n v="1.8"/>
    <n v="0.4"/>
    <n v="1.8"/>
    <m/>
    <m/>
    <m/>
    <m/>
    <m/>
    <m/>
  </r>
  <r>
    <n v="1930"/>
    <s v="RIVER DZU AT DZU BRIDGE"/>
    <x v="13"/>
    <n v="20.399999999999999"/>
    <n v="32.200000000000003"/>
    <n v="6.1"/>
    <n v="8.6"/>
    <n v="6.6"/>
    <n v="8.6"/>
    <n v="95"/>
    <n v="760"/>
    <n v="1.4"/>
    <n v="2"/>
    <n v="0.5"/>
    <n v="2.1"/>
    <m/>
    <m/>
    <m/>
    <m/>
    <m/>
    <m/>
  </r>
  <r>
    <n v="1232"/>
    <s v="RIVER MAHI (D/S) CONF WITH R. CHAP (UNDER_x000a_SAGWARA-SARHI RD. BDG.), RAJASTHAN"/>
    <x v="11"/>
    <n v="24"/>
    <n v="30"/>
    <n v="4.8"/>
    <n v="5.9"/>
    <n v="7.2"/>
    <n v="7.9"/>
    <n v="367"/>
    <n v="797"/>
    <n v="1.7"/>
    <n v="2.8"/>
    <n v="1.22"/>
    <n v="2.82"/>
    <n v="70"/>
    <n v="120"/>
    <n v="110"/>
    <n v="170"/>
    <n v="21"/>
    <n v="34"/>
  </r>
  <r>
    <n v="30061"/>
    <s v="RIVER MAHI AT GAMMON BRIDGE NEAR PADLA CHOWKI,_x000a_BANSWARA (MP &amp; RJASTHAN)"/>
    <x v="11"/>
    <n v="21"/>
    <n v="30"/>
    <n v="8.1"/>
    <n v="9.5"/>
    <n v="7.1"/>
    <n v="8.1999999999999993"/>
    <n v="182"/>
    <n v="351"/>
    <n v="2"/>
    <n v="2.5"/>
    <n v="0.32"/>
    <n v="0.5"/>
    <n v="2"/>
    <n v="10"/>
    <n v="63"/>
    <n v="170"/>
    <n v="2"/>
    <n v="2"/>
  </r>
  <r>
    <n v="4"/>
    <s v="RIVER MAHI AT SEVALIA"/>
    <x v="20"/>
    <n v="25"/>
    <n v="32"/>
    <n v="7.5"/>
    <n v="8.1999999999999993"/>
    <n v="7.9"/>
    <n v="8.5"/>
    <n v="263"/>
    <n v="480"/>
    <n v="1"/>
    <n v="1"/>
    <n v="0.52"/>
    <n v="0.86"/>
    <n v="7"/>
    <n v="240"/>
    <n v="22"/>
    <n v="500"/>
    <n v="2"/>
    <n v="2"/>
  </r>
  <r>
    <n v="5"/>
    <s v="RIVER MAHI AT VASAD"/>
    <x v="20"/>
    <n v="24"/>
    <n v="33"/>
    <n v="7.5"/>
    <n v="8.5"/>
    <n v="7.8"/>
    <n v="8.5"/>
    <n v="320"/>
    <n v="595"/>
    <n v="1"/>
    <n v="1"/>
    <n v="0.72"/>
    <n v="1.1399999999999999"/>
    <n v="2"/>
    <n v="14"/>
    <n v="21"/>
    <n v="50"/>
    <m/>
    <m/>
  </r>
  <r>
    <n v="1229"/>
    <s v="RIVER MAHI NEAR RAJASTHAN BORDER AT KADANA_x000a_DAM,"/>
    <x v="20"/>
    <n v="24"/>
    <n v="29"/>
    <n v="7.5"/>
    <n v="8.1999999999999993"/>
    <n v="7.9"/>
    <n v="8.5"/>
    <n v="281"/>
    <n v="476"/>
    <n v="1"/>
    <n v="1"/>
    <n v="0.32"/>
    <n v="0.75"/>
    <n v="2"/>
    <n v="11"/>
    <n v="4"/>
    <n v="33"/>
    <m/>
    <m/>
  </r>
  <r>
    <n v="1230"/>
    <s v="RIVER MAHI AFTER CONF. WITH ANAS AT PARDI_x000a_(BANASWADA),"/>
    <x v="20"/>
    <n v="24"/>
    <n v="29"/>
    <n v="7.4"/>
    <n v="8.1999999999999993"/>
    <n v="7.9"/>
    <n v="8.5"/>
    <n v="261"/>
    <n v="469"/>
    <n v="1"/>
    <n v="1"/>
    <n v="0.54"/>
    <n v="0.82"/>
    <n v="2"/>
    <n v="7"/>
    <n v="13"/>
    <n v="21"/>
    <m/>
    <m/>
  </r>
  <r>
    <n v="1231"/>
    <s v="RIVER MAHI AT VIRPUR,"/>
    <x v="20"/>
    <n v="24"/>
    <n v="29.5"/>
    <n v="7.5"/>
    <n v="8.1999999999999993"/>
    <n v="7.9"/>
    <n v="8.5"/>
    <n v="278"/>
    <n v="465"/>
    <n v="1"/>
    <n v="1"/>
    <n v="0.94"/>
    <n v="1.25"/>
    <n v="2"/>
    <n v="11"/>
    <n v="14"/>
    <n v="50"/>
    <m/>
    <m/>
  </r>
  <r>
    <n v="1863"/>
    <s v="RIVER MAHI AT UMETA BRIDGE"/>
    <x v="20"/>
    <n v="24"/>
    <n v="33"/>
    <n v="7.5"/>
    <n v="8.1999999999999993"/>
    <n v="7.6"/>
    <n v="8.5"/>
    <n v="312"/>
    <n v="663"/>
    <n v="1"/>
    <n v="1"/>
    <n v="0.44"/>
    <n v="1.06"/>
    <n v="4"/>
    <n v="17"/>
    <n v="22"/>
    <n v="70"/>
    <m/>
    <m/>
  </r>
  <r>
    <n v="1864"/>
    <s v="RIVER MAHI AT MUJPUR"/>
    <x v="20"/>
    <n v="27"/>
    <n v="32"/>
    <n v="6.7"/>
    <n v="8.1999999999999993"/>
    <n v="8.4"/>
    <n v="8.6999999999999993"/>
    <n v="326"/>
    <n v="1440"/>
    <n v="1"/>
    <n v="1.2"/>
    <n v="0.32"/>
    <n v="1.24"/>
    <n v="14"/>
    <n v="80"/>
    <n v="63"/>
    <n v="350"/>
    <m/>
    <m/>
  </r>
  <r>
    <n v="3206"/>
    <s v="RIVER MAHI AT SHERKHI BRIDGESINDHROT BRIDGE-VADODARA"/>
    <x v="20"/>
    <n v="22"/>
    <n v="32"/>
    <n v="7.4"/>
    <n v="8"/>
    <n v="8"/>
    <n v="8.6"/>
    <n v="318"/>
    <n v="1550"/>
    <n v="1"/>
    <n v="1"/>
    <n v="1.02"/>
    <n v="1.31"/>
    <n v="4"/>
    <n v="30"/>
    <n v="17"/>
    <n v="70"/>
    <m/>
    <m/>
  </r>
  <r>
    <n v="4415"/>
    <s v="RIVER MAHI AT DODKAVILLAGE : PRATHAMPURA"/>
    <x v="20"/>
    <n v="22"/>
    <n v="30"/>
    <n v="7.5"/>
    <n v="8.5"/>
    <n v="8.1"/>
    <n v="8.5"/>
    <n v="307"/>
    <n v="554"/>
    <n v="1"/>
    <n v="1"/>
    <n v="0.82"/>
    <n v="1.36"/>
    <n v="4"/>
    <n v="30"/>
    <n v="21"/>
    <n v="70"/>
    <m/>
    <m/>
  </r>
  <r>
    <n v="30050"/>
    <s v="RIVER MAHI ABOUT 500 METERS D/S OF KADANA DAM_x000a_NEAR BRIDGE, PANCHMAHAL, GUJARAT (RAJASTHAN_x000a_AND GUJARAT)"/>
    <x v="20"/>
    <n v="29"/>
    <n v="29"/>
    <n v="4.9000000000000004"/>
    <n v="4.9000000000000004"/>
    <n v="7.9"/>
    <n v="7.9"/>
    <n v="400"/>
    <n v="400"/>
    <n v="1.3"/>
    <n v="1.3"/>
    <n v="0.32"/>
    <n v="0.32"/>
    <n v="170"/>
    <n v="170"/>
    <n v="340"/>
    <n v="340"/>
    <m/>
    <m/>
  </r>
  <r>
    <n v="1233"/>
    <s v="RIVER MAHI AT BADNAWAR, M.P."/>
    <x v="10"/>
    <n v="20"/>
    <n v="22"/>
    <n v="7"/>
    <n v="7.8"/>
    <n v="7.1"/>
    <n v="8.4"/>
    <n v="274"/>
    <n v="603"/>
    <n v="1"/>
    <n v="1.4"/>
    <n v="0.8"/>
    <n v="1.59"/>
    <n v="2"/>
    <n v="2"/>
    <n v="40"/>
    <n v="49"/>
    <m/>
    <m/>
  </r>
  <r>
    <n v="3318"/>
    <s v="RIVER MAHI AT RANISINGH VILLAGE, RATLAM, UJJAIN"/>
    <x v="10"/>
    <n v="21"/>
    <n v="29"/>
    <n v="7"/>
    <n v="7.5"/>
    <n v="7.6"/>
    <n v="7.9"/>
    <n v="270"/>
    <n v="390"/>
    <n v="1.6"/>
    <n v="2"/>
    <n v="0.32"/>
    <n v="1.01"/>
    <n v="2"/>
    <n v="2"/>
    <n v="46"/>
    <n v="48"/>
    <n v="2"/>
    <n v="2"/>
  </r>
  <r>
    <n v="4608"/>
    <s v="RIVER MAHI FOREST GUEST HOUSE RAJAPUR MATAJI_x000a_SHIVGARH RATLAM."/>
    <x v="10"/>
    <n v="20"/>
    <n v="29"/>
    <n v="7.2"/>
    <n v="7.6"/>
    <n v="7.5"/>
    <n v="8.5"/>
    <n v="224"/>
    <n v="476"/>
    <n v="1.6"/>
    <n v="2"/>
    <n v="0.32"/>
    <n v="0.75"/>
    <n v="2"/>
    <n v="2"/>
    <n v="46"/>
    <n v="49"/>
    <n v="2"/>
    <n v="2"/>
  </r>
  <r>
    <n v="30058"/>
    <s v="RIVER MAHI AT VILLAGE BAJNA (MP &amp; RJASTHAN)"/>
    <x v="10"/>
    <n v="22"/>
    <n v="26"/>
    <n v="8.4"/>
    <n v="8.9"/>
    <n v="7.4"/>
    <n v="8.1999999999999993"/>
    <n v="162"/>
    <n v="355"/>
    <n v="2"/>
    <n v="2.2999999999999998"/>
    <n v="0.32"/>
    <n v="0.92"/>
    <n v="2"/>
    <n v="12"/>
    <n v="130"/>
    <n v="150"/>
    <n v="2"/>
    <n v="2"/>
  </r>
  <r>
    <n v="3848"/>
    <s v="RIVER ANAS RIVER NEAR ROAD BRIDGE JHABUA"/>
    <x v="10"/>
    <n v="20"/>
    <n v="22"/>
    <n v="6.9"/>
    <n v="7.6"/>
    <n v="7"/>
    <n v="8.5"/>
    <n v="302"/>
    <n v="445"/>
    <n v="1"/>
    <n v="1.8"/>
    <n v="0.73"/>
    <n v="1.55"/>
    <n v="2"/>
    <n v="2"/>
    <n v="2"/>
    <n v="49"/>
    <n v="2"/>
    <n v="2"/>
  </r>
  <r>
    <n v="1228"/>
    <s v="RIVER ANAS AT DAHOD, (KUSHALGARH), DIST._x000a_PANCHMAHAL"/>
    <x v="20"/>
    <n v="24"/>
    <n v="29"/>
    <n v="7.4"/>
    <n v="8.1999999999999993"/>
    <n v="8.1"/>
    <n v="8.5"/>
    <n v="295"/>
    <n v="572"/>
    <n v="1"/>
    <n v="1"/>
    <n v="0.32"/>
    <n v="0.44"/>
    <n v="2"/>
    <n v="14"/>
    <n v="11"/>
    <n v="70"/>
    <n v="2"/>
    <n v="2"/>
  </r>
  <r>
    <n v="2104"/>
    <s v="RIVER MALEI AT JAORA"/>
    <x v="10"/>
    <n v="22"/>
    <n v="28"/>
    <n v="7.1"/>
    <n v="7.5"/>
    <n v="6.9"/>
    <n v="8.1999999999999993"/>
    <n v="260"/>
    <n v="868"/>
    <n v="1.8"/>
    <n v="2.1"/>
    <n v="0.32"/>
    <n v="2.96"/>
    <n v="2"/>
    <n v="2"/>
    <n v="41"/>
    <n v="49"/>
    <n v="2"/>
    <n v="2"/>
  </r>
  <r>
    <n v="2102"/>
    <s v="RIVER SHIVNA AT RAMGHAT, MANDSAUR"/>
    <x v="10"/>
    <n v="24"/>
    <n v="28"/>
    <n v="7.4"/>
    <n v="7.7"/>
    <n v="7.4"/>
    <n v="8.1"/>
    <n v="266"/>
    <n v="637"/>
    <n v="2"/>
    <n v="2"/>
    <n v="0.32"/>
    <n v="0.93"/>
    <n v="2"/>
    <n v="2"/>
    <n v="48"/>
    <n v="49"/>
    <n v="2"/>
    <n v="2"/>
  </r>
  <r>
    <n v="1227"/>
    <s v="RIVER PANAM AT LUNAWADA,"/>
    <x v="20"/>
    <n v="24"/>
    <n v="30"/>
    <n v="7.4"/>
    <n v="8.1999999999999993"/>
    <n v="8"/>
    <n v="8.5"/>
    <n v="231"/>
    <n v="477"/>
    <n v="1"/>
    <n v="1"/>
    <n v="0.32"/>
    <n v="0.38"/>
    <n v="2"/>
    <n v="9"/>
    <n v="11"/>
    <n v="50"/>
    <m/>
    <m/>
  </r>
  <r>
    <n v="2105"/>
    <s v="RIVER CHILLAR AT SHAJAPUR"/>
    <x v="10"/>
    <n v="23"/>
    <n v="28"/>
    <n v="6.7"/>
    <n v="7.5"/>
    <n v="7.3"/>
    <n v="7.9"/>
    <n v="252"/>
    <n v="450"/>
    <n v="1.6"/>
    <n v="2"/>
    <n v="0.32"/>
    <n v="0.9"/>
    <n v="2"/>
    <n v="2"/>
    <n v="47"/>
    <n v="49"/>
    <n v="2"/>
    <n v="2"/>
  </r>
  <r>
    <n v="2103"/>
    <s v="RIVER JAMMER AT DHOLABAD, RATLAM"/>
    <x v="10"/>
    <n v="20"/>
    <n v="29"/>
    <n v="7"/>
    <n v="7.6"/>
    <n v="7.4"/>
    <n v="7.7"/>
    <n v="130"/>
    <n v="375"/>
    <n v="1.4"/>
    <n v="2"/>
    <n v="0.32"/>
    <n v="0.98"/>
    <n v="2"/>
    <n v="2"/>
    <n v="46"/>
    <n v="49"/>
    <n v="2"/>
    <n v="2"/>
  </r>
  <r>
    <n v="5476"/>
    <s v="RIVER MAHI AT MAHI DAM,VILLAGE-BHOR KHERA_x000a_,BANSWARA"/>
    <x v="11"/>
    <n v="27"/>
    <n v="29"/>
    <n v="4"/>
    <n v="5.4"/>
    <n v="7.4"/>
    <n v="7.6"/>
    <n v="280"/>
    <n v="542"/>
    <n v="2.1"/>
    <n v="2.6"/>
    <n v="5.23"/>
    <n v="8.52"/>
    <n v="80"/>
    <n v="110"/>
    <n v="140"/>
    <n v="180"/>
    <n v="17"/>
    <n v="26"/>
  </r>
  <r>
    <n v="4620"/>
    <s v="RIVER AJAB BOURALI AT PETLAWAD DAM PETLAVAD,_x000a_JHABUA"/>
    <x v="10"/>
    <n v="20"/>
    <n v="21.5"/>
    <n v="6.9"/>
    <n v="7.7"/>
    <n v="7.5"/>
    <n v="8.3000000000000007"/>
    <n v="300"/>
    <n v="539"/>
    <n v="1"/>
    <n v="1.2"/>
    <n v="0.54"/>
    <n v="1.69"/>
    <n v="2"/>
    <n v="2"/>
    <n v="34"/>
    <n v="49"/>
    <n v="2"/>
    <n v="2"/>
  </r>
  <r>
    <n v="1221"/>
    <s v="RIVER SABARMATI AT KHEROJ BRIDGE,"/>
    <x v="20"/>
    <n v="25"/>
    <n v="27"/>
    <n v="5"/>
    <n v="7.6"/>
    <n v="7.2"/>
    <n v="8.1999999999999993"/>
    <n v="380"/>
    <n v="765"/>
    <n v="1"/>
    <n v="1.3"/>
    <n v="0.32"/>
    <n v="1.03"/>
    <n v="2"/>
    <n v="12"/>
    <n v="6"/>
    <n v="70"/>
    <n v="2"/>
    <n v="2"/>
  </r>
  <r>
    <n v="1223"/>
    <s v="RIVER SABARMATI AFTER CONF. WITH MESHWA AT_x000a_VAUTHA (NEAR DHOKLA),"/>
    <x v="20"/>
    <n v="20"/>
    <n v="32"/>
    <n v="0.3"/>
    <n v="5.0999999999999996"/>
    <n v="7.4"/>
    <n v="8.4"/>
    <n v="680"/>
    <n v="2513"/>
    <n v="7"/>
    <n v="27"/>
    <n v="0.33"/>
    <n v="2.27"/>
    <n v="1600"/>
    <n v="1600"/>
    <n v="1600"/>
    <n v="1600"/>
    <m/>
    <m/>
  </r>
  <r>
    <n v="1409"/>
    <s v="RIVER SABARMATI AT RAILWAY BRIDGE AHMEDABAD,"/>
    <x v="20"/>
    <n v="27"/>
    <n v="30"/>
    <n v="2.7"/>
    <n v="6.8"/>
    <n v="7"/>
    <n v="8.3000000000000007"/>
    <n v="302"/>
    <n v="590"/>
    <n v="1"/>
    <n v="4.0999999999999996"/>
    <n v="0.4"/>
    <n v="1.36"/>
    <n v="21"/>
    <n v="170"/>
    <n v="110"/>
    <n v="540"/>
    <m/>
    <m/>
  </r>
  <r>
    <n v="1866"/>
    <s v="RIVER SABARMATI AT HANSAOL BRIDGE,"/>
    <x v="20"/>
    <n v="26"/>
    <n v="30"/>
    <n v="4.2"/>
    <n v="7.6"/>
    <n v="7.4"/>
    <n v="8.1999999999999993"/>
    <n v="278"/>
    <n v="402"/>
    <n v="1"/>
    <n v="1.8"/>
    <n v="0.41"/>
    <n v="1.61"/>
    <n v="2"/>
    <n v="33"/>
    <n v="17"/>
    <n v="170"/>
    <m/>
    <m/>
  </r>
  <r>
    <n v="1"/>
    <s v="RIVER SABARMATI AT DHAROI DAM"/>
    <x v="20"/>
    <n v="28"/>
    <n v="28"/>
    <n v="2.8"/>
    <n v="2.8"/>
    <n v="7.9"/>
    <n v="7.9"/>
    <n v="560"/>
    <n v="560"/>
    <n v="5"/>
    <n v="5"/>
    <n v="2.4"/>
    <n v="2.4"/>
    <n v="1600"/>
    <n v="1600"/>
    <n v="1600"/>
    <n v="1600"/>
    <n v="1600"/>
    <n v="1600"/>
  </r>
  <r>
    <n v="2"/>
    <s v="RIVER SABARMATI AT AHMEDABAD AT V.N. BRIDGE"/>
    <x v="20"/>
    <n v="27"/>
    <n v="30"/>
    <n v="0.3"/>
    <n v="1.2"/>
    <n v="7.1"/>
    <n v="8"/>
    <n v="697"/>
    <n v="2741"/>
    <n v="12"/>
    <n v="105"/>
    <n v="0.4"/>
    <n v="24.85"/>
    <n v="1600"/>
    <n v="1600"/>
    <n v="1600"/>
    <n v="1600"/>
    <n v="1600"/>
    <n v="1600"/>
  </r>
  <r>
    <n v="1408"/>
    <s v="RIVER SABARMATI AT VILL. MIROLI TALUKA DASCROI,_x000a_AHMEDABAD,"/>
    <x v="20"/>
    <n v="28"/>
    <n v="32"/>
    <n v="0.3"/>
    <n v="4.8"/>
    <n v="7.2"/>
    <n v="8"/>
    <n v="889"/>
    <n v="6274"/>
    <n v="8"/>
    <n v="31"/>
    <n v="0"/>
    <n v="1.06"/>
    <n v="160"/>
    <n v="1600"/>
    <n v="1600"/>
    <n v="1600"/>
    <n v="1600"/>
    <n v="1600"/>
  </r>
  <r>
    <n v="2075"/>
    <s v="RIVER SABARMATI AT DHAROI DAM, DIST._x000a_MEHSANA.RIVER SABARMATI TA DHAROI DAM, TAL :_x000a_SATALASANA, DIST : MEHSANA"/>
    <x v="20"/>
    <n v="25"/>
    <n v="30"/>
    <n v="5.4"/>
    <n v="7.3"/>
    <n v="7.7"/>
    <n v="8.3000000000000007"/>
    <n v="384"/>
    <n v="560"/>
    <n v="1"/>
    <n v="1.7"/>
    <n v="0.32"/>
    <n v="1.56"/>
    <n v="2"/>
    <n v="6"/>
    <n v="2"/>
    <n v="47"/>
    <n v="2"/>
    <n v="2"/>
  </r>
  <r>
    <n v="10014"/>
    <s v="RIVER SABARMATI AT AHMEDABAD U/SHANSOL,_x000a_AHMEDABAD"/>
    <x v="20"/>
    <n v="26"/>
    <n v="30"/>
    <n v="4.2"/>
    <n v="7.6"/>
    <n v="7.4"/>
    <n v="8.1999999999999993"/>
    <n v="278"/>
    <n v="402"/>
    <n v="1"/>
    <n v="1.8"/>
    <n v="0.41"/>
    <n v="0.94"/>
    <n v="2"/>
    <n v="33"/>
    <n v="17"/>
    <n v="170"/>
    <n v="2"/>
    <n v="2"/>
  </r>
  <r>
    <n v="10015"/>
    <s v="RIVER SABARMATI AT AHMEDABAD D/SVILL:_x000a_MIROLI,TALUKA DASCROI, AHMEDABAD,"/>
    <x v="20"/>
    <n v="28"/>
    <n v="32"/>
    <n v="0.3"/>
    <n v="4.8"/>
    <n v="7.2"/>
    <n v="8"/>
    <n v="889"/>
    <n v="3060"/>
    <n v="8"/>
    <n v="31"/>
    <n v="0.33"/>
    <n v="1.08"/>
    <n v="1600"/>
    <n v="1600"/>
    <n v="1600"/>
    <n v="1600"/>
    <m/>
    <m/>
  </r>
  <r>
    <n v="30042"/>
    <s v="RIVER SABARMATI AT KHEROJ BRIDGE, SABARKANTHA,_x000a_AMBAJI HIGHWAY, KHEROJ, GUJARAT (RAJASTHAN AND_x000a_GUJARAT)"/>
    <x v="20"/>
    <n v="24"/>
    <n v="24"/>
    <n v="9.6"/>
    <n v="9.6"/>
    <n v="8"/>
    <n v="8"/>
    <n v="607"/>
    <n v="607"/>
    <n v="2.5"/>
    <n v="2.5"/>
    <n v="0.32"/>
    <n v="0.32"/>
    <n v="110"/>
    <n v="110"/>
    <n v="330"/>
    <n v="330"/>
    <m/>
    <m/>
  </r>
  <r>
    <n v="1482"/>
    <s v="RIVER SABARMATI AT MAHUDI JAIN TEMPLE, 150 KM._x000a_FORM ORIGIN,"/>
    <x v="20"/>
    <n v="27"/>
    <n v="32"/>
    <n v="4.0999999999999996"/>
    <n v="7.2"/>
    <n v="7.5"/>
    <n v="8.4"/>
    <n v="346"/>
    <n v="590"/>
    <n v="1"/>
    <n v="2"/>
    <n v="0.46"/>
    <n v="1.21"/>
    <n v="2"/>
    <n v="12"/>
    <n v="13"/>
    <n v="70"/>
    <m/>
    <m/>
  </r>
  <r>
    <n v="1407"/>
    <s v="RIVER SABARMATI AT GANDHI NAGAR CHILODA_x000a_BRIDGE, LEKAWADA,"/>
    <x v="20"/>
    <n v="27"/>
    <n v="32"/>
    <n v="5.0999999999999996"/>
    <n v="7"/>
    <n v="7.4"/>
    <n v="8.5"/>
    <n v="363"/>
    <n v="560"/>
    <n v="1"/>
    <n v="1.8"/>
    <n v="0.39"/>
    <n v="1.66"/>
    <n v="2"/>
    <n v="4"/>
    <n v="21"/>
    <n v="33"/>
    <m/>
    <m/>
  </r>
  <r>
    <n v="1222"/>
    <s v="RIVER SHEDHI AT KHEDA,"/>
    <x v="20"/>
    <n v="28"/>
    <n v="35"/>
    <n v="4.5"/>
    <n v="7.2"/>
    <n v="7.7"/>
    <n v="8.5"/>
    <n v="460"/>
    <n v="2616"/>
    <n v="1"/>
    <n v="2.7"/>
    <n v="1.1200000000000001"/>
    <n v="7.94"/>
    <n v="50"/>
    <n v="1600"/>
    <n v="300"/>
    <n v="1600"/>
    <n v="2"/>
    <n v="540"/>
  </r>
  <r>
    <n v="1437"/>
    <s v="RIVER KHARI AT LALI VILLAGE NEAR AHMEDABAD,"/>
    <x v="20"/>
    <n v="28"/>
    <n v="30"/>
    <n v="0.3"/>
    <n v="1.5"/>
    <n v="7.2"/>
    <n v="7.5"/>
    <n v="1112"/>
    <n v="2558"/>
    <n v="11"/>
    <n v="68"/>
    <n v="0.33"/>
    <n v="1.05"/>
    <n v="1600"/>
    <n v="1600"/>
    <n v="1600"/>
    <n v="1600"/>
    <n v="1600"/>
    <n v="1600"/>
  </r>
  <r>
    <n v="3321"/>
    <s v="RIVER NARMADA AT AMARKANTAK FROM ORIGIN POINT,"/>
    <x v="10"/>
    <n v="23.5"/>
    <n v="30.2"/>
    <n v="6.6"/>
    <n v="8.6999999999999993"/>
    <n v="7.1"/>
    <n v="8.3000000000000007"/>
    <n v="186"/>
    <n v="705"/>
    <n v="1"/>
    <n v="1.8"/>
    <n v="0.32"/>
    <n v="0.57999999999999996"/>
    <n v="2"/>
    <n v="2"/>
    <n v="27"/>
    <n v="94"/>
    <n v="2"/>
    <n v="2"/>
  </r>
  <r>
    <n v="1242"/>
    <s v="RIVER NARMADA NEAR ORIGIN POINT AT AMARKANTAK_x000a_M.P."/>
    <x v="10"/>
    <n v="22.6"/>
    <n v="30.2"/>
    <n v="6.5"/>
    <n v="6.8"/>
    <n v="6.6"/>
    <n v="7.9"/>
    <n v="165"/>
    <n v="1864"/>
    <n v="1"/>
    <n v="1.9"/>
    <n v="0.32"/>
    <n v="0.34"/>
    <n v="2"/>
    <n v="2"/>
    <n v="2"/>
    <n v="20"/>
    <n v="2"/>
    <n v="2"/>
  </r>
  <r>
    <n v="4578"/>
    <s v="RIVER NARMADA AT PUSKAR DAM AMARKANTAK"/>
    <x v="10"/>
    <n v="22.8"/>
    <n v="30.2"/>
    <n v="6.6"/>
    <n v="8.1"/>
    <n v="6.9"/>
    <n v="8"/>
    <n v="173"/>
    <n v="2756"/>
    <n v="1.6"/>
    <n v="2.2999999999999998"/>
    <n v="0.32"/>
    <n v="0.48"/>
    <n v="2"/>
    <n v="2"/>
    <n v="41"/>
    <n v="110"/>
    <n v="2"/>
    <n v="2"/>
  </r>
  <r>
    <n v="1241"/>
    <s v="RIVER NARMADA AT MANDLA NEAR ROAD BRIDGE. M.P."/>
    <x v="10"/>
    <n v="21.2"/>
    <n v="24.6"/>
    <n v="7"/>
    <n v="7.8"/>
    <n v="7.3"/>
    <n v="7.9"/>
    <n v="250"/>
    <n v="611"/>
    <n v="1.2"/>
    <n v="2"/>
    <n v="0.16"/>
    <n v="1.44"/>
    <n v="2"/>
    <n v="6"/>
    <n v="17"/>
    <n v="48"/>
    <m/>
    <m/>
  </r>
  <r>
    <n v="1240"/>
    <s v="RIVER NARMADA AT BARMANGHAT, NARSINGHPUR M.P."/>
    <x v="10"/>
    <n v="20.9"/>
    <n v="24.6"/>
    <n v="7"/>
    <n v="8.3000000000000007"/>
    <n v="7.2"/>
    <n v="7.9"/>
    <n v="233"/>
    <n v="711"/>
    <n v="1.1000000000000001"/>
    <n v="2"/>
    <n v="0.14000000000000001"/>
    <n v="1.4"/>
    <n v="2"/>
    <n v="3"/>
    <n v="10"/>
    <n v="43"/>
    <m/>
    <m/>
  </r>
  <r>
    <n v="2106"/>
    <s v="RIVER NARMADA AT NEMAWAR"/>
    <x v="10"/>
    <n v="22"/>
    <n v="27"/>
    <n v="6.6"/>
    <n v="7.6"/>
    <n v="7.6"/>
    <n v="7.8"/>
    <n v="198"/>
    <n v="394"/>
    <n v="1.2"/>
    <n v="2"/>
    <n v="0.32"/>
    <n v="0.65"/>
    <n v="2"/>
    <n v="2"/>
    <n v="43"/>
    <n v="48"/>
    <n v="2"/>
    <n v="2"/>
  </r>
  <r>
    <n v="4595"/>
    <s v="RIVER NARMADA 500 M.D/S NEAR JAIN MANDER_x000a_VILLAGE NEMAWAR"/>
    <x v="10"/>
    <n v="22"/>
    <n v="28"/>
    <n v="6.5"/>
    <n v="7.7"/>
    <n v="7.2"/>
    <n v="7.8"/>
    <n v="212"/>
    <n v="430"/>
    <n v="2"/>
    <n v="2"/>
    <n v="0.54"/>
    <n v="0.73"/>
    <n v="2"/>
    <n v="2"/>
    <n v="47"/>
    <n v="49"/>
    <n v="2"/>
    <n v="2"/>
  </r>
  <r>
    <n v="45"/>
    <s v="RIVER NARMADA AT MANDLESHWAR"/>
    <x v="10"/>
    <n v="19.5"/>
    <n v="21.5"/>
    <n v="7.2"/>
    <n v="8"/>
    <n v="7.7"/>
    <n v="8.5"/>
    <n v="212"/>
    <n v="332"/>
    <n v="1"/>
    <n v="1.1000000000000001"/>
    <n v="0.83"/>
    <n v="790.02"/>
    <n v="2"/>
    <n v="2"/>
    <n v="34"/>
    <n v="49"/>
    <n v="2"/>
    <n v="2"/>
  </r>
  <r>
    <n v="1239"/>
    <s v="RIVER NARMADA AT BADWANI, M.P."/>
    <x v="10"/>
    <n v="19"/>
    <n v="22"/>
    <n v="7.2"/>
    <n v="7.8"/>
    <n v="7.8"/>
    <n v="8.5"/>
    <n v="246"/>
    <n v="346"/>
    <n v="1"/>
    <n v="1.2"/>
    <n v="0.82"/>
    <n v="1.2"/>
    <n v="2"/>
    <n v="2"/>
    <n v="38"/>
    <n v="48"/>
    <m/>
    <m/>
  </r>
  <r>
    <n v="1431"/>
    <s v="RIVER NARMADA AT MAHESHWAR, M. P."/>
    <x v="10"/>
    <n v="19.5"/>
    <n v="21.5"/>
    <n v="7"/>
    <n v="7.9"/>
    <n v="7.3"/>
    <n v="8.5"/>
    <n v="211"/>
    <n v="318"/>
    <n v="1"/>
    <n v="1.2"/>
    <n v="0.02"/>
    <n v="1.1200000000000001"/>
    <n v="2"/>
    <n v="2"/>
    <n v="39"/>
    <n v="49"/>
    <n v="2"/>
    <n v="2"/>
  </r>
  <r>
    <n v="1234"/>
    <s v="RIVER NARMADA NEAR SHAHGANJ GUEST HOUSE_x000a_DISTRICT SEHORE (M.P.)"/>
    <x v="10"/>
    <n v="14"/>
    <n v="26"/>
    <n v="5.8"/>
    <n v="11"/>
    <n v="7.3"/>
    <n v="8.5"/>
    <n v="188"/>
    <n v="362"/>
    <n v="1"/>
    <n v="2.4"/>
    <n v="1.4"/>
    <n v="5.97"/>
    <n v="2"/>
    <n v="34"/>
    <n v="130"/>
    <n v="280"/>
    <n v="2"/>
    <n v="2"/>
  </r>
  <r>
    <n v="2112"/>
    <s v="RIVER NARMADA NEAR MORTAKKA BRIDGE, BADWAH"/>
    <x v="10"/>
    <n v="19.5"/>
    <n v="21.5"/>
    <n v="7.2"/>
    <n v="7.9"/>
    <n v="7.4"/>
    <n v="8.5"/>
    <n v="243"/>
    <n v="328"/>
    <n v="1"/>
    <n v="1.4"/>
    <n v="0.83"/>
    <n v="1.27"/>
    <n v="2"/>
    <n v="2"/>
    <n v="33"/>
    <n v="49"/>
    <m/>
    <m/>
  </r>
  <r>
    <n v="44"/>
    <s v="RIVER NARMADA AT SETHANIGHAT"/>
    <x v="10"/>
    <n v="17"/>
    <n v="31"/>
    <n v="7.2"/>
    <n v="8.5"/>
    <n v="7.2"/>
    <n v="8.1999999999999993"/>
    <n v="198"/>
    <n v="311"/>
    <n v="1.3"/>
    <n v="2.1"/>
    <n v="0.39"/>
    <n v="1.93"/>
    <n v="13"/>
    <n v="170"/>
    <n v="150"/>
    <n v="430"/>
    <n v="2"/>
    <n v="2"/>
  </r>
  <r>
    <n v="1235"/>
    <s v="RIVER NARMADA AT HOSHANGABAD 100 METER D/ S_x000a_AFTER CONFLUENCE OF SPM NALLA M.P."/>
    <x v="10"/>
    <n v="12"/>
    <n v="30"/>
    <n v="7.4"/>
    <n v="8.5"/>
    <n v="7.4"/>
    <n v="8.1"/>
    <n v="187"/>
    <n v="315"/>
    <n v="1.1000000000000001"/>
    <n v="1.9"/>
    <n v="0.55000000000000004"/>
    <n v="2.9"/>
    <n v="22"/>
    <n v="94"/>
    <n v="170"/>
    <n v="430"/>
    <n v="2"/>
    <n v="2"/>
  </r>
  <r>
    <n v="2113"/>
    <s v="RIVER NARMADA NEAR PUNASA DAM, PUNASA"/>
    <x v="10"/>
    <n v="20"/>
    <n v="21.5"/>
    <n v="7.1"/>
    <n v="7.8"/>
    <n v="7.5"/>
    <n v="8.5"/>
    <n v="194"/>
    <n v="298"/>
    <n v="1"/>
    <n v="1.1000000000000001"/>
    <n v="0.7"/>
    <n v="1.08"/>
    <n v="2"/>
    <n v="2"/>
    <n v="31"/>
    <n v="41"/>
    <m/>
    <m/>
  </r>
  <r>
    <n v="1430"/>
    <s v="RIVER NARMADA AT D/S OF OMKARESHWAR M.P."/>
    <x v="10"/>
    <n v="19.5"/>
    <n v="21.5"/>
    <n v="7"/>
    <n v="7.8"/>
    <n v="7.7"/>
    <n v="8.4"/>
    <n v="222"/>
    <n v="313"/>
    <n v="1"/>
    <n v="1.1000000000000001"/>
    <n v="0.7"/>
    <n v="1.22"/>
    <n v="2"/>
    <n v="2"/>
    <n v="32"/>
    <n v="47"/>
    <m/>
    <m/>
  </r>
  <r>
    <n v="3322"/>
    <s v="RIVER NARMADA AT MANDLA, NEAR SHAMSHANGHAT,_x000a_JABALPUR"/>
    <x v="10"/>
    <n v="21.3"/>
    <n v="24.5"/>
    <n v="6"/>
    <n v="8"/>
    <n v="7.1"/>
    <n v="7.8"/>
    <n v="250"/>
    <n v="546"/>
    <n v="1"/>
    <n v="2"/>
    <n v="0.13"/>
    <n v="1.4"/>
    <n v="2"/>
    <n v="6"/>
    <n v="17"/>
    <n v="63"/>
    <m/>
    <m/>
  </r>
  <r>
    <n v="2099"/>
    <s v="RIVER NARMADA AT LALPUR, JABALPUR"/>
    <x v="10"/>
    <n v="21"/>
    <n v="23.4"/>
    <n v="7.2"/>
    <n v="7.8"/>
    <n v="7.3"/>
    <n v="7.9"/>
    <n v="230"/>
    <n v="382"/>
    <n v="1.2"/>
    <n v="1.6"/>
    <n v="0.16"/>
    <n v="0.8"/>
    <n v="2"/>
    <n v="2"/>
    <n v="31"/>
    <n v="49"/>
    <m/>
    <m/>
  </r>
  <r>
    <n v="3323"/>
    <s v="RIVER NARMADA AT TILWARAGHAT, JABALPUR"/>
    <x v="10"/>
    <n v="21.2"/>
    <n v="25.4"/>
    <n v="7"/>
    <n v="7.8"/>
    <n v="7.1"/>
    <n v="8"/>
    <n v="256"/>
    <n v="642"/>
    <n v="1.3"/>
    <n v="1.9"/>
    <n v="0.14000000000000001"/>
    <n v="1.6"/>
    <n v="2"/>
    <n v="14"/>
    <n v="17"/>
    <n v="70"/>
    <m/>
    <m/>
  </r>
  <r>
    <n v="3324"/>
    <s v="RIVER NARMADA AT PANCHWATIGHAT, BEFORE MIXING_x000a_WITH BAWANGANGA RIVER, JABALPUR"/>
    <x v="10"/>
    <n v="20.5"/>
    <n v="24.2"/>
    <n v="7.2"/>
    <n v="8"/>
    <n v="7.2"/>
    <n v="8.1"/>
    <n v="224"/>
    <n v="716"/>
    <n v="1"/>
    <n v="2"/>
    <n v="0.3"/>
    <n v="1.44"/>
    <n v="2"/>
    <n v="9"/>
    <n v="11"/>
    <n v="41"/>
    <m/>
    <m/>
  </r>
  <r>
    <n v="3325"/>
    <s v="RIVER NARMADA AT SARSWATIGHAT, AFTER MIXING_x000a_WITH BAWANGANGA RIVER, JABALPUR"/>
    <x v="10"/>
    <n v="20.6"/>
    <n v="24.1"/>
    <n v="6.7"/>
    <n v="7.9"/>
    <n v="7.4"/>
    <n v="8.1"/>
    <n v="242"/>
    <n v="719"/>
    <n v="1.4"/>
    <n v="2"/>
    <n v="0.1"/>
    <n v="2.2599999999999998"/>
    <n v="2"/>
    <n v="4"/>
    <n v="14"/>
    <n v="70"/>
    <m/>
    <m/>
  </r>
  <r>
    <n v="2118"/>
    <s v="RIVER NARMADA RIVER AT D/S OF KAPILDHARA"/>
    <x v="10"/>
    <n v="22.6"/>
    <n v="30.4"/>
    <n v="6.5"/>
    <n v="7.7"/>
    <n v="7.1"/>
    <n v="8"/>
    <n v="167"/>
    <n v="2524"/>
    <n v="1.2"/>
    <n v="2.2000000000000002"/>
    <n v="0.32"/>
    <n v="0.45"/>
    <n v="2"/>
    <n v="2"/>
    <n v="41"/>
    <n v="94"/>
    <n v="2"/>
    <n v="2"/>
  </r>
  <r>
    <n v="2123"/>
    <s v="RIVER NARMADA AT KORIGHAT HOSHANGABAD"/>
    <x v="10"/>
    <n v="17"/>
    <n v="31"/>
    <n v="7.1"/>
    <n v="8.6"/>
    <n v="7.3"/>
    <n v="8.1"/>
    <n v="184"/>
    <n v="312"/>
    <n v="1.1000000000000001"/>
    <n v="1.8"/>
    <n v="0.44"/>
    <n v="2.2000000000000002"/>
    <n v="2"/>
    <n v="46"/>
    <n v="110"/>
    <n v="280"/>
    <n v="2"/>
    <n v="2"/>
  </r>
  <r>
    <n v="3847"/>
    <s v="RIVER NARMADA AT DHARAMPURI"/>
    <x v="10"/>
    <n v="19.5"/>
    <n v="22"/>
    <n v="7.3"/>
    <n v="7.8"/>
    <n v="7.7"/>
    <n v="8.4"/>
    <n v="210"/>
    <n v="315"/>
    <n v="1"/>
    <n v="1.1000000000000001"/>
    <n v="0.02"/>
    <n v="1.05"/>
    <n v="2"/>
    <n v="2"/>
    <n v="33"/>
    <n v="41"/>
    <m/>
    <m/>
  </r>
  <r>
    <n v="4577"/>
    <s v="RIVER NARMADA AT CHANDANGHAT NEAR ROAD_x000a_BRIDGE, DINDORI"/>
    <x v="10"/>
    <n v="23"/>
    <n v="30.5"/>
    <n v="6.7"/>
    <n v="8.1999999999999993"/>
    <n v="7.2"/>
    <n v="8.1"/>
    <n v="187"/>
    <n v="926"/>
    <n v="1"/>
    <n v="1.8"/>
    <n v="0.32"/>
    <n v="1.2"/>
    <n v="2"/>
    <n v="8"/>
    <n v="27"/>
    <n v="84"/>
    <n v="2"/>
    <n v="2"/>
  </r>
  <r>
    <n v="4578"/>
    <s v="RIVER NARMADA AT PUSKAR DAM AMARKANTAK"/>
    <x v="10"/>
    <n v="22.8"/>
    <n v="30.2"/>
    <n v="6.6"/>
    <n v="8.1"/>
    <n v="6.9"/>
    <n v="8"/>
    <n v="173"/>
    <n v="2756"/>
    <n v="1.6"/>
    <n v="2.2999999999999998"/>
    <n v="0.32"/>
    <n v="0.48"/>
    <n v="2"/>
    <n v="2"/>
    <n v="41"/>
    <n v="110"/>
    <n v="2"/>
    <n v="2"/>
  </r>
  <r>
    <n v="4579"/>
    <s v="RIVER NARMADA AT DINDORI D/S AFTER MIXING TO_x000a_CITY DOMESTIC NEAR JOGOTIKARIA GHAT"/>
    <x v="10"/>
    <n v="23.6"/>
    <n v="30.4"/>
    <n v="6.7"/>
    <n v="8.8000000000000007"/>
    <n v="7.6"/>
    <n v="8.1999999999999993"/>
    <n v="194"/>
    <n v="911"/>
    <n v="1.2"/>
    <n v="2.4"/>
    <n v="0.36"/>
    <n v="0.7"/>
    <n v="2"/>
    <n v="4"/>
    <n v="43"/>
    <n v="120"/>
    <n v="2"/>
    <n v="2"/>
  </r>
  <r>
    <n v="4580"/>
    <s v="RIVER NARMADA NEAR BHAIRAV TAMPLE AT_x000a_SHHASTRADHARA MANDLA"/>
    <x v="10"/>
    <n v="21.1"/>
    <n v="24.3"/>
    <n v="6.8"/>
    <n v="8"/>
    <n v="7.2"/>
    <n v="7.9"/>
    <n v="271"/>
    <n v="661"/>
    <n v="1.2"/>
    <n v="1.9"/>
    <n v="0.23"/>
    <n v="1.3"/>
    <n v="2"/>
    <n v="6"/>
    <n v="17"/>
    <n v="49"/>
    <m/>
    <m/>
  </r>
  <r>
    <n v="4581"/>
    <s v="RIVER NARMADA NEAR ROAD BRIDGE (D/S BARGI DAM)_x000a_JABALPUR"/>
    <x v="10"/>
    <n v="20.9"/>
    <n v="25.7"/>
    <n v="7.1"/>
    <n v="7.9"/>
    <n v="7.5"/>
    <n v="7.9"/>
    <n v="248"/>
    <n v="716"/>
    <n v="1.3"/>
    <n v="1.8"/>
    <n v="0.04"/>
    <n v="1.32"/>
    <n v="2"/>
    <n v="6"/>
    <n v="17"/>
    <n v="48"/>
    <m/>
    <m/>
  </r>
  <r>
    <n v="4582"/>
    <s v="RIVER NARMADA AT JAMTARA, NEAR RAILWAY BRIDGE"/>
    <x v="10"/>
    <n v="21"/>
    <n v="25.6"/>
    <n v="7.2"/>
    <n v="7.8"/>
    <n v="7.2"/>
    <n v="8.1"/>
    <n v="268"/>
    <n v="711"/>
    <n v="1.2"/>
    <n v="1.9"/>
    <n v="0.06"/>
    <n v="1.4"/>
    <n v="2"/>
    <n v="10"/>
    <n v="17"/>
    <n v="94"/>
    <m/>
    <m/>
  </r>
  <r>
    <n v="4583"/>
    <s v="RIVER NARMADA NEAR ROAD BRIDGE JHANSINGHAT_x000a_JABALPUR"/>
    <x v="10"/>
    <n v="20.6"/>
    <n v="24.6"/>
    <n v="6.8"/>
    <n v="8"/>
    <n v="7.3"/>
    <n v="8.1"/>
    <n v="217"/>
    <n v="677"/>
    <n v="1.2"/>
    <n v="1.9"/>
    <n v="0.18"/>
    <n v="2.64"/>
    <n v="2"/>
    <n v="13"/>
    <n v="17"/>
    <n v="49"/>
    <m/>
    <m/>
  </r>
  <r>
    <n v="4584"/>
    <s v="RIVER NARMADA N.H. 44 NEAR ROAD BRIDGE AT_x000a_BARMAN. JABALPUR"/>
    <x v="10"/>
    <n v="21"/>
    <n v="24.7"/>
    <n v="6.4"/>
    <n v="7.9"/>
    <n v="7.1"/>
    <n v="7.9"/>
    <n v="235"/>
    <n v="671"/>
    <n v="1"/>
    <n v="2"/>
    <n v="0.24"/>
    <n v="1.44"/>
    <n v="2"/>
    <n v="4"/>
    <n v="10"/>
    <n v="48"/>
    <m/>
    <m/>
  </r>
  <r>
    <n v="4585"/>
    <s v="RIVER NARMADA, BARMANGHAT, 100 MDS OF_x000a_MAINGHAT"/>
    <x v="10"/>
    <n v="20.8"/>
    <n v="24.7"/>
    <n v="6.5"/>
    <n v="8.1"/>
    <n v="7.1"/>
    <n v="8.1"/>
    <n v="248"/>
    <n v="716"/>
    <n v="1.2"/>
    <n v="2.4"/>
    <n v="0.16"/>
    <n v="1.44"/>
    <n v="2"/>
    <n v="4"/>
    <n v="10"/>
    <n v="48"/>
    <m/>
    <m/>
  </r>
  <r>
    <n v="4586"/>
    <s v="RIVER NARMADA S.N. 44 NEAR ROAD BRIDGE NEAR_x000a_JHILKOLI NARSINGPUR"/>
    <x v="10"/>
    <n v="21.1"/>
    <n v="24.6"/>
    <n v="6.7"/>
    <n v="7.8"/>
    <n v="7.4"/>
    <n v="8.1"/>
    <n v="233"/>
    <n v="691"/>
    <n v="1.2"/>
    <n v="1.9"/>
    <n v="0.3"/>
    <n v="2.64"/>
    <n v="2"/>
    <n v="12"/>
    <n v="17"/>
    <n v="48"/>
    <m/>
    <m/>
  </r>
  <r>
    <n v="4587"/>
    <s v="RIVER NARMADA AT NEAR ROAD BRIDGE, SANDIA"/>
    <x v="10"/>
    <n v="15"/>
    <n v="31"/>
    <n v="7.8"/>
    <n v="8.6999999999999993"/>
    <n v="7.3"/>
    <n v="8.1999999999999993"/>
    <n v="172"/>
    <n v="285"/>
    <n v="1"/>
    <n v="1.7"/>
    <n v="0.32"/>
    <n v="2.46"/>
    <n v="2"/>
    <n v="10"/>
    <n v="2"/>
    <n v="150"/>
    <n v="2"/>
    <n v="2"/>
  </r>
  <r>
    <n v="4588"/>
    <s v="RIVER NARMADA AT UP- STREAM OF VILLAGE JAIT_x000a_NEAR NARYANAPURA DISTRICT SEHORE (M.P.)"/>
    <x v="10"/>
    <n v="15"/>
    <n v="27"/>
    <n v="6"/>
    <n v="11.5"/>
    <n v="7.6"/>
    <n v="8.4"/>
    <n v="213"/>
    <n v="3105"/>
    <n v="1"/>
    <n v="1.7"/>
    <n v="1.25"/>
    <n v="7.47"/>
    <n v="6"/>
    <n v="26"/>
    <n v="40"/>
    <n v="280"/>
    <n v="2"/>
    <n v="2"/>
  </r>
  <r>
    <n v="4589"/>
    <s v="RIVER NARMADA AT D/S OF VILL. JAIT"/>
    <x v="10"/>
    <n v="15"/>
    <n v="26"/>
    <n v="6.2"/>
    <n v="12.2"/>
    <n v="7.6"/>
    <n v="8.4"/>
    <n v="214"/>
    <n v="3212"/>
    <n v="1"/>
    <n v="2"/>
    <n v="1.71"/>
    <n v="6.62"/>
    <n v="11"/>
    <n v="147"/>
    <n v="140"/>
    <n v="1301"/>
    <n v="2"/>
    <n v="2"/>
  </r>
  <r>
    <n v="4590"/>
    <s v="RIVER NARMADA AT UP-STREAM BEFORE_x000a_CONFLUENCE OF RIVER TAWA NEAR BANDRABHAN_x000a_DISTRICT SEHORE M.P."/>
    <x v="10"/>
    <n v="14"/>
    <n v="26"/>
    <n v="5.8"/>
    <n v="11"/>
    <n v="7.4"/>
    <n v="8.5"/>
    <n v="184"/>
    <n v="419"/>
    <n v="1"/>
    <n v="2.1"/>
    <n v="0.96"/>
    <n v="6.16"/>
    <n v="2"/>
    <n v="48"/>
    <n v="150"/>
    <n v="350"/>
    <n v="2"/>
    <n v="2"/>
  </r>
  <r>
    <n v="4591"/>
    <s v="RIVER NARMADA AT DOWN-STREAM AFTER_x000a_CONFLUENCE OF RIVER TAWA NEAR_x000a_RAMNAGAR,DISTRICT SEHORE (M.P.)"/>
    <x v="10"/>
    <n v="16"/>
    <n v="26"/>
    <n v="6"/>
    <n v="14.1"/>
    <n v="7.6"/>
    <n v="8.5"/>
    <n v="190"/>
    <n v="337"/>
    <n v="1"/>
    <n v="1.9"/>
    <n v="1.44"/>
    <n v="6.95"/>
    <n v="2"/>
    <n v="39"/>
    <n v="120"/>
    <n v="350"/>
    <n v="2"/>
    <n v="2"/>
  </r>
  <r>
    <n v="4592"/>
    <s v="RIVER NARMADA AT BUDHNIGHAT, BUDHNI DISTRICT_x000a_SEHORE( M.P.)"/>
    <x v="10"/>
    <n v="16"/>
    <n v="26"/>
    <n v="6.2"/>
    <n v="10.199999999999999"/>
    <n v="7.5"/>
    <n v="8.3000000000000007"/>
    <n v="184"/>
    <n v="3459"/>
    <n v="1"/>
    <n v="1.4"/>
    <n v="0.71"/>
    <n v="5.04"/>
    <n v="2"/>
    <n v="178"/>
    <n v="120"/>
    <n v="1400"/>
    <n v="2"/>
    <n v="2"/>
  </r>
  <r>
    <n v="4593"/>
    <s v="RIVER NARMADA AT DOWN-STREAM OF TEXTILE UNIT_x000a_VILLAGE. HOLIPURA BUDNI DISTRICT SEHORE (M.P.)"/>
    <x v="10"/>
    <n v="15"/>
    <n v="27"/>
    <n v="6"/>
    <n v="13.5"/>
    <n v="7.4"/>
    <n v="8.5"/>
    <n v="180"/>
    <n v="478"/>
    <n v="1"/>
    <n v="2"/>
    <n v="1.1599999999999999"/>
    <n v="4.92"/>
    <n v="2"/>
    <n v="39"/>
    <n v="110"/>
    <n v="350"/>
    <n v="2"/>
    <n v="2"/>
  </r>
  <r>
    <n v="4594"/>
    <s v="RIVER NARMADA AT BEFOR CONFLU. OF RIVER JAMNER_x000a_VILL. NEMAWAR"/>
    <x v="10"/>
    <n v="22"/>
    <n v="28"/>
    <n v="6.7"/>
    <n v="7.6"/>
    <n v="7.4"/>
    <n v="7.9"/>
    <n v="205"/>
    <n v="422"/>
    <n v="1.4"/>
    <n v="2"/>
    <n v="0.32"/>
    <n v="0.83"/>
    <n v="2"/>
    <n v="2"/>
    <n v="41"/>
    <n v="49"/>
    <n v="2"/>
    <n v="2"/>
  </r>
  <r>
    <n v="4596"/>
    <s v="RIVER NARMADA AT HANUWANTIA DIST. KHANDWA"/>
    <x v="10"/>
    <n v="20"/>
    <n v="21.5"/>
    <n v="7.3"/>
    <n v="7.8"/>
    <n v="7.7"/>
    <n v="8.6"/>
    <n v="211"/>
    <n v="311"/>
    <n v="1"/>
    <n v="7.4"/>
    <n v="0.64"/>
    <n v="1.1399999999999999"/>
    <n v="2"/>
    <n v="2"/>
    <n v="31"/>
    <n v="41"/>
    <m/>
    <m/>
  </r>
  <r>
    <n v="4597"/>
    <s v="RIVER NARMADA AT U/S OMKAREWHWAR DAM_x000a_KHANDWA"/>
    <x v="10"/>
    <n v="19.5"/>
    <n v="21.5"/>
    <n v="7.2"/>
    <n v="7.8"/>
    <n v="7.3"/>
    <n v="8.5"/>
    <n v="212"/>
    <n v="308"/>
    <n v="1"/>
    <n v="1.1000000000000001"/>
    <n v="0.74"/>
    <n v="2.2599999999999998"/>
    <n v="2"/>
    <n v="2"/>
    <n v="32"/>
    <n v="43"/>
    <m/>
    <m/>
  </r>
  <r>
    <n v="4598"/>
    <s v="RIVER NARMADA RIVER AT DHARESHWAR"/>
    <x v="10"/>
    <n v="19"/>
    <n v="21.5"/>
    <n v="7.2"/>
    <n v="7.8"/>
    <n v="7.6"/>
    <n v="8.6"/>
    <n v="205"/>
    <n v="329"/>
    <n v="1"/>
    <n v="1.1000000000000001"/>
    <n v="0.84"/>
    <n v="11.03"/>
    <n v="2"/>
    <n v="2"/>
    <n v="34"/>
    <n v="49"/>
    <m/>
    <m/>
  </r>
  <r>
    <n v="4599"/>
    <s v="RIVER NARMADA NEAR W/S INTAKE JALLOD"/>
    <x v="10"/>
    <n v="19.5"/>
    <n v="21.5"/>
    <n v="7.3"/>
    <n v="8"/>
    <n v="7.8"/>
    <n v="8.4"/>
    <n v="248"/>
    <n v="320"/>
    <n v="1"/>
    <n v="1.1000000000000001"/>
    <n v="0.71"/>
    <n v="1.1200000000000001"/>
    <n v="2"/>
    <n v="2"/>
    <n v="34"/>
    <n v="41"/>
    <m/>
    <m/>
  </r>
  <r>
    <n v="4600"/>
    <s v="RIVER NARMADA RIVER AT SHAHASTRADHARA_x000a_(JALKOTI)"/>
    <x v="10"/>
    <n v="19.5"/>
    <n v="21.5"/>
    <n v="7.2"/>
    <n v="8.1"/>
    <n v="7.7"/>
    <n v="8.6"/>
    <n v="209"/>
    <n v="330"/>
    <n v="1"/>
    <n v="1.2"/>
    <n v="0.73"/>
    <n v="1.91"/>
    <n v="2"/>
    <n v="2"/>
    <n v="38"/>
    <n v="47"/>
    <m/>
    <m/>
  </r>
  <r>
    <n v="4601"/>
    <s v="RIVER NARMADA AT KHALGHAT"/>
    <x v="10"/>
    <n v="19.5"/>
    <n v="22"/>
    <n v="7.4"/>
    <n v="7.8"/>
    <n v="7.8"/>
    <n v="8.6"/>
    <n v="215"/>
    <n v="337"/>
    <n v="1"/>
    <n v="1.2"/>
    <n v="0.02"/>
    <n v="1.18"/>
    <n v="2"/>
    <n v="2"/>
    <n v="34"/>
    <n v="43"/>
    <m/>
    <m/>
  </r>
  <r>
    <n v="4602"/>
    <s v="RIVER NARMADA RIVER AT SEMALDA U/S OF BARWANI"/>
    <x v="10"/>
    <n v="19"/>
    <n v="22"/>
    <n v="7.2"/>
    <n v="8"/>
    <n v="7.7"/>
    <n v="8.4"/>
    <n v="232"/>
    <n v="350"/>
    <n v="1"/>
    <n v="1.1000000000000001"/>
    <n v="0.71"/>
    <n v="1.1599999999999999"/>
    <n v="2"/>
    <n v="2"/>
    <n v="34"/>
    <n v="43"/>
    <m/>
    <m/>
  </r>
  <r>
    <n v="4603"/>
    <s v="RIVER NARMADA AT KOTESHWAR"/>
    <x v="10"/>
    <n v="19.5"/>
    <n v="22"/>
    <n v="6.9"/>
    <n v="7.8"/>
    <n v="7.6"/>
    <n v="8.5"/>
    <n v="255"/>
    <n v="392"/>
    <n v="1"/>
    <n v="1.1000000000000001"/>
    <n v="0.72"/>
    <n v="1.92"/>
    <n v="2"/>
    <n v="2"/>
    <n v="34"/>
    <n v="46"/>
    <m/>
    <m/>
  </r>
  <r>
    <n v="4605"/>
    <s v="RIVER NARMADA AT KAKRANA, INTERSTATE BOUNDRY,_x000a_ALIRAJPUR"/>
    <x v="10"/>
    <n v="19.5"/>
    <n v="22"/>
    <n v="7.2"/>
    <n v="7.7"/>
    <n v="7.6"/>
    <n v="8.5"/>
    <n v="250"/>
    <n v="358"/>
    <n v="1"/>
    <n v="1.2"/>
    <n v="0.74"/>
    <n v="2.12"/>
    <n v="2"/>
    <n v="2"/>
    <n v="34"/>
    <n v="48"/>
    <m/>
    <m/>
  </r>
  <r>
    <n v="30048"/>
    <s v="RIVER NARMADA AT NAVAGAM, NEAR GORA COLONY,_x000a_KEVADIA, GUJARAT (GUJARAT AND MADHYA PRADESH)"/>
    <x v="20"/>
    <n v="29"/>
    <n v="29"/>
    <n v="7.7"/>
    <n v="7.7"/>
    <n v="8.3000000000000007"/>
    <n v="8.3000000000000007"/>
    <n v="372"/>
    <n v="372"/>
    <n v="2.5"/>
    <n v="2.5"/>
    <n v="0.32"/>
    <n v="0.32"/>
    <n v="700"/>
    <n v="700"/>
    <n v="1100"/>
    <n v="1100"/>
    <m/>
    <m/>
  </r>
  <r>
    <n v="7"/>
    <s v="RIVER NARMADA AT GARUDESHWAR"/>
    <x v="20"/>
    <n v="27"/>
    <n v="34"/>
    <n v="7.3"/>
    <n v="8.4"/>
    <n v="8"/>
    <n v="8.4"/>
    <n v="190"/>
    <n v="419"/>
    <n v="1"/>
    <n v="1"/>
    <n v="0.32"/>
    <n v="0.83"/>
    <n v="2"/>
    <n v="23"/>
    <n v="20"/>
    <n v="94"/>
    <m/>
    <m/>
  </r>
  <r>
    <n v="1244"/>
    <s v="RIVER NARMADA AT PANETHA,"/>
    <x v="20"/>
    <n v="27"/>
    <n v="34"/>
    <n v="7.1"/>
    <n v="8.3000000000000007"/>
    <n v="8"/>
    <n v="8.4"/>
    <n v="200"/>
    <n v="363"/>
    <n v="1"/>
    <n v="1"/>
    <n v="0.32"/>
    <n v="0.85"/>
    <n v="2"/>
    <n v="21"/>
    <n v="26"/>
    <n v="46"/>
    <m/>
    <m/>
  </r>
  <r>
    <n v="1245"/>
    <s v="RIVER NARMADA AT CHANDOD,"/>
    <x v="20"/>
    <n v="26"/>
    <n v="28"/>
    <n v="7.3"/>
    <n v="8.6999999999999993"/>
    <n v="7.9"/>
    <n v="8.6999999999999993"/>
    <n v="298"/>
    <n v="426"/>
    <n v="1"/>
    <n v="1"/>
    <n v="1.1599999999999999"/>
    <n v="1.36"/>
    <n v="9"/>
    <n v="50"/>
    <n v="34"/>
    <n v="140"/>
    <m/>
    <m/>
  </r>
  <r>
    <n v="1981"/>
    <s v="RIVER NARMADA AT ZANOR (NTPC), BHARUCHRIVER_x000a_NARMADA AT ZANOR (NTPC), BHARUCH"/>
    <x v="20"/>
    <n v="25"/>
    <n v="30"/>
    <n v="7"/>
    <n v="8.4"/>
    <n v="7.7"/>
    <n v="8.5"/>
    <n v="282"/>
    <n v="518"/>
    <n v="1"/>
    <n v="1"/>
    <n v="0.3"/>
    <n v="0.3"/>
    <n v="13"/>
    <n v="78"/>
    <n v="46"/>
    <n v="140"/>
    <n v="2"/>
    <n v="21"/>
  </r>
  <r>
    <n v="1243"/>
    <s v="RIVER NARMADA AT BHARUCH, ZADESHVAR,"/>
    <x v="20"/>
    <n v="25"/>
    <n v="30"/>
    <n v="6.3"/>
    <n v="8.3000000000000007"/>
    <n v="7.9"/>
    <n v="8.5"/>
    <n v="270"/>
    <n v="770"/>
    <n v="1"/>
    <n v="1"/>
    <n v="0.3"/>
    <n v="0.3"/>
    <n v="39"/>
    <n v="170"/>
    <n v="140"/>
    <n v="340"/>
    <n v="11"/>
    <n v="40"/>
  </r>
  <r>
    <n v="1236"/>
    <s v="RIVER CHOTA TAWA BEFORE CONFL. WITH RIVER_x000a_NARMADA, M.P."/>
    <x v="10"/>
    <n v="20"/>
    <n v="21"/>
    <n v="7.3"/>
    <n v="7.7"/>
    <n v="7.6"/>
    <n v="8.6"/>
    <n v="322"/>
    <n v="514"/>
    <n v="1"/>
    <n v="1.2"/>
    <n v="0.79"/>
    <n v="1.28"/>
    <n v="2"/>
    <n v="2"/>
    <n v="36"/>
    <n v="58"/>
    <m/>
    <m/>
  </r>
  <r>
    <n v="2100"/>
    <s v="RIVER GOUR NEAR BHOGDWAR WSS INTAKE POINT,_x000a_JABALPUR"/>
    <x v="10"/>
    <n v="21.1"/>
    <n v="24.6"/>
    <n v="7.5"/>
    <n v="7.7"/>
    <n v="7.2"/>
    <n v="7.8"/>
    <n v="267"/>
    <n v="394"/>
    <n v="1.2"/>
    <n v="1.6"/>
    <n v="0.12"/>
    <n v="3.95"/>
    <n v="2"/>
    <n v="23"/>
    <n v="32"/>
    <n v="93"/>
    <m/>
    <m/>
  </r>
  <r>
    <n v="2114"/>
    <s v="RIVER KUNDA AT KHARGONE"/>
    <x v="10"/>
    <n v="20"/>
    <n v="22"/>
    <n v="1.9"/>
    <n v="7.7"/>
    <n v="7.7"/>
    <n v="8.6"/>
    <n v="310"/>
    <n v="1165"/>
    <n v="1"/>
    <n v="10"/>
    <n v="1.08"/>
    <n v="3.3"/>
    <n v="2"/>
    <n v="40"/>
    <n v="49"/>
    <n v="920"/>
    <n v="2"/>
    <n v="8"/>
  </r>
  <r>
    <n v="3305"/>
    <s v="RIVER BANJAR AT MALANJKHAND NEAR W/S INTAKE_x000a_POINT, JABALPUR"/>
    <x v="10"/>
    <n v="20.2"/>
    <n v="24.3"/>
    <n v="7"/>
    <n v="7.8"/>
    <n v="7.3"/>
    <n v="8.1"/>
    <n v="275"/>
    <n v="523"/>
    <n v="1.2"/>
    <n v="2"/>
    <n v="0.22"/>
    <n v="1.34"/>
    <n v="2"/>
    <n v="10"/>
    <n v="17"/>
    <n v="49"/>
    <m/>
    <m/>
  </r>
  <r>
    <n v="3828"/>
    <s v="RIVER HIRAN, NH 7 ROAD BRIDGE, SIHORA, DIST_x000a_JABALPUR"/>
    <x v="10"/>
    <n v="20.100000000000001"/>
    <n v="24.2"/>
    <n v="6.3"/>
    <n v="7.8"/>
    <n v="7.4"/>
    <n v="8"/>
    <n v="228"/>
    <n v="713"/>
    <n v="1.2"/>
    <n v="2.2000000000000002"/>
    <n v="0.14000000000000001"/>
    <n v="1.6"/>
    <n v="2"/>
    <n v="9"/>
    <n v="17"/>
    <n v="48"/>
    <m/>
    <m/>
  </r>
  <r>
    <n v="3829"/>
    <s v="RIVER HIRAN, NH -12 ROAD BRIDGE VIL VIKRAMPUR_x000a_,DIST NARSINGPUR"/>
    <x v="10"/>
    <n v="20.9"/>
    <n v="24.6"/>
    <n v="6.3"/>
    <n v="7.9"/>
    <n v="7.1"/>
    <n v="8.1"/>
    <n v="208"/>
    <n v="641"/>
    <n v="1.2"/>
    <n v="2"/>
    <n v="0.27"/>
    <n v="1.44"/>
    <n v="2"/>
    <n v="6"/>
    <n v="10"/>
    <n v="70"/>
    <m/>
    <m/>
  </r>
  <r>
    <n v="4613"/>
    <s v="RIVER HIRAN AFTER MIXING PARIYAT RIVER NEAR_x000a_ROAD BRIDGE AT VILL GANIYARI, JABALPUR"/>
    <x v="10"/>
    <n v="20.3"/>
    <n v="25"/>
    <n v="5.7"/>
    <n v="7.9"/>
    <n v="6.4"/>
    <n v="7.9"/>
    <n v="290"/>
    <n v="10850"/>
    <n v="1.8"/>
    <n v="12"/>
    <n v="0.28999999999999998"/>
    <n v="1.6"/>
    <n v="2"/>
    <n v="14"/>
    <n v="17"/>
    <n v="540"/>
    <m/>
    <m/>
  </r>
  <r>
    <n v="4616"/>
    <s v="RIVER BANJAR RIVER NEAR ROAD BRIDGE, VILL._x000a_KHARRADHAR MALANJKHAND."/>
    <x v="10"/>
    <n v="20.399999999999999"/>
    <n v="24.5"/>
    <n v="7.1"/>
    <n v="7.9"/>
    <n v="7.3"/>
    <n v="8.1"/>
    <n v="278"/>
    <n v="497"/>
    <n v="1"/>
    <n v="1.9"/>
    <n v="0.21"/>
    <n v="1.34"/>
    <n v="2"/>
    <n v="12"/>
    <n v="11"/>
    <n v="47"/>
    <m/>
    <m/>
  </r>
  <r>
    <n v="4617"/>
    <s v="RIVER WAINGANGA RIVER NEAR VILL. BUDUNDA_x000a_MALANJKHAND, DISTT BALAGHAT"/>
    <x v="10"/>
    <n v="20.3"/>
    <n v="24.3"/>
    <n v="7.2"/>
    <n v="7.6"/>
    <n v="7.2"/>
    <n v="7.8"/>
    <n v="270"/>
    <n v="521"/>
    <n v="1"/>
    <n v="1.9"/>
    <n v="0.25"/>
    <n v="1.34"/>
    <n v="2"/>
    <n v="10"/>
    <n v="11"/>
    <n v="47"/>
    <m/>
    <m/>
  </r>
  <r>
    <n v="9"/>
    <s v="RIVER TAPI AT NEPANAGAR"/>
    <x v="10"/>
    <n v="20"/>
    <n v="22"/>
    <n v="6.9"/>
    <n v="7.8"/>
    <n v="7.7"/>
    <n v="8.5"/>
    <n v="194"/>
    <n v="592"/>
    <n v="1"/>
    <n v="1.6"/>
    <n v="0.51"/>
    <n v="1.36"/>
    <n v="2"/>
    <n v="2"/>
    <n v="40"/>
    <n v="89"/>
    <m/>
    <m/>
  </r>
  <r>
    <n v="10"/>
    <s v="RIVER TAPI AT BURHANPUR"/>
    <x v="10"/>
    <n v="20"/>
    <n v="22"/>
    <n v="6.6"/>
    <n v="7.9"/>
    <n v="7.8"/>
    <n v="8.9"/>
    <n v="246"/>
    <n v="1043"/>
    <n v="1"/>
    <n v="3"/>
    <n v="0.71"/>
    <n v="1.38"/>
    <n v="2"/>
    <n v="4"/>
    <n v="49"/>
    <n v="210"/>
    <m/>
    <m/>
  </r>
  <r>
    <n v="1250"/>
    <s v="RIVER TAPI AT HATNUR M.P."/>
    <x v="10"/>
    <n v="20"/>
    <n v="22"/>
    <n v="4.5999999999999996"/>
    <n v="7.6"/>
    <n v="7.7"/>
    <n v="8.6"/>
    <n v="220"/>
    <n v="1195"/>
    <n v="1"/>
    <n v="3"/>
    <n v="0.44"/>
    <n v="49.01"/>
    <n v="2"/>
    <n v="2"/>
    <n v="2"/>
    <n v="350"/>
    <n v="2"/>
    <n v="2"/>
  </r>
  <r>
    <n v="1466"/>
    <s v="RIVER TAPI AT VILLAGE KHEDI, NEAR AMARAWATI ROAD_x000a_BRIDGE , BETUL"/>
    <x v="10"/>
    <n v="16"/>
    <n v="31"/>
    <n v="7.1"/>
    <n v="7.7"/>
    <n v="7.1"/>
    <n v="8.1"/>
    <n v="284"/>
    <n v="774"/>
    <n v="1.4"/>
    <n v="2"/>
    <n v="0.48"/>
    <n v="5.04"/>
    <n v="2"/>
    <n v="7"/>
    <n v="10"/>
    <n v="120"/>
    <m/>
    <m/>
  </r>
  <r>
    <n v="46"/>
    <s v="RIVER TAPI AT UKAI, SHERULA BRIDGE"/>
    <x v="20"/>
    <n v="27"/>
    <n v="30"/>
    <n v="6.6"/>
    <n v="8"/>
    <n v="7.2"/>
    <n v="8.5"/>
    <n v="295"/>
    <n v="537"/>
    <n v="1"/>
    <n v="1.9"/>
    <n v="0.32"/>
    <n v="1.1399999999999999"/>
    <n v="2"/>
    <n v="6"/>
    <n v="4"/>
    <n v="26"/>
    <m/>
    <m/>
  </r>
  <r>
    <n v="1247"/>
    <s v="RIVER TAPI AT MANDAVI,"/>
    <x v="20"/>
    <n v="18"/>
    <n v="32"/>
    <n v="7"/>
    <n v="7.7"/>
    <n v="6.9"/>
    <n v="8.5"/>
    <n v="337"/>
    <n v="600"/>
    <n v="1"/>
    <n v="2"/>
    <n v="0.3"/>
    <n v="0.52"/>
    <n v="2"/>
    <n v="4"/>
    <n v="4"/>
    <n v="17"/>
    <n v="2"/>
    <n v="2"/>
  </r>
  <r>
    <n v="1983"/>
    <s v="RIVER TAPI NEAR BARDOLI (KAPP BRIDGE)_x000a_BARDOLIKAKRAPAR,SURAT"/>
    <x v="20"/>
    <n v="20"/>
    <n v="30"/>
    <n v="7"/>
    <n v="7.6"/>
    <n v="6.8"/>
    <n v="8.5"/>
    <n v="348"/>
    <n v="535"/>
    <n v="1"/>
    <n v="1.9"/>
    <n v="0.3"/>
    <n v="6"/>
    <n v="2"/>
    <n v="2"/>
    <n v="2"/>
    <n v="113"/>
    <n v="2"/>
    <n v="2"/>
  </r>
  <r>
    <n v="47"/>
    <s v="RIVER TAPI AT KATHORE, (NH-8 BRIDGE)RIVER TAPI AT_x000a_KATHORE, (NH-8 BRIDGE) U/S OF SURAT CITY"/>
    <x v="20"/>
    <n v="18"/>
    <n v="31"/>
    <n v="7.1"/>
    <n v="8"/>
    <n v="6.8"/>
    <n v="8.5"/>
    <n v="404"/>
    <n v="4723"/>
    <n v="1"/>
    <n v="1.9"/>
    <n v="0.3"/>
    <n v="0.3"/>
    <n v="6"/>
    <n v="21"/>
    <n v="24"/>
    <n v="58"/>
    <n v="2"/>
    <n v="6"/>
  </r>
  <r>
    <n v="1248"/>
    <s v="RIVER TAPI AT SURAT U/S KATHORE,RIVER TAPI NEAR_x000a_LIMDESHWAR MAHDEV AT KATHOR"/>
    <x v="20"/>
    <n v="18"/>
    <n v="31"/>
    <n v="7"/>
    <n v="8"/>
    <n v="6.7"/>
    <n v="8.5"/>
    <n v="406"/>
    <n v="775"/>
    <n v="1"/>
    <n v="2.4"/>
    <n v="0.3"/>
    <n v="0.84"/>
    <n v="10"/>
    <n v="14"/>
    <n v="25"/>
    <n v="58"/>
    <n v="2"/>
    <n v="2"/>
  </r>
  <r>
    <n v="1982"/>
    <s v="RIVER TAPI AT RANDER BRIDGE, SURATRANDER,SURAT"/>
    <x v="20"/>
    <n v="22"/>
    <n v="31"/>
    <n v="6.9"/>
    <n v="7.4"/>
    <n v="7.1"/>
    <n v="8.5"/>
    <n v="418"/>
    <n v="6192"/>
    <n v="1"/>
    <n v="2.6"/>
    <n v="0.3"/>
    <n v="0.3"/>
    <n v="6"/>
    <n v="17"/>
    <n v="17"/>
    <n v="58"/>
    <n v="2"/>
    <n v="2"/>
  </r>
  <r>
    <n v="2071"/>
    <s v="RIVER TAPI AT ONGC BRIDGE AT SURAT, DIST._x000a_SURATHAZIRA,SURAT"/>
    <x v="20"/>
    <n v="24"/>
    <n v="32"/>
    <n v="5.5"/>
    <n v="7"/>
    <n v="6.7"/>
    <n v="8.3000000000000007"/>
    <n v="5908"/>
    <n v="53650"/>
    <n v="1.6"/>
    <n v="2.5"/>
    <n v="0.3"/>
    <n v="0.3"/>
    <n v="6"/>
    <n v="14"/>
    <n v="27"/>
    <n v="48"/>
    <n v="2"/>
    <n v="2"/>
  </r>
  <r>
    <n v="30045"/>
    <s v="RIVER TAPI AT KUKURMUNDA BRIDGE, NIZHAR ROAD,_x000a_NEAR VILLAGE KUKURMUNDA, GUJARAT_x000a_(MAHARASHTRA AND GUJARAT)"/>
    <x v="20"/>
    <n v="23"/>
    <n v="23"/>
    <n v="8.1999999999999993"/>
    <n v="8.1999999999999993"/>
    <n v="8"/>
    <n v="8"/>
    <n v="500"/>
    <n v="500"/>
    <n v="1"/>
    <n v="1"/>
    <n v="1.1100000000000001"/>
    <n v="1.1100000000000001"/>
    <n v="1200"/>
    <n v="1200"/>
    <n v="1700"/>
    <n v="1700"/>
    <m/>
    <m/>
  </r>
  <r>
    <n v="30044"/>
    <s v="RIVER TAPI AT PRAKASHA, (MAHARASHTRA)"/>
    <x v="21"/>
    <n v="22"/>
    <n v="22"/>
    <n v="4.8"/>
    <n v="4.8"/>
    <n v="8.1"/>
    <n v="8.1"/>
    <n v="364"/>
    <n v="364"/>
    <n v="9.6"/>
    <n v="9.6"/>
    <n v="1.08"/>
    <n v="1.08"/>
    <n v="70"/>
    <n v="70"/>
    <n v="550"/>
    <n v="550"/>
    <n v="25"/>
    <n v="25"/>
  </r>
  <r>
    <n v="30043"/>
    <s v="RIVER TAPI AT AJNAD, (MAHARASHTRA)"/>
    <x v="21"/>
    <n v="22"/>
    <n v="22"/>
    <n v="5"/>
    <n v="5"/>
    <n v="8.1999999999999993"/>
    <n v="8.1999999999999993"/>
    <n v="436"/>
    <n v="436"/>
    <n v="6.2"/>
    <n v="6.2"/>
    <n v="2.4500000000000002"/>
    <n v="2.4500000000000002"/>
    <n v="25"/>
    <n v="25"/>
    <n v="275"/>
    <n v="275"/>
    <n v="13"/>
    <n v="13"/>
  </r>
  <r>
    <n v="1251"/>
    <s v="RIVER TAPI AT U/S, BHUSAWAL,VILLAGE. BHUSAWAL_x000a_RAILWAY COLONY, TALUKA. BHUSAWAL, DISTRICT._x000a_JALGAON."/>
    <x v="21"/>
    <n v="22"/>
    <n v="24"/>
    <n v="5.0999999999999996"/>
    <n v="7.3"/>
    <n v="7.4"/>
    <n v="8"/>
    <n v="236"/>
    <n v="8065"/>
    <n v="2.4"/>
    <n v="4"/>
    <n v="0.39"/>
    <n v="3.42"/>
    <n v="2"/>
    <n v="6"/>
    <n v="35"/>
    <n v="58"/>
    <n v="2"/>
    <n v="4"/>
  </r>
  <r>
    <n v="1313"/>
    <s v="RIVER TAPI AT AJNAD VILLAGE, VILLAGE.AJNAD ,_x000a_TALUKA. RAVER, DISTRICT.JALGAON."/>
    <x v="21"/>
    <n v="22"/>
    <n v="25"/>
    <n v="5.6"/>
    <n v="7.1"/>
    <n v="7.3"/>
    <n v="7.9"/>
    <n v="181"/>
    <n v="5544"/>
    <n v="2.8"/>
    <n v="3.8"/>
    <n v="0.79"/>
    <n v="4.78"/>
    <n v="2"/>
    <n v="4"/>
    <n v="34"/>
    <n v="55"/>
    <n v="2"/>
    <n v="4"/>
  </r>
  <r>
    <n v="1314"/>
    <s v="RIVER TAPI AT UBAD VILLAGE NEAR GUJRATBORDER,_x000a_VILLAGE. UBAD, TALUKA. SHAHADA, DISTRICT._x000a_NANDURBAR."/>
    <x v="21"/>
    <n v="16"/>
    <n v="26"/>
    <n v="5.5"/>
    <n v="7.3"/>
    <n v="7.4"/>
    <n v="7.9"/>
    <n v="356"/>
    <n v="1001"/>
    <n v="2.6"/>
    <n v="3.8"/>
    <n v="1.22"/>
    <n v="4.0999999999999996"/>
    <n v="2"/>
    <n v="6"/>
    <n v="40"/>
    <n v="58"/>
    <n v="2"/>
    <n v="6"/>
  </r>
  <r>
    <n v="3203"/>
    <s v="RIVER AMRAVATI AT VILLAGE DADHAL , TA_x000a_ANKLESHWAR, BHARUCHNR RAILWAY BRIDGE, AT_x000a_VILLAGE DHADHAL , TA: ANKLESHWAR, DIST BHARUCH"/>
    <x v="20"/>
    <n v="27"/>
    <n v="34"/>
    <n v="4.5999999999999996"/>
    <n v="7.3"/>
    <n v="6.8"/>
    <n v="8.3000000000000007"/>
    <n v="417"/>
    <n v="2517"/>
    <n v="1.1000000000000001"/>
    <n v="2.9"/>
    <n v="0.36"/>
    <n v="2.12"/>
    <n v="27"/>
    <n v="79"/>
    <n v="110"/>
    <n v="280"/>
    <m/>
    <m/>
  </r>
  <r>
    <n v="2666"/>
    <s v="RIVER GOMAI D/S. OF SHAHADA, VILLAGE-SHAHADA,TALUKA- DHULE,DISTRICT- DHULE."/>
    <x v="21"/>
    <n v="17"/>
    <n v="22"/>
    <n v="5.7"/>
    <n v="7"/>
    <n v="7.5"/>
    <n v="7.9"/>
    <n v="413"/>
    <n v="4899"/>
    <n v="2.8"/>
    <n v="4"/>
    <n v="1.73"/>
    <n v="2.71"/>
    <n v="4"/>
    <n v="8"/>
    <n v="45"/>
    <n v="68"/>
    <n v="2"/>
    <n v="2"/>
  </r>
  <r>
    <n v="2659"/>
    <s v="RIVER BURAI BEFORE CONFLUENCE TO TAPI RIVER,_x000a_VILLAGE- MUKUDAS, TALUKA- DHULE, DISTRICT- DHULE."/>
    <x v="21"/>
    <n v="16"/>
    <n v="16"/>
    <n v="5.9"/>
    <n v="5.9"/>
    <n v="7.4"/>
    <n v="7.4"/>
    <n v="411"/>
    <n v="411"/>
    <n v="3.2"/>
    <n v="3.2"/>
    <n v="2.64"/>
    <n v="2.64"/>
    <n v="4"/>
    <n v="4"/>
    <n v="45"/>
    <n v="45"/>
    <n v="2"/>
    <n v="2"/>
  </r>
  <r>
    <n v="2070"/>
    <s v="RIVER KIM AT SAHOL BRIDGE, OLPAD HANSOT ROAD,_x000a_DIST. SURATSAHOL, OLPAD HANSOT ROAD, SAHOL_x000a_BRIDGE,SURAT"/>
    <x v="20"/>
    <n v="23"/>
    <n v="32"/>
    <n v="5"/>
    <n v="7.1"/>
    <n v="6.8"/>
    <n v="8.5"/>
    <n v="712"/>
    <n v="3881"/>
    <n v="1.5"/>
    <n v="2.8"/>
    <n v="0.3"/>
    <n v="0.3"/>
    <n v="6"/>
    <n v="34"/>
    <n v="17"/>
    <n v="140"/>
    <n v="2"/>
    <n v="2"/>
  </r>
  <r>
    <n v="2127"/>
    <s v="RIVER DENWA NEAR SARNI, ROAD BRIDGE"/>
    <x v="10"/>
    <n v="18"/>
    <n v="30"/>
    <n v="7.1"/>
    <n v="7.6"/>
    <n v="7.1"/>
    <n v="8.1"/>
    <n v="288"/>
    <n v="716"/>
    <n v="1.6"/>
    <n v="2"/>
    <n v="0.47"/>
    <n v="2.66"/>
    <n v="2"/>
    <n v="4"/>
    <n v="20"/>
    <n v="70"/>
    <m/>
    <m/>
  </r>
  <r>
    <n v="1252"/>
    <s v="RIVER GIRNA AT JALGAON AT INTAKE OF GIRNA PUMP_x000a_HUOSE, VILLAGE- GIRNA PUMP HOUSE AREA, TALUKA-JALGAON, DISTRICT- JALGAON."/>
    <x v="21"/>
    <n v="20"/>
    <n v="22"/>
    <n v="6.2"/>
    <n v="6.2"/>
    <n v="7.3"/>
    <n v="7.9"/>
    <n v="556"/>
    <n v="686"/>
    <n v="3"/>
    <n v="3"/>
    <n v="2.82"/>
    <n v="3.95"/>
    <n v="4"/>
    <n v="4"/>
    <n v="40"/>
    <n v="46"/>
    <n v="2"/>
    <n v="2"/>
  </r>
  <r>
    <n v="1253"/>
    <s v="RIVER GIRNA AT MALEGAON ROAD BRIDGE, VILLAGE._x000a_MALEGAON, TALUKA. MALEGAON, DISTRICT. NASHIK."/>
    <x v="21"/>
    <n v="28"/>
    <n v="28"/>
    <n v="5.9"/>
    <n v="7.2"/>
    <n v="7.7"/>
    <n v="7.7"/>
    <n v="181"/>
    <n v="502"/>
    <n v="3"/>
    <n v="3.4"/>
    <n v="0.59"/>
    <n v="0.6"/>
    <n v="4"/>
    <n v="6"/>
    <n v="45"/>
    <n v="68"/>
    <n v="2"/>
    <n v="2"/>
  </r>
  <r>
    <n v="1907"/>
    <s v="RIVER RANGAVALI AT D/S OF NAVAPUR NEAR_x000a_RANGAVALI BRIDGE, VILLAGE- NAVAPUR, TALUKA-NAVAPUR, DISTRICT- NANDURBAR."/>
    <x v="21"/>
    <n v="18"/>
    <n v="22"/>
    <n v="5.2"/>
    <n v="6.8"/>
    <n v="7.3"/>
    <n v="7.9"/>
    <n v="295"/>
    <n v="1284"/>
    <n v="2.8"/>
    <n v="4"/>
    <n v="2.29"/>
    <n v="3.42"/>
    <n v="4"/>
    <n v="8"/>
    <n v="45"/>
    <n v="85"/>
    <n v="2"/>
    <n v="2"/>
  </r>
  <r>
    <n v="2674"/>
    <s v="RIVER MOR NEAR PADALASHE, VILLAGE-PADALASHE,TALUKA- JALGAON, DISTRICT- JALGAON."/>
    <x v="21"/>
    <n v="24"/>
    <n v="24"/>
    <n v="5.7"/>
    <n v="5.7"/>
    <n v="7.7"/>
    <n v="7.7"/>
    <n v="245"/>
    <n v="245"/>
    <n v="3.8"/>
    <n v="3.8"/>
    <n v="2.42"/>
    <n v="2.42"/>
    <n v="4"/>
    <n v="4"/>
    <n v="58"/>
    <n v="58"/>
    <n v="2"/>
    <n v="2"/>
  </r>
  <r>
    <n v="2718"/>
    <s v="RIVER WAGHUR AT- SAKEGAON BEFORE CONFLUENCE_x000a_WITH TAPI RIVER, VILLAGE- SAKEGAON, TALUKA-JALGAON, DISTRICT- JALGAON."/>
    <x v="21"/>
    <n v="20"/>
    <n v="25"/>
    <n v="5.8"/>
    <n v="7.4"/>
    <n v="7.9"/>
    <n v="7.9"/>
    <n v="555"/>
    <n v="6174"/>
    <n v="3"/>
    <n v="3.4"/>
    <n v="0.36"/>
    <n v="3.12"/>
    <n v="4"/>
    <n v="4"/>
    <n v="40"/>
    <n v="68"/>
    <n v="2"/>
    <n v="2"/>
  </r>
  <r>
    <n v="2684"/>
    <s v="RIVER PANZARA NEAR PANZARAKAN SSK LTD, VILLAGE-PANZARA,TALUKA- DHULE, DISTRICT- DHULE."/>
    <x v="21"/>
    <n v="16"/>
    <n v="20"/>
    <n v="5.9"/>
    <n v="7.1"/>
    <n v="7.7"/>
    <n v="7.8"/>
    <n v="336"/>
    <n v="1340"/>
    <n v="2.8"/>
    <n v="3.2"/>
    <n v="1.84"/>
    <n v="2.58"/>
    <n v="4"/>
    <n v="6"/>
    <n v="40"/>
    <n v="68"/>
    <n v="2"/>
    <n v="2"/>
  </r>
  <r>
    <n v="1913"/>
    <s v="RIVER PURNA AT DHUPESHWAR AT U/S OF MALKAPUR_x000a_WATER WORKS, MALKAPUR, DIST.AKOLA"/>
    <x v="21"/>
    <n v="22"/>
    <n v="26"/>
    <n v="5.4"/>
    <n v="6.3"/>
    <n v="7.8"/>
    <n v="8.3000000000000007"/>
    <n v="715"/>
    <n v="1139"/>
    <n v="3"/>
    <n v="4.5"/>
    <n v="0.32"/>
    <n v="6.46"/>
    <n v="13"/>
    <n v="43"/>
    <n v="110"/>
    <n v="220"/>
    <n v="2"/>
    <n v="2"/>
  </r>
  <r>
    <n v="2155"/>
    <s v="RIVER PURNA AT D/S OF CONFLUENCE OF MORNA &amp;_x000a_PURNA RIVER AT ANDURA VILLAGE, VILLAGE-ANDURA,_x000a_TALUKA- BALAPUR, DISTRICT - AKOLA."/>
    <x v="21"/>
    <n v="22"/>
    <n v="27"/>
    <n v="5.3"/>
    <n v="6"/>
    <n v="7.9"/>
    <n v="8.3000000000000007"/>
    <n v="872"/>
    <n v="1216"/>
    <n v="3.2"/>
    <n v="4.8"/>
    <n v="0.32"/>
    <n v="8.5399999999999991"/>
    <n v="17"/>
    <n v="41"/>
    <n v="120"/>
    <n v="280"/>
    <n v="2"/>
    <n v="2"/>
  </r>
  <r>
    <n v="2695"/>
    <s v="RIVER PEDHI NEAR ROAD BRIDGE AT DADHI- PEDHI_x000a_VILLAGE, VILLAGE- DADHI- PEDHI, TALUKA- BHATKULI,_x000a_DISTRICT- AMRAVATI."/>
    <x v="21"/>
    <n v="20"/>
    <n v="20"/>
    <n v="3"/>
    <n v="5.8"/>
    <n v="7.8"/>
    <n v="8.4"/>
    <n v="710"/>
    <n v="2025"/>
    <n v="3.2"/>
    <n v="7"/>
    <n v="0"/>
    <n v="7.1"/>
    <n v="17"/>
    <n v="33"/>
    <n v="110"/>
    <n v="240"/>
    <n v="2"/>
    <n v="2"/>
  </r>
  <r>
    <n v="2700"/>
    <s v="RIVER PURNA NEAR ACHALPUR- AMRAVATI ROAD_x000a_BRIDGE, VILLAGE- ASEGAON,TALUKA- CHANDUR_x000a_BAZAR, DISTRICT- AMRAVATI."/>
    <x v="21"/>
    <n v="20"/>
    <n v="20"/>
    <n v="5.0999999999999996"/>
    <n v="6.2"/>
    <n v="7.8"/>
    <n v="8.5"/>
    <n v="776"/>
    <n v="6920"/>
    <n v="3.2"/>
    <n v="3.8"/>
    <n v="0"/>
    <n v="2.7"/>
    <n v="21"/>
    <n v="47"/>
    <n v="110"/>
    <n v="280"/>
    <n v="2"/>
    <n v="2"/>
  </r>
  <r>
    <n v="3888"/>
    <s v="RIVER MAHANADI AT POWER CHANNEL U/S NEAR_x000a_BURLA"/>
    <x v="22"/>
    <n v="23"/>
    <n v="30"/>
    <n v="6"/>
    <n v="7.8"/>
    <n v="7.1"/>
    <n v="8"/>
    <n v="162"/>
    <n v="246"/>
    <n v="1.1000000000000001"/>
    <n v="2"/>
    <n v="0.32"/>
    <n v="0.77"/>
    <n v="23"/>
    <n v="1300"/>
    <n v="79"/>
    <n v="3300"/>
    <m/>
    <m/>
  </r>
  <r>
    <n v="3890"/>
    <s v="RIVER MAHANADI AT CUTTACK FD/S AT_x000a_GATIRAUTAPATNA"/>
    <x v="22"/>
    <n v="20"/>
    <n v="32"/>
    <n v="6.4"/>
    <n v="8.5"/>
    <n v="7.1"/>
    <n v="8.4"/>
    <n v="167"/>
    <n v="248"/>
    <n v="1.5"/>
    <n v="2"/>
    <n v="0.32"/>
    <n v="0.95"/>
    <n v="330"/>
    <n v="13000"/>
    <n v="1700"/>
    <n v="54000"/>
    <n v="5"/>
    <n v="130"/>
  </r>
  <r>
    <n v="2407"/>
    <s v="RIVER MAHANADI AT PARADEEP U/S (BEFORE_x000a_INDUSTRIAL ACTIVITY AT PARADEEP)"/>
    <x v="22"/>
    <n v="24.5"/>
    <n v="33.4"/>
    <n v="6"/>
    <n v="8.6"/>
    <n v="7.2"/>
    <n v="8.1999999999999993"/>
    <n v="158"/>
    <n v="22980"/>
    <n v="1.1000000000000001"/>
    <n v="1.4"/>
    <n v="0.32"/>
    <n v="0.88"/>
    <n v="2"/>
    <n v="1300"/>
    <n v="2"/>
    <n v="3300"/>
    <n v="2"/>
    <n v="33"/>
  </r>
  <r>
    <n v="1639"/>
    <s v="RIVER MAHANADI AT PARADEEP D/S"/>
    <x v="22"/>
    <n v="24.4"/>
    <n v="33"/>
    <n v="5.4"/>
    <n v="8.4"/>
    <n v="7.1"/>
    <n v="8.4"/>
    <n v="210"/>
    <n v="35410"/>
    <n v="1.4"/>
    <n v="2.2000000000000002"/>
    <n v="0.32"/>
    <n v="2.48"/>
    <n v="2"/>
    <n v="1700"/>
    <n v="2"/>
    <n v="4900"/>
    <n v="2"/>
    <n v="49"/>
  </r>
  <r>
    <n v="1107"/>
    <s v="RIVER SEONATH AT U/S RAJNANDGAON, CHHATISGARH."/>
    <x v="23"/>
    <n v="2.6"/>
    <n v="29"/>
    <n v="6.8"/>
    <n v="7.4"/>
    <n v="7.3"/>
    <n v="7.6"/>
    <n v="142"/>
    <n v="492"/>
    <n v="1.2"/>
    <n v="2.8"/>
    <n v="0.32"/>
    <n v="0.8"/>
    <m/>
    <m/>
    <n v="64"/>
    <n v="1100"/>
    <m/>
    <m/>
  </r>
  <r>
    <n v="1266"/>
    <s v="RIVER SEONATH AT SHIMGA NEAR ROAD BRIDGE"/>
    <x v="23"/>
    <n v="19"/>
    <n v="29"/>
    <n v="6.5"/>
    <n v="7.2"/>
    <n v="7.2"/>
    <n v="7.9"/>
    <n v="220"/>
    <n v="574"/>
    <n v="2.1"/>
    <n v="2.6"/>
    <n v="0"/>
    <n v="0"/>
    <m/>
    <m/>
    <n v="50"/>
    <n v="70"/>
    <m/>
    <m/>
  </r>
  <r>
    <n v="1845"/>
    <s v="RIVER SEONATH WATER SUPPLY WELL, DURG,_x000a_CHHATISGARH."/>
    <x v="23"/>
    <n v="2.6"/>
    <n v="29"/>
    <n v="6.4"/>
    <n v="7.6"/>
    <n v="7.4"/>
    <n v="7.6"/>
    <n v="189"/>
    <n v="498"/>
    <n v="1.2"/>
    <n v="2.4"/>
    <n v="0"/>
    <n v="0.8"/>
    <m/>
    <m/>
    <n v="9"/>
    <n v="1100"/>
    <m/>
    <m/>
  </r>
  <r>
    <n v="3166"/>
    <s v="RIVER SEONATH AT JHINGHRI VILLAGE, A/C OF SAMODA_x000a_NALLA, CHHATISGARH."/>
    <x v="23"/>
    <n v="24"/>
    <n v="29"/>
    <n v="2.2000000000000002"/>
    <n v="7.2"/>
    <n v="7.2"/>
    <n v="7.9"/>
    <n v="419"/>
    <n v="518"/>
    <n v="2"/>
    <n v="28"/>
    <n v="0.48"/>
    <n v="1.05"/>
    <n v="560"/>
    <n v="560"/>
    <n v="240"/>
    <n v="1100"/>
    <m/>
    <m/>
  </r>
  <r>
    <n v="3167"/>
    <s v="RIVER SEONATH AT MOHAD, RAJNANDGAON"/>
    <x v="23"/>
    <n v="2.6"/>
    <n v="29"/>
    <n v="6.8"/>
    <n v="7.4"/>
    <n v="7.3"/>
    <n v="7.6"/>
    <n v="94"/>
    <n v="504"/>
    <n v="1.4"/>
    <n v="2.8"/>
    <n v="0.32"/>
    <n v="1.1000000000000001"/>
    <m/>
    <m/>
    <n v="93"/>
    <n v="1100"/>
    <m/>
    <m/>
  </r>
  <r>
    <n v="2403"/>
    <s v="RIVER BHEDEN BEFORE CONFLUENCE WITH IB RIVER"/>
    <x v="22"/>
    <n v="19"/>
    <n v="32"/>
    <n v="7.6"/>
    <n v="8.4"/>
    <n v="6.8"/>
    <n v="8.5"/>
    <n v="125"/>
    <n v="795"/>
    <n v="1.3"/>
    <n v="1.7"/>
    <n v="0.32"/>
    <n v="1.2"/>
    <n v="45"/>
    <n v="1300"/>
    <n v="170"/>
    <n v="3300"/>
    <n v="2"/>
    <n v="27"/>
  </r>
  <r>
    <n v="1265"/>
    <s v="RIVER KHAROON AT BHATAGAON NEAR WATER_x000a_SUPPLY INTAKEWELL RAIPUR"/>
    <x v="23"/>
    <n v="20"/>
    <n v="29"/>
    <n v="6.4"/>
    <n v="7.3"/>
    <n v="7.1"/>
    <n v="8.1999999999999993"/>
    <n v="190"/>
    <n v="2020"/>
    <n v="2.1"/>
    <n v="2.5"/>
    <n v="0"/>
    <n v="0"/>
    <m/>
    <m/>
    <n v="34"/>
    <n v="60"/>
    <m/>
    <m/>
  </r>
  <r>
    <n v="1846"/>
    <s v="RIVER KHAROON B/C KHAPRI NAHLA RAIPUR_x000a_ROAD,CHHATTISGARH"/>
    <x v="23"/>
    <n v="2.6"/>
    <n v="29"/>
    <n v="2.2000000000000002"/>
    <n v="7.2"/>
    <n v="7.3"/>
    <n v="8"/>
    <n v="400"/>
    <n v="4120"/>
    <n v="1.8"/>
    <n v="10"/>
    <n v="0.43"/>
    <n v="4.03"/>
    <m/>
    <m/>
    <n v="210"/>
    <n v="11100"/>
    <m/>
    <m/>
  </r>
  <r>
    <n v="1847"/>
    <s v="RIVER KHAROON A/C KHAPRI NAHLA,CHHATTISGARH"/>
    <x v="23"/>
    <n v="2.4"/>
    <n v="29"/>
    <n v="4"/>
    <n v="7.2"/>
    <n v="7.1"/>
    <n v="7.9"/>
    <n v="400"/>
    <n v="539"/>
    <n v="2"/>
    <n v="12"/>
    <n v="0.43"/>
    <n v="2.2599999999999998"/>
    <m/>
    <m/>
    <n v="220"/>
    <n v="1100"/>
    <m/>
    <m/>
  </r>
  <r>
    <n v="1853"/>
    <s v="RIVER KHAROON AT VILLAGE BENDRI, NEAR WATER_x000a_SUPPLY INTAKEWELL"/>
    <x v="23"/>
    <n v="22"/>
    <n v="32"/>
    <n v="6.2"/>
    <n v="6.9"/>
    <n v="7.1"/>
    <n v="7.6"/>
    <n v="194"/>
    <n v="482"/>
    <n v="2.1"/>
    <n v="2.9"/>
    <n v="0"/>
    <n v="0"/>
    <m/>
    <m/>
    <n v="56"/>
    <n v="80"/>
    <m/>
    <m/>
  </r>
  <r>
    <n v="1105"/>
    <s v="RIVER HASDEO UP STREAM OF HASDEO BANGO HYDEL_x000a_POWER STATION STATION MACHADOLI KORBA"/>
    <x v="23"/>
    <n v="24.1"/>
    <n v="26.2"/>
    <n v="0.3"/>
    <n v="8.6"/>
    <n v="7.2"/>
    <n v="7.4"/>
    <n v="126"/>
    <n v="1326"/>
    <n v="1"/>
    <n v="1.2"/>
    <n v="0.37"/>
    <n v="0.53"/>
    <n v="4"/>
    <n v="22"/>
    <n v="24"/>
    <n v="49"/>
    <m/>
    <m/>
  </r>
  <r>
    <n v="1106"/>
    <s v="RIVER HASDEO AT U/S OF CHAMPA CHHATTISGARH"/>
    <x v="23"/>
    <n v="20.100000000000001"/>
    <n v="33"/>
    <n v="6"/>
    <n v="7.2"/>
    <n v="7.2"/>
    <n v="8"/>
    <n v="160"/>
    <n v="374"/>
    <n v="1.8"/>
    <n v="3.1"/>
    <n v="2.2000000000000002"/>
    <n v="4.4000000000000004"/>
    <n v="12"/>
    <n v="170"/>
    <n v="28"/>
    <n v="630"/>
    <m/>
    <m/>
  </r>
  <r>
    <n v="3165"/>
    <s v="RIVER HASDEO 100 METER DOWNSTREAM AFTER_x000a_CONFLUENCE OF DENGUR NALLAH NERA C.S.E.B. EAST_x000a_GUEST HOUSE, KORBA, CHHATISGARH."/>
    <x v="23"/>
    <n v="24.5"/>
    <n v="26.2"/>
    <n v="7.2"/>
    <n v="8"/>
    <n v="7.2"/>
    <n v="7.6"/>
    <n v="149"/>
    <n v="1524"/>
    <n v="1"/>
    <n v="1.8"/>
    <n v="0.61"/>
    <n v="1.1000000000000001"/>
    <n v="13"/>
    <n v="37"/>
    <n v="34"/>
    <n v="150"/>
    <m/>
    <m/>
  </r>
  <r>
    <n v="3169"/>
    <s v="RIVER HASDEO AT DRINKING WATER INTANK WELL OF_x000a_MUNICIPAL CO. KORBA (BEFORE TREATMENT ) AT_x000a_LOHADIA VILLAGE,"/>
    <x v="23"/>
    <n v="24.5"/>
    <n v="26.2"/>
    <n v="7.2"/>
    <n v="7.8"/>
    <n v="7.1"/>
    <n v="7.5"/>
    <n v="136"/>
    <n v="1442"/>
    <n v="1"/>
    <n v="1.6"/>
    <n v="0.47"/>
    <n v="0.93"/>
    <n v="9"/>
    <n v="25"/>
    <n v="21"/>
    <n v="58"/>
    <m/>
    <m/>
  </r>
  <r>
    <n v="3170"/>
    <s v="RIVER HASDEO DRINKING WATER INTAKE WELL OF_x000a_MUNICIPAL CO. KORBA AFTER TREATMENT PLANT AT_x000a_VILLAGE KOHADIA KORBA"/>
    <x v="23"/>
    <n v="24.7"/>
    <n v="26.3"/>
    <n v="7.6"/>
    <n v="8.1999999999999993"/>
    <n v="7.2"/>
    <n v="7.5"/>
    <n v="141"/>
    <n v="1565"/>
    <n v="1"/>
    <n v="1"/>
    <n v="0.44"/>
    <n v="0.82"/>
    <n v="2"/>
    <n v="4"/>
    <n v="2"/>
    <n v="22"/>
    <m/>
    <m/>
  </r>
  <r>
    <n v="1267"/>
    <s v="RIVER IB AT SUNDARGARH"/>
    <x v="22"/>
    <n v="22"/>
    <n v="32"/>
    <n v="5.4"/>
    <n v="8.1"/>
    <n v="6.5"/>
    <n v="7.8"/>
    <n v="107"/>
    <n v="180"/>
    <n v="1.1000000000000001"/>
    <n v="1.9"/>
    <n v="0.32"/>
    <n v="0.83"/>
    <n v="45"/>
    <n v="1700"/>
    <n v="330"/>
    <n v="3500"/>
    <m/>
    <m/>
  </r>
  <r>
    <n v="1268"/>
    <s v="RIVER IB AT JHARSUGUDA (INTAKE)"/>
    <x v="22"/>
    <n v="18"/>
    <n v="32"/>
    <n v="7.8"/>
    <n v="8.6"/>
    <n v="6.8"/>
    <n v="8.3000000000000007"/>
    <n v="98"/>
    <n v="333"/>
    <n v="1.1000000000000001"/>
    <n v="1.5"/>
    <n v="0.32"/>
    <n v="1.37"/>
    <n v="230"/>
    <n v="1700"/>
    <n v="940"/>
    <n v="3500"/>
    <m/>
    <m/>
  </r>
  <r>
    <n v="1269"/>
    <s v="RIVER IB AT BRAJARAJNAGAR (INTAKE) D/S"/>
    <x v="22"/>
    <n v="17"/>
    <n v="33"/>
    <n v="7.6"/>
    <n v="8.1999999999999993"/>
    <n v="6.7"/>
    <n v="8.5"/>
    <n v="115"/>
    <n v="338"/>
    <n v="1.4"/>
    <n v="1.8"/>
    <n v="0.32"/>
    <n v="1.0900000000000001"/>
    <n v="130"/>
    <n v="1700"/>
    <n v="790"/>
    <n v="4900"/>
    <m/>
    <m/>
  </r>
  <r>
    <n v="1300"/>
    <s v="RIVER IB AT BRAJARAJNAGAR U/S"/>
    <x v="22"/>
    <n v="18"/>
    <n v="33"/>
    <n v="7.6"/>
    <n v="8.1999999999999993"/>
    <n v="6.8"/>
    <n v="8.1999999999999993"/>
    <n v="120"/>
    <n v="265"/>
    <n v="1.1000000000000001"/>
    <n v="1.9"/>
    <n v="0.32"/>
    <n v="1.38"/>
    <n v="110"/>
    <n v="790"/>
    <n v="490"/>
    <n v="2400"/>
    <m/>
    <m/>
  </r>
  <r>
    <n v="2409"/>
    <s v="RIVER SERUA AT CUTTACK FD/S (SERUA) AT_x000a_SANKHATRASA"/>
    <x v="22"/>
    <n v="22"/>
    <n v="30"/>
    <n v="6.3"/>
    <n v="8.6"/>
    <n v="7.2"/>
    <n v="8.5"/>
    <n v="149"/>
    <n v="280"/>
    <n v="1.1000000000000001"/>
    <n v="3.9"/>
    <n v="0.32"/>
    <n v="1.34"/>
    <n v="35000"/>
    <n v="160000"/>
    <n v="92000"/>
    <n v="160000"/>
    <n v="49"/>
    <n v="220"/>
  </r>
  <r>
    <n v="1279"/>
    <s v="RIVER KUAKHAI AT BHUBANESWAR U/S"/>
    <x v="22"/>
    <n v="21"/>
    <n v="31"/>
    <n v="6.3"/>
    <n v="9.1999999999999993"/>
    <n v="6.8"/>
    <n v="7.8"/>
    <n v="150"/>
    <n v="253"/>
    <n v="1.1000000000000001"/>
    <n v="1.7"/>
    <n v="0.32"/>
    <n v="2.79"/>
    <n v="490"/>
    <n v="4900"/>
    <n v="1700"/>
    <n v="14000"/>
    <n v="11"/>
    <n v="110"/>
  </r>
  <r>
    <n v="1280"/>
    <s v="RIVER DAYA AT BHUBANESWAR D/S"/>
    <x v="22"/>
    <n v="20"/>
    <n v="33"/>
    <n v="2.8"/>
    <n v="7.1"/>
    <n v="6.7"/>
    <n v="7.5"/>
    <n v="162"/>
    <n v="430"/>
    <n v="2.8"/>
    <n v="5.7"/>
    <n v="0.32"/>
    <n v="4.4000000000000004"/>
    <n v="3300"/>
    <n v="92000"/>
    <n v="9200"/>
    <n v="160000"/>
    <n v="22"/>
    <n v="540"/>
  </r>
  <r>
    <n v="2410"/>
    <s v="RIVER KUAKHAI AT BHUBANESWAR FU/S"/>
    <x v="22"/>
    <n v="21"/>
    <n v="31"/>
    <n v="6.1"/>
    <n v="10.5"/>
    <n v="6.8"/>
    <n v="7.7"/>
    <n v="183"/>
    <n v="241"/>
    <n v="1.3"/>
    <n v="1.8"/>
    <n v="0.32"/>
    <n v="0.67"/>
    <n v="130"/>
    <n v="2200"/>
    <n v="790"/>
    <n v="4900"/>
    <n v="5"/>
    <n v="79"/>
  </r>
  <r>
    <n v="1640"/>
    <s v="RIVER BIRUPA AT CHOUDWAR D/S"/>
    <x v="22"/>
    <n v="22"/>
    <n v="31"/>
    <n v="6.8"/>
    <n v="8.8000000000000007"/>
    <n v="7.3"/>
    <n v="8.4"/>
    <n v="160"/>
    <n v="2478"/>
    <n v="1.2"/>
    <n v="2.1"/>
    <n v="0.32"/>
    <n v="1.33"/>
    <n v="170"/>
    <n v="4900"/>
    <n v="1300"/>
    <n v="17000"/>
    <m/>
    <m/>
  </r>
  <r>
    <n v="1848"/>
    <s v="RIVER ARPA D/S OF BILASPUR CITY AT CHECK DAM_x000a_OUTLET NEAR DEORI KHURD, BILASPUR"/>
    <x v="23"/>
    <n v="21.2"/>
    <n v="32.5"/>
    <n v="5.8"/>
    <n v="7"/>
    <n v="6.8"/>
    <n v="9"/>
    <n v="376"/>
    <n v="928"/>
    <n v="2.8"/>
    <n v="4.7"/>
    <n v="2.2000000000000002"/>
    <n v="6"/>
    <n v="20"/>
    <n v="130"/>
    <n v="70"/>
    <n v="490"/>
    <m/>
    <m/>
  </r>
  <r>
    <n v="1849"/>
    <s v="RIVER KELO U/S URDANA VILLAGE"/>
    <x v="23"/>
    <n v="15.2"/>
    <n v="30"/>
    <n v="6.8"/>
    <n v="7.4"/>
    <n v="7.1"/>
    <n v="7.9"/>
    <n v="192"/>
    <n v="367"/>
    <n v="1.4"/>
    <n v="2.9"/>
    <n v="0.84"/>
    <n v="1.18"/>
    <n v="13"/>
    <n v="13"/>
    <n v="39"/>
    <n v="460"/>
    <m/>
    <m/>
  </r>
  <r>
    <n v="1850"/>
    <s v="RIVER KELO D/S LAHANGAPALI BRIDGE MIDMIDA_x000a_VILLAGE"/>
    <x v="23"/>
    <n v="15"/>
    <n v="32"/>
    <n v="6"/>
    <n v="7.4"/>
    <n v="7.3"/>
    <n v="8.6999999999999993"/>
    <n v="194"/>
    <n v="682"/>
    <n v="1.8"/>
    <n v="3.8"/>
    <n v="0.98"/>
    <n v="1.42"/>
    <n v="50"/>
    <n v="50"/>
    <n v="64"/>
    <n v="460"/>
    <m/>
    <m/>
  </r>
  <r>
    <n v="2411"/>
    <s v="RIVER DAYA AT BHUBANESWAR FD/S ( 2 KM AFTER_x000a_CONFLUENCE OF GANGUA NALLAH WITH DAYA)"/>
    <x v="22"/>
    <n v="20"/>
    <n v="33"/>
    <n v="3"/>
    <n v="7.3"/>
    <n v="6.9"/>
    <n v="7.7"/>
    <n v="155"/>
    <n v="426"/>
    <n v="2.2999999999999998"/>
    <n v="4.8"/>
    <n v="0.38"/>
    <n v="4.79"/>
    <n v="1700"/>
    <n v="54000"/>
    <n v="3500"/>
    <n v="92000"/>
    <n v="17"/>
    <n v="240"/>
  </r>
  <r>
    <n v="3894"/>
    <s v="RIVER DAYA AT GELAPUR"/>
    <x v="22"/>
    <n v="23"/>
    <n v="32"/>
    <n v="6.2"/>
    <n v="9.4"/>
    <n v="7.1"/>
    <n v="8.4"/>
    <n v="137"/>
    <n v="282"/>
    <n v="1.2"/>
    <n v="1.7"/>
    <n v="0.32"/>
    <n v="0.59"/>
    <n v="230"/>
    <n v="2200"/>
    <n v="1100"/>
    <n v="4900"/>
    <n v="5"/>
    <n v="79"/>
  </r>
  <r>
    <n v="3895"/>
    <s v="RIVER DAYA AT KANAS"/>
    <x v="22"/>
    <n v="19"/>
    <n v="35"/>
    <n v="3.4"/>
    <n v="9.5"/>
    <n v="6.6"/>
    <n v="8"/>
    <n v="143"/>
    <n v="472"/>
    <n v="1.2"/>
    <n v="2.4"/>
    <n v="0.32"/>
    <n v="7.43"/>
    <n v="220"/>
    <n v="160000"/>
    <n v="1300"/>
    <n v="160000"/>
    <n v="5"/>
    <n v="130"/>
  </r>
  <r>
    <n v="3891"/>
    <s v="RIVER KATHAJODI AT CUTTACK U/S"/>
    <x v="22"/>
    <n v="22"/>
    <n v="30"/>
    <n v="6.3"/>
    <n v="9.1999999999999993"/>
    <n v="7.2"/>
    <n v="8.5"/>
    <n v="153"/>
    <n v="252"/>
    <n v="1.1000000000000001"/>
    <n v="1.6"/>
    <n v="0.32"/>
    <n v="0.59"/>
    <n v="130"/>
    <n v="1300"/>
    <n v="490"/>
    <n v="3300"/>
    <m/>
    <m/>
  </r>
  <r>
    <n v="1301"/>
    <s v="RIVER KATHAJODI AT CUTTACK D/S"/>
    <x v="22"/>
    <n v="21"/>
    <n v="31"/>
    <n v="6"/>
    <n v="8.8000000000000007"/>
    <n v="7.2"/>
    <n v="8.4"/>
    <n v="151"/>
    <n v="361"/>
    <n v="1.5"/>
    <n v="4.2"/>
    <n v="0.32"/>
    <n v="1.43"/>
    <n v="7900"/>
    <n v="160000"/>
    <n v="24000"/>
    <n v="160000"/>
    <n v="23"/>
    <n v="240"/>
  </r>
  <r>
    <n v="3892"/>
    <s v="RIVER KATHAJODI AT CUTTACK FD/S AT MATTAGAJPUR"/>
    <x v="22"/>
    <n v="22"/>
    <n v="31"/>
    <n v="7"/>
    <n v="8.6"/>
    <n v="7.1"/>
    <n v="8.3000000000000007"/>
    <n v="202"/>
    <n v="388"/>
    <n v="1.3"/>
    <n v="3.9"/>
    <n v="0.32"/>
    <n v="1.1200000000000001"/>
    <n v="1300"/>
    <n v="92000"/>
    <n v="4900"/>
    <n v="160000"/>
    <n v="13"/>
    <n v="170"/>
  </r>
  <r>
    <n v="3893"/>
    <s v="RIVER KATHAJODI AT CUTTACK FD/S AT KAMASASAN"/>
    <x v="22"/>
    <n v="22"/>
    <n v="32"/>
    <n v="6.6"/>
    <n v="8.5"/>
    <n v="7.3"/>
    <n v="8.5"/>
    <n v="158"/>
    <n v="327"/>
    <n v="1.3"/>
    <n v="2.5"/>
    <n v="0.32"/>
    <n v="0.98"/>
    <n v="330"/>
    <n v="7900"/>
    <n v="1700"/>
    <n v="22000"/>
    <m/>
    <m/>
  </r>
  <r>
    <n v="3900"/>
    <s v="RIVER GOBARI AT KENDRAPARA U/S"/>
    <x v="22"/>
    <n v="23.5"/>
    <n v="32.799999999999997"/>
    <n v="2.4"/>
    <n v="5.5"/>
    <n v="7.1"/>
    <n v="8.1999999999999993"/>
    <n v="168"/>
    <n v="1843"/>
    <n v="1.1000000000000001"/>
    <n v="2.2000000000000002"/>
    <n v="0.32"/>
    <n v="0.81"/>
    <n v="330"/>
    <n v="4900"/>
    <n v="1100"/>
    <n v="24000"/>
    <m/>
    <m/>
  </r>
  <r>
    <n v="3901"/>
    <s v="RIVER GOBARI AT KENDRAPARA D/S"/>
    <x v="22"/>
    <n v="24.5"/>
    <n v="33.700000000000003"/>
    <n v="2"/>
    <n v="5.2"/>
    <n v="6.9"/>
    <n v="8.1999999999999993"/>
    <n v="205"/>
    <n v="2453"/>
    <n v="1.5"/>
    <n v="2.6"/>
    <n v="0.32"/>
    <n v="0.84"/>
    <n v="790"/>
    <n v="24000"/>
    <n v="1700"/>
    <n v="54000"/>
    <m/>
    <m/>
  </r>
  <r>
    <n v="3902"/>
    <s v="RIVER DEVI AT MACCHGAON"/>
    <x v="22"/>
    <n v="24.1"/>
    <n v="33.200000000000003"/>
    <n v="5.2"/>
    <n v="7.8"/>
    <n v="7.1"/>
    <n v="8.3000000000000007"/>
    <n v="182"/>
    <n v="24860"/>
    <n v="1.2"/>
    <n v="2"/>
    <n v="0.32"/>
    <n v="0.94"/>
    <n v="78"/>
    <n v="2200"/>
    <n v="230"/>
    <n v="4900"/>
    <m/>
    <m/>
  </r>
  <r>
    <n v="3896"/>
    <s v="RIVER GANGUA NEAR RAJDHANI ENGINEERING_x000a_COLLEGE"/>
    <x v="22"/>
    <n v="20"/>
    <n v="30"/>
    <n v="0.3"/>
    <n v="2.2000000000000002"/>
    <n v="6.7"/>
    <n v="7.4"/>
    <n v="172"/>
    <n v="449"/>
    <n v="6.3"/>
    <n v="15"/>
    <n v="0.32"/>
    <n v="15.71"/>
    <n v="16000"/>
    <n v="160000"/>
    <n v="16000"/>
    <n v="160000"/>
    <n v="70"/>
    <n v="920"/>
  </r>
  <r>
    <n v="3897"/>
    <s v="RIVER GANGUA AT PALASUNI"/>
    <x v="22"/>
    <n v="22"/>
    <n v="32"/>
    <n v="0.3"/>
    <n v="3.3"/>
    <n v="4.7"/>
    <n v="7.2"/>
    <n v="201"/>
    <n v="702"/>
    <n v="7.7"/>
    <n v="18"/>
    <n v="0.32"/>
    <n v="13.22"/>
    <n v="2"/>
    <n v="160000"/>
    <n v="2"/>
    <n v="160000"/>
    <n v="2"/>
    <n v="350"/>
  </r>
  <r>
    <n v="3898"/>
    <s v="RIVER GANGUA AT SAMANTARAPUR"/>
    <x v="22"/>
    <n v="22"/>
    <n v="32"/>
    <n v="0.3"/>
    <n v="3.3"/>
    <n v="6.6"/>
    <n v="7.2"/>
    <n v="268"/>
    <n v="580"/>
    <n v="8"/>
    <n v="18"/>
    <n v="0.32"/>
    <n v="10.57"/>
    <n v="2"/>
    <n v="160000"/>
    <n v="2"/>
    <n v="160000"/>
    <n v="2"/>
    <n v="280"/>
  </r>
  <r>
    <n v="3899"/>
    <s v="RIVER GANGUA AT VADIMULA"/>
    <x v="22"/>
    <n v="20"/>
    <n v="32"/>
    <n v="0.9"/>
    <n v="4.5"/>
    <n v="6.8"/>
    <n v="7.9"/>
    <n v="195"/>
    <n v="502"/>
    <n v="5"/>
    <n v="18"/>
    <n v="0.32"/>
    <n v="6.02"/>
    <n v="7900"/>
    <n v="160000"/>
    <n v="24000"/>
    <n v="160000"/>
    <n v="79"/>
    <n v="280"/>
  </r>
  <r>
    <n v="3903"/>
    <s v="RIVER KUSHABHADRA AT BHINGARPUR"/>
    <x v="22"/>
    <n v="19"/>
    <n v="32"/>
    <n v="5.0999999999999996"/>
    <n v="9.1"/>
    <n v="7.1"/>
    <n v="7.6"/>
    <n v="180"/>
    <n v="267"/>
    <n v="1.2"/>
    <n v="1.7"/>
    <n v="0.32"/>
    <n v="0.78"/>
    <n v="330"/>
    <n v="54000"/>
    <n v="1700"/>
    <n v="160000"/>
    <m/>
    <m/>
  </r>
  <r>
    <n v="3904"/>
    <s v="RIVER KUSHABHADRA AT NIMAPARA"/>
    <x v="22"/>
    <n v="22"/>
    <n v="32"/>
    <n v="4.9000000000000004"/>
    <n v="8.8000000000000007"/>
    <n v="6.8"/>
    <n v="7.8"/>
    <n v="131"/>
    <n v="282"/>
    <n v="1.1000000000000001"/>
    <n v="1.6"/>
    <n v="0.32"/>
    <n v="4.97"/>
    <n v="130"/>
    <n v="3300"/>
    <n v="490"/>
    <n v="11000"/>
    <m/>
    <m/>
  </r>
  <r>
    <n v="3905"/>
    <s v="RIVER KUSHABHADRA AT GOP"/>
    <x v="22"/>
    <n v="22"/>
    <n v="34.5"/>
    <n v="4.3"/>
    <n v="8.4"/>
    <n v="6.9"/>
    <n v="7.8"/>
    <n v="164"/>
    <n v="348"/>
    <n v="1.2"/>
    <n v="1.7"/>
    <n v="0.32"/>
    <n v="1.47"/>
    <n v="940"/>
    <n v="54000"/>
    <n v="2800"/>
    <n v="160000"/>
    <m/>
    <m/>
  </r>
  <r>
    <n v="3906"/>
    <s v="RIVER MANGALA AT PURI U/S MALATIPATPUR"/>
    <x v="22"/>
    <n v="20"/>
    <n v="32"/>
    <n v="4.8"/>
    <n v="9.1"/>
    <n v="6.9"/>
    <n v="8.1999999999999993"/>
    <n v="138"/>
    <n v="360"/>
    <n v="1.1000000000000001"/>
    <n v="2.1"/>
    <n v="0.32"/>
    <n v="0.64"/>
    <n v="78"/>
    <n v="1700"/>
    <n v="330"/>
    <n v="2800"/>
    <m/>
    <m/>
  </r>
  <r>
    <n v="3907"/>
    <s v="RIVER MANGALA AT PURI D/S GOLASAHI"/>
    <x v="22"/>
    <n v="23"/>
    <n v="34"/>
    <n v="4.4000000000000004"/>
    <n v="13"/>
    <n v="7.1"/>
    <n v="8.5"/>
    <n v="166"/>
    <n v="14710"/>
    <n v="1.7"/>
    <n v="3.6"/>
    <n v="0.33"/>
    <n v="5.17"/>
    <n v="130"/>
    <n v="2200"/>
    <n v="490"/>
    <n v="4900"/>
    <n v="2"/>
    <n v="24"/>
  </r>
  <r>
    <n v="3908"/>
    <s v="RIVER BHARGAVI AT CHANDANPUR"/>
    <x v="22"/>
    <n v="20.5"/>
    <n v="32"/>
    <n v="4.5999999999999996"/>
    <n v="9.1999999999999993"/>
    <n v="6.9"/>
    <n v="8.3000000000000007"/>
    <n v="148"/>
    <n v="280"/>
    <n v="1.2"/>
    <n v="2.6"/>
    <n v="0.32"/>
    <n v="0.74"/>
    <n v="45"/>
    <n v="2200"/>
    <n v="230"/>
    <n v="4900"/>
    <m/>
    <m/>
  </r>
  <r>
    <n v="3909"/>
    <s v="RIVER KANSARI AT BANAPUR ROAD NEAR_x000a_PURUSHOTTAMPUR"/>
    <x v="22"/>
    <n v="19"/>
    <n v="34"/>
    <n v="5.5"/>
    <n v="8.1999999999999993"/>
    <n v="6.6"/>
    <n v="7.8"/>
    <n v="178"/>
    <n v="355"/>
    <n v="1.1000000000000001"/>
    <n v="2.2000000000000002"/>
    <n v="0.32"/>
    <n v="1.54"/>
    <n v="490"/>
    <n v="2300"/>
    <n v="1400"/>
    <n v="4900"/>
    <m/>
    <m/>
  </r>
  <r>
    <n v="3910"/>
    <s v="RIVER BADASANKHA NADI NEAR LANGALESWAR"/>
    <x v="22"/>
    <n v="20"/>
    <n v="34.5"/>
    <n v="5"/>
    <n v="10.199999999999999"/>
    <n v="6.8"/>
    <n v="8.1"/>
    <n v="410"/>
    <n v="4657"/>
    <n v="1.4"/>
    <n v="2.4"/>
    <n v="0.32"/>
    <n v="1.5"/>
    <n v="210"/>
    <n v="2400"/>
    <n v="700"/>
    <n v="4900"/>
    <m/>
    <m/>
  </r>
  <r>
    <n v="3911"/>
    <s v="RIVER RATNACHIRA NAADI AT KUMARADIHI"/>
    <x v="22"/>
    <n v="18.5"/>
    <n v="33"/>
    <n v="5.0999999999999996"/>
    <n v="7.3"/>
    <n v="6.9"/>
    <n v="7.7"/>
    <n v="176"/>
    <n v="957"/>
    <n v="1.2"/>
    <n v="1.9"/>
    <n v="0.32"/>
    <n v="1.04"/>
    <n v="230"/>
    <n v="2300"/>
    <n v="1100"/>
    <n v="4900"/>
    <n v="2"/>
    <n v="33"/>
  </r>
  <r>
    <n v="3912"/>
    <s v="RIVER NUNA NADI AT BIJIPUR"/>
    <x v="22"/>
    <n v="20"/>
    <n v="34"/>
    <n v="4.8"/>
    <n v="10.8"/>
    <n v="6.9"/>
    <n v="7.7"/>
    <n v="145"/>
    <n v="323"/>
    <n v="1.1000000000000001"/>
    <n v="1.8"/>
    <n v="0.32"/>
    <n v="2.87"/>
    <n v="330"/>
    <n v="35000"/>
    <n v="1700"/>
    <n v="92000"/>
    <n v="7"/>
    <n v="94"/>
  </r>
  <r>
    <n v="3913"/>
    <s v="RIVER KUSUMI NADI NEAR TANGI (LAXMIDHARA PUR)"/>
    <x v="22"/>
    <n v="19"/>
    <n v="32"/>
    <n v="5.3"/>
    <n v="7.7"/>
    <n v="6.6"/>
    <n v="7.9"/>
    <n v="150"/>
    <n v="276"/>
    <n v="1.2"/>
    <n v="2.4"/>
    <n v="0.32"/>
    <n v="2.19"/>
    <n v="2"/>
    <n v="2300"/>
    <n v="2"/>
    <n v="4900"/>
    <n v="2"/>
    <n v="49"/>
  </r>
  <r>
    <n v="3914"/>
    <s v="RIVER SABULIA NADI NEAR RAMBHA (AT_x000a_JAGANNATHPATNA)"/>
    <x v="22"/>
    <n v="21"/>
    <n v="35"/>
    <n v="5.2"/>
    <n v="7.9"/>
    <n v="7.2"/>
    <n v="7.9"/>
    <n v="428"/>
    <n v="1208"/>
    <n v="1.1000000000000001"/>
    <n v="1.9"/>
    <n v="0.32"/>
    <n v="1.72"/>
    <n v="790"/>
    <n v="2400"/>
    <n v="2200"/>
    <n v="4900"/>
    <n v="5"/>
    <n v="46"/>
  </r>
  <r>
    <n v="2408"/>
    <s v="RIVER TEL (OVER ROAD BRIDGE STATE HIGHWAY -41,_x000a_MANAMUNDA)"/>
    <x v="22"/>
    <n v="23"/>
    <n v="30"/>
    <n v="6.7"/>
    <n v="10.1"/>
    <n v="7.6"/>
    <n v="8.4"/>
    <n v="109"/>
    <n v="246"/>
    <n v="1.1000000000000001"/>
    <n v="1.7"/>
    <n v="0.32"/>
    <n v="7.29"/>
    <n v="45"/>
    <n v="1100"/>
    <n v="130"/>
    <n v="3500"/>
    <m/>
    <m/>
  </r>
  <r>
    <n v="1085"/>
    <s v="RIVER DHAMRA AT DHAMRA"/>
    <x v="22"/>
    <n v="20"/>
    <n v="30"/>
    <n v="6"/>
    <n v="9.6"/>
    <n v="6.6"/>
    <n v="8.1"/>
    <n v="410"/>
    <n v="34030"/>
    <n v="1.1000000000000001"/>
    <n v="1.9"/>
    <n v="0.32"/>
    <n v="0.88"/>
    <n v="45"/>
    <n v="1300"/>
    <n v="330"/>
    <n v="4700"/>
    <m/>
    <m/>
  </r>
  <r>
    <n v="3168"/>
    <s v="RIVER HASDEO DOWN STREAM OF HASDEO RIVER_x000a_NEAR VILLAGE URGA KORBA"/>
    <x v="23"/>
    <n v="24.7"/>
    <n v="26.3"/>
    <n v="7"/>
    <n v="8"/>
    <n v="7.2"/>
    <n v="7.7"/>
    <n v="158"/>
    <n v="1722"/>
    <n v="1"/>
    <n v="2.4"/>
    <n v="0.69"/>
    <n v="1.1599999999999999"/>
    <n v="14"/>
    <n v="40"/>
    <n v="49"/>
    <n v="170"/>
    <m/>
    <m/>
  </r>
  <r>
    <n v="3889"/>
    <s v="RIVER ONG AT DHARUAKHAMMA"/>
    <x v="22"/>
    <n v="24"/>
    <n v="30"/>
    <n v="5.6"/>
    <n v="10.1"/>
    <n v="7.8"/>
    <n v="8.5"/>
    <n v="190"/>
    <n v="340"/>
    <n v="1.1000000000000001"/>
    <n v="1.6"/>
    <n v="0.32"/>
    <n v="0.81"/>
    <n v="33"/>
    <n v="790"/>
    <n v="94"/>
    <n v="2400"/>
    <m/>
    <m/>
  </r>
  <r>
    <n v="5532"/>
    <s v="RIVER GOBARI AT JAMBO"/>
    <x v="22"/>
    <n v="25"/>
    <n v="32.5"/>
    <n v="4.0999999999999996"/>
    <n v="7.6"/>
    <n v="7.1"/>
    <n v="7.8"/>
    <n v="300"/>
    <n v="42600"/>
    <n v="1.2"/>
    <n v="1.4"/>
    <n v="0.32"/>
    <n v="1.27"/>
    <n v="78"/>
    <n v="2300"/>
    <n v="330"/>
    <n v="4900"/>
    <m/>
    <m/>
  </r>
  <r>
    <n v="5533"/>
    <s v="RIVER HANSUA AT BARUNEI"/>
    <x v="22"/>
    <n v="25.2"/>
    <n v="32.200000000000003"/>
    <n v="5.0999999999999996"/>
    <n v="7.7"/>
    <n v="7.3"/>
    <n v="8.4"/>
    <n v="176"/>
    <n v="40570"/>
    <n v="1.2"/>
    <n v="1.4"/>
    <n v="0.32"/>
    <n v="1.72"/>
    <n v="45"/>
    <n v="1300"/>
    <n v="330"/>
    <n v="3500"/>
    <m/>
    <m/>
  </r>
  <r>
    <n v="5534"/>
    <s v="RIVER PATSALA AT GUPTI"/>
    <x v="22"/>
    <n v="25"/>
    <n v="33.4"/>
    <n v="4.9000000000000004"/>
    <n v="7.1"/>
    <n v="6.8"/>
    <n v="7.9"/>
    <n v="295"/>
    <n v="42210"/>
    <n v="1.2"/>
    <n v="2.2000000000000002"/>
    <n v="0.32"/>
    <n v="2.9"/>
    <n v="45"/>
    <n v="1300"/>
    <n v="330"/>
    <n v="3500"/>
    <m/>
    <m/>
  </r>
  <r>
    <n v="5535"/>
    <s v="RIVER DHAMRA, KALIBHANJADIA"/>
    <x v="22"/>
    <n v="25.2"/>
    <n v="32"/>
    <n v="4.5"/>
    <n v="7.6"/>
    <n v="7.1"/>
    <n v="8"/>
    <n v="1384"/>
    <n v="41900"/>
    <n v="1.2"/>
    <n v="1.9"/>
    <n v="0.32"/>
    <n v="1.51"/>
    <n v="20"/>
    <n v="1300"/>
    <n v="130"/>
    <n v="3500"/>
    <m/>
    <m/>
  </r>
  <r>
    <n v="5536"/>
    <s v="RIVER BHITARAKANIKA AT DANGAMALA"/>
    <x v="22"/>
    <n v="25"/>
    <n v="33.1"/>
    <n v="4.8"/>
    <n v="6.2"/>
    <n v="6.9"/>
    <n v="8.1"/>
    <n v="365"/>
    <n v="36540"/>
    <n v="1.1000000000000001"/>
    <n v="2.5"/>
    <n v="0.32"/>
    <n v="31.02"/>
    <n v="130"/>
    <n v="3300"/>
    <n v="330"/>
    <n v="7900"/>
    <m/>
    <m/>
  </r>
  <r>
    <n v="1081"/>
    <s v="RIVER BAITARNI AT JODA"/>
    <x v="22"/>
    <n v="19"/>
    <n v="31"/>
    <n v="6.2"/>
    <n v="7.5"/>
    <n v="6.8"/>
    <n v="8"/>
    <n v="80"/>
    <n v="164"/>
    <n v="1.1000000000000001"/>
    <n v="1.8"/>
    <n v="0.32"/>
    <n v="1.58"/>
    <n v="110"/>
    <n v="1300"/>
    <n v="490"/>
    <n v="4000"/>
    <m/>
    <m/>
  </r>
  <r>
    <n v="1082"/>
    <s v="RIVER BAITARNI AT ANANDPUR"/>
    <x v="22"/>
    <n v="21"/>
    <n v="29"/>
    <n v="6.2"/>
    <n v="9.6"/>
    <n v="6.8"/>
    <n v="8"/>
    <n v="103"/>
    <n v="178"/>
    <n v="1.1000000000000001"/>
    <n v="1.9"/>
    <n v="0.32"/>
    <n v="0.65"/>
    <n v="130"/>
    <n v="790"/>
    <n v="490"/>
    <n v="2400"/>
    <m/>
    <m/>
  </r>
  <r>
    <n v="1083"/>
    <s v="RIVER BAITARNI AT JAJPUR"/>
    <x v="22"/>
    <n v="21"/>
    <n v="23"/>
    <n v="6.2"/>
    <n v="8.5"/>
    <n v="7.1"/>
    <n v="8.1999999999999993"/>
    <n v="110"/>
    <n v="328"/>
    <n v="1.1000000000000001"/>
    <n v="2.6"/>
    <n v="0.32"/>
    <n v="3.35"/>
    <n v="130"/>
    <n v="4900"/>
    <n v="330"/>
    <n v="24000"/>
    <m/>
    <m/>
  </r>
  <r>
    <n v="3935"/>
    <s v="RIVER BAITARNI AT NAIGARH"/>
    <x v="22"/>
    <n v="19"/>
    <n v="29"/>
    <n v="6"/>
    <n v="7.3"/>
    <n v="6.8"/>
    <n v="8.1"/>
    <n v="73"/>
    <n v="153"/>
    <n v="1.1000000000000001"/>
    <n v="1.5"/>
    <n v="0.32"/>
    <n v="1.08"/>
    <n v="45"/>
    <n v="700"/>
    <n v="330"/>
    <n v="2200"/>
    <m/>
    <m/>
  </r>
  <r>
    <n v="3936"/>
    <s v="RIVER BAITARNI AT UNCHABALI"/>
    <x v="22"/>
    <n v="19"/>
    <n v="30"/>
    <n v="6.4"/>
    <n v="7.4"/>
    <n v="6.7"/>
    <n v="8.1"/>
    <n v="70"/>
    <n v="151"/>
    <n v="1.1000000000000001"/>
    <n v="1.4"/>
    <n v="0.32"/>
    <n v="1.42"/>
    <n v="110"/>
    <n v="790"/>
    <n v="330"/>
    <n v="2200"/>
    <m/>
    <m/>
  </r>
  <r>
    <n v="3938"/>
    <s v="RIVER BAITARNI AT TRIBINDHA"/>
    <x v="22"/>
    <n v="20"/>
    <n v="32"/>
    <n v="6.2"/>
    <n v="7.3"/>
    <n v="6.8"/>
    <n v="8"/>
    <n v="112"/>
    <n v="168"/>
    <n v="1.1000000000000001"/>
    <n v="1.8"/>
    <n v="0.32"/>
    <n v="1.49"/>
    <n v="78"/>
    <n v="1300"/>
    <n v="330"/>
    <n v="4900"/>
    <m/>
    <m/>
  </r>
  <r>
    <n v="3937"/>
    <s v="RIVER BAITARNI AT CHAMPUA"/>
    <x v="22"/>
    <n v="20"/>
    <n v="29.3"/>
    <n v="6.3"/>
    <n v="7"/>
    <n v="6.7"/>
    <n v="8.1"/>
    <n v="93"/>
    <n v="140"/>
    <n v="1.1000000000000001"/>
    <n v="1.7"/>
    <n v="0.32"/>
    <n v="1.51"/>
    <n v="2"/>
    <n v="1700"/>
    <n v="330"/>
    <n v="2400"/>
    <n v="1700"/>
    <n v="1700"/>
  </r>
  <r>
    <n v="1084"/>
    <s v="RIVER BAITARNI AT CHANDBALI U/S"/>
    <x v="22"/>
    <n v="20"/>
    <n v="32"/>
    <n v="4.8"/>
    <n v="9.1999999999999993"/>
    <n v="6.6"/>
    <n v="7.8"/>
    <n v="140"/>
    <n v="20550"/>
    <n v="1.1000000000000001"/>
    <n v="2"/>
    <n v="0.32"/>
    <n v="1.38"/>
    <n v="170"/>
    <n v="2200"/>
    <n v="490"/>
    <n v="4900"/>
    <m/>
    <m/>
  </r>
  <r>
    <n v="10018"/>
    <s v="RIVER BAITARNI AT CHANDBALI D/S"/>
    <x v="22"/>
    <n v="20"/>
    <n v="32"/>
    <n v="4.4000000000000004"/>
    <n v="9.1999999999999993"/>
    <n v="6.5"/>
    <n v="8.3000000000000007"/>
    <n v="150"/>
    <n v="21870"/>
    <n v="1.3"/>
    <n v="2.1"/>
    <n v="0.32"/>
    <n v="1.9"/>
    <n v="170"/>
    <n v="4900"/>
    <n v="490"/>
    <n v="17000"/>
    <m/>
    <m/>
  </r>
  <r>
    <n v="3940"/>
    <s v="RIVER SALANDI AT BHADRAK U/S"/>
    <x v="22"/>
    <n v="20"/>
    <n v="30"/>
    <n v="4.8"/>
    <n v="9.1999999999999993"/>
    <n v="6.7"/>
    <n v="8.4"/>
    <n v="105"/>
    <n v="322"/>
    <n v="1.1000000000000001"/>
    <n v="1.6"/>
    <n v="0.32"/>
    <n v="2.2400000000000002"/>
    <n v="130"/>
    <n v="24000"/>
    <n v="790"/>
    <n v="54000"/>
    <m/>
    <m/>
  </r>
  <r>
    <n v="3941"/>
    <s v="RIVER SALANDI AT BHADRAK D/S"/>
    <x v="22"/>
    <n v="20"/>
    <n v="30"/>
    <n v="4.4000000000000004"/>
    <n v="9.6"/>
    <n v="6.6"/>
    <n v="8.1999999999999993"/>
    <n v="98"/>
    <n v="380"/>
    <n v="1.2"/>
    <n v="1.9"/>
    <n v="0.32"/>
    <n v="1.69"/>
    <n v="330"/>
    <n v="7900"/>
    <n v="1700"/>
    <n v="22000"/>
    <m/>
    <m/>
  </r>
  <r>
    <n v="2421"/>
    <s v="RIVER KUSEI BEFORE JOINING WITH BAITARANI AT_x000a_ANANDPUR, DEOGAON"/>
    <x v="22"/>
    <n v="20"/>
    <n v="29"/>
    <n v="6.8"/>
    <n v="8.5"/>
    <n v="6.7"/>
    <n v="8.5"/>
    <n v="144"/>
    <n v="322"/>
    <n v="1.1000000000000001"/>
    <n v="2"/>
    <n v="0.32"/>
    <n v="1.42"/>
    <n v="130"/>
    <n v="3300"/>
    <n v="330"/>
    <n v="11000"/>
    <m/>
    <m/>
  </r>
  <r>
    <n v="5535"/>
    <s v="RIVER DHAMRA, KALIBHANJADIA"/>
    <x v="22"/>
    <n v="25.2"/>
    <n v="32"/>
    <n v="4.5"/>
    <n v="7.6"/>
    <n v="7.1"/>
    <n v="8"/>
    <n v="1384"/>
    <n v="41900"/>
    <n v="1.2"/>
    <n v="1.9"/>
    <n v="0.32"/>
    <n v="1.51"/>
    <n v="20"/>
    <n v="1300"/>
    <n v="130"/>
    <n v="3500"/>
    <m/>
    <m/>
  </r>
  <r>
    <n v="1037"/>
    <s v="RIVER BRAHMANI AT U/S PANPOSH"/>
    <x v="22"/>
    <n v="22"/>
    <n v="31"/>
    <n v="5"/>
    <n v="8.8000000000000007"/>
    <n v="6.9"/>
    <n v="8.1999999999999993"/>
    <n v="114"/>
    <n v="218"/>
    <n v="1.1000000000000001"/>
    <n v="1.7"/>
    <n v="0.32"/>
    <n v="3.24"/>
    <n v="140"/>
    <n v="2300"/>
    <n v="490"/>
    <n v="4900"/>
    <m/>
    <m/>
  </r>
  <r>
    <n v="1038"/>
    <s v="RIVER BRAHMANI AT D/S PANPOSH AT DEOGAN"/>
    <x v="22"/>
    <n v="21"/>
    <n v="31"/>
    <n v="2.4"/>
    <n v="7"/>
    <n v="6.6"/>
    <n v="7.8"/>
    <n v="188"/>
    <n v="625"/>
    <n v="3.2"/>
    <n v="5.7"/>
    <n v="0.72"/>
    <n v="18.78"/>
    <n v="4900"/>
    <n v="54000"/>
    <n v="9400"/>
    <n v="92000"/>
    <n v="22"/>
    <n v="350"/>
  </r>
  <r>
    <n v="1302"/>
    <s v="RIVER BRAHMANI AT ROURKELA D/S AT JALDA"/>
    <x v="22"/>
    <n v="23"/>
    <n v="32"/>
    <n v="2.8"/>
    <n v="7.8"/>
    <n v="6.7"/>
    <n v="7.8"/>
    <n v="141"/>
    <n v="368"/>
    <n v="3.4"/>
    <n v="5.3"/>
    <n v="0.75"/>
    <n v="11.44"/>
    <n v="33"/>
    <n v="17000"/>
    <n v="7000"/>
    <n v="54000"/>
    <n v="17"/>
    <n v="130"/>
  </r>
  <r>
    <n v="2414"/>
    <s v="RIVER BRAHMANI AT ROURKELA FD/S AT BIRITOLA"/>
    <x v="22"/>
    <n v="17"/>
    <n v="34"/>
    <n v="5.4"/>
    <n v="8.1"/>
    <n v="6.6"/>
    <n v="8.1"/>
    <n v="110"/>
    <n v="263"/>
    <n v="1.5"/>
    <n v="2.8"/>
    <n v="0.32"/>
    <n v="6.84"/>
    <n v="13"/>
    <n v="2300"/>
    <n v="130"/>
    <n v="4900"/>
    <n v="2"/>
    <n v="14"/>
  </r>
  <r>
    <n v="1039"/>
    <s v="RIVER BRAHMANI AT BONAIGARH"/>
    <x v="22"/>
    <n v="16"/>
    <n v="34"/>
    <n v="6.1"/>
    <n v="10.5"/>
    <n v="6.7"/>
    <n v="8.1"/>
    <n v="112"/>
    <n v="246"/>
    <n v="1.1000000000000001"/>
    <n v="2.1"/>
    <n v="0.34"/>
    <n v="6.28"/>
    <n v="13"/>
    <n v="24000"/>
    <n v="130"/>
    <n v="54000"/>
    <m/>
    <m/>
  </r>
  <r>
    <n v="1040"/>
    <s v="RIVER BRAHMANI AT RENGALI"/>
    <x v="22"/>
    <n v="22"/>
    <n v="29"/>
    <n v="6"/>
    <n v="9.8000000000000007"/>
    <n v="7.1"/>
    <n v="8.5"/>
    <n v="114"/>
    <n v="185"/>
    <n v="1.1000000000000001"/>
    <n v="2"/>
    <n v="0.32"/>
    <n v="0.7"/>
    <n v="17"/>
    <n v="490"/>
    <n v="45"/>
    <n v="2400"/>
    <m/>
    <m/>
  </r>
  <r>
    <n v="1041"/>
    <s v="RIVER BRAHMANI AT SAMAL"/>
    <x v="22"/>
    <n v="23"/>
    <n v="30"/>
    <n v="6.2"/>
    <n v="10.199999999999999"/>
    <n v="7.1"/>
    <n v="8.4"/>
    <n v="116"/>
    <n v="158"/>
    <n v="1.1000000000000001"/>
    <n v="1.9"/>
    <n v="0.32"/>
    <n v="0.75"/>
    <n v="130"/>
    <n v="1700"/>
    <n v="490"/>
    <n v="4900"/>
    <m/>
    <m/>
  </r>
  <r>
    <n v="2415"/>
    <s v="RIVER BRAHMANI AT TALCHER FU/S (INTAKE WELL OF_x000a_MCL, TALCHER)"/>
    <x v="22"/>
    <n v="23"/>
    <n v="30"/>
    <n v="6.4"/>
    <n v="9.8000000000000007"/>
    <n v="7.1"/>
    <n v="8.3000000000000007"/>
    <n v="113"/>
    <n v="176"/>
    <n v="1.2"/>
    <n v="1.5"/>
    <n v="0.32"/>
    <n v="0.57999999999999996"/>
    <n v="45"/>
    <n v="790"/>
    <n v="330"/>
    <n v="2400"/>
    <m/>
    <m/>
  </r>
  <r>
    <n v="2416"/>
    <s v="RIVER BRAHMANI AT TALCHER FD/S"/>
    <x v="22"/>
    <n v="23"/>
    <n v="28"/>
    <n v="5.6"/>
    <n v="9.1999999999999993"/>
    <n v="6.9"/>
    <n v="8.1"/>
    <n v="126"/>
    <n v="233"/>
    <n v="1.3"/>
    <n v="1.7"/>
    <n v="0.32"/>
    <n v="0.59"/>
    <n v="78"/>
    <n v="330"/>
    <n v="290"/>
    <n v="1300"/>
    <m/>
    <m/>
  </r>
  <r>
    <n v="1042"/>
    <s v="RIVER BRAHMANI AT KAMALANGA (TALCHER D/S)"/>
    <x v="22"/>
    <n v="22"/>
    <n v="28"/>
    <n v="6.2"/>
    <n v="8.6"/>
    <n v="7.1"/>
    <n v="8.1"/>
    <n v="143"/>
    <n v="224"/>
    <n v="1.2"/>
    <n v="2.1"/>
    <n v="0.32"/>
    <n v="1.28"/>
    <n v="330"/>
    <n v="1700"/>
    <n v="940"/>
    <n v="3500"/>
    <m/>
    <m/>
  </r>
  <r>
    <n v="2417"/>
    <s v="RIVER BRAHAMNI AT DHENKANAL D/S, DHENKANAL_x000a_TOWN"/>
    <x v="22"/>
    <n v="23"/>
    <n v="29"/>
    <n v="6.8"/>
    <n v="9"/>
    <n v="6.9"/>
    <n v="7.5"/>
    <n v="134"/>
    <n v="227"/>
    <n v="1.4"/>
    <n v="1.8"/>
    <n v="0.32"/>
    <n v="1.62"/>
    <n v="330"/>
    <n v="2400"/>
    <n v="1700"/>
    <n v="4900"/>
    <m/>
    <m/>
  </r>
  <r>
    <n v="1303"/>
    <s v="RIVER BRAHMANI AT TALCHER U/S"/>
    <x v="22"/>
    <n v="22"/>
    <n v="28"/>
    <n v="6.8"/>
    <n v="9"/>
    <n v="7.1"/>
    <n v="8.1999999999999993"/>
    <n v="136"/>
    <n v="187"/>
    <n v="1.1000000000000001"/>
    <n v="2.4"/>
    <n v="0.32"/>
    <n v="0.67"/>
    <n v="130"/>
    <n v="1300"/>
    <n v="490"/>
    <n v="2800"/>
    <m/>
    <m/>
  </r>
  <r>
    <n v="1043"/>
    <s v="RIVER BRAHMANI AT BHUBAN"/>
    <x v="22"/>
    <n v="24"/>
    <n v="29"/>
    <n v="6"/>
    <n v="9"/>
    <n v="6.5"/>
    <n v="7.6"/>
    <n v="133"/>
    <n v="386"/>
    <n v="1.1000000000000001"/>
    <n v="1.6"/>
    <n v="0.32"/>
    <n v="2.82"/>
    <n v="78"/>
    <n v="2300"/>
    <n v="490"/>
    <n v="4600"/>
    <m/>
    <m/>
  </r>
  <r>
    <n v="2418"/>
    <s v="RIVER BRAHMANI AT KABATABANDHA (BEFORE IMPACT_x000a_OF INDUSTRIAL ACTIVITY IN KALINGANAGAR AREA)"/>
    <x v="22"/>
    <n v="21"/>
    <n v="23"/>
    <n v="6"/>
    <n v="8.9"/>
    <n v="6.6"/>
    <n v="8.1"/>
    <n v="110"/>
    <n v="325"/>
    <n v="1.1000000000000001"/>
    <n v="1.6"/>
    <n v="0.32"/>
    <n v="1.33"/>
    <n v="78"/>
    <n v="1700"/>
    <n v="330"/>
    <n v="3300"/>
    <m/>
    <m/>
  </r>
  <r>
    <n v="10019"/>
    <s v="RIVER BRAHMANI AT DHARAMSHALA U/S"/>
    <x v="22"/>
    <n v="21"/>
    <n v="24"/>
    <n v="6.2"/>
    <n v="8.6"/>
    <n v="6.9"/>
    <n v="8.1999999999999993"/>
    <n v="135"/>
    <n v="178"/>
    <n v="1.3"/>
    <n v="1.6"/>
    <n v="0.32"/>
    <n v="1.66"/>
    <n v="130"/>
    <n v="24000"/>
    <n v="790"/>
    <n v="54000"/>
    <m/>
    <m/>
  </r>
  <r>
    <n v="1044"/>
    <s v="RIVER BRAHMANI AT DHARMASHALA U/S"/>
    <x v="22"/>
    <n v="21"/>
    <n v="24"/>
    <n v="6.4"/>
    <n v="8.6999999999999993"/>
    <n v="6.5"/>
    <n v="8.4"/>
    <n v="131"/>
    <n v="186"/>
    <n v="1.1000000000000001"/>
    <n v="1.9"/>
    <n v="0.32"/>
    <n v="1.2"/>
    <n v="110"/>
    <n v="2200"/>
    <n v="490"/>
    <n v="9400"/>
    <m/>
    <m/>
  </r>
  <r>
    <n v="1045"/>
    <s v="RIVER BRAHMANI AT PATTAMUNDAI"/>
    <x v="22"/>
    <n v="24.1"/>
    <n v="33.5"/>
    <n v="5.8"/>
    <n v="8.6"/>
    <n v="7.3"/>
    <n v="8.1999999999999993"/>
    <n v="165"/>
    <n v="233"/>
    <n v="1.1000000000000001"/>
    <n v="1.4"/>
    <n v="0.32"/>
    <n v="0.88"/>
    <n v="330"/>
    <n v="1700"/>
    <n v="1300"/>
    <n v="4000"/>
    <m/>
    <m/>
  </r>
  <r>
    <n v="3916"/>
    <s v="RIVER BRAHMANI AT ROURKELA FD/S AT ATTAGHAT"/>
    <x v="22"/>
    <n v="23"/>
    <n v="32"/>
    <n v="3.2"/>
    <n v="9"/>
    <n v="6.5"/>
    <n v="8.5"/>
    <n v="140"/>
    <n v="345"/>
    <n v="1.8"/>
    <n v="4.8"/>
    <n v="0.52"/>
    <n v="7.32"/>
    <n v="78"/>
    <n v="2300"/>
    <n v="330"/>
    <n v="7900"/>
    <n v="2"/>
    <n v="23"/>
  </r>
  <r>
    <n v="3917"/>
    <s v="RIVER BRAHMANI AT MANDAPAL"/>
    <x v="22"/>
    <n v="23"/>
    <n v="29"/>
    <n v="6.4"/>
    <n v="8.6"/>
    <n v="6.5"/>
    <n v="7.6"/>
    <n v="124"/>
    <n v="187"/>
    <n v="1.1000000000000001"/>
    <n v="1.9"/>
    <n v="0.32"/>
    <n v="0.7"/>
    <n v="1700"/>
    <n v="17000"/>
    <n v="3500"/>
    <n v="35000"/>
    <n v="14"/>
    <n v="79"/>
  </r>
  <r>
    <n v="3918"/>
    <s v="RIVER BRAHMANI AT DHENKANAL U/S"/>
    <x v="22"/>
    <n v="24"/>
    <n v="29"/>
    <n v="6.4"/>
    <n v="9.4"/>
    <n v="6.8"/>
    <n v="7.5"/>
    <n v="126"/>
    <n v="220"/>
    <n v="1.1000000000000001"/>
    <n v="1.6"/>
    <n v="0.32"/>
    <n v="0.88"/>
    <n v="110"/>
    <n v="1400"/>
    <n v="490"/>
    <n v="3500"/>
    <m/>
    <m/>
  </r>
  <r>
    <n v="2419"/>
    <s v="RIVER KHARASROTA AT KHANDITARA (D/S OF_x000a_INDUSTRIAL ACTIVITIES AT KALINGA NAGAR)"/>
    <x v="22"/>
    <n v="20"/>
    <n v="23"/>
    <n v="6.2"/>
    <n v="8.6"/>
    <n v="6.9"/>
    <n v="8.1999999999999993"/>
    <n v="125"/>
    <n v="162"/>
    <n v="1.1000000000000001"/>
    <n v="1.6"/>
    <n v="0.32"/>
    <n v="1.2"/>
    <n v="45"/>
    <n v="2300"/>
    <n v="330"/>
    <n v="4900"/>
    <m/>
    <m/>
  </r>
  <r>
    <n v="2420"/>
    <s v="RIVER KHARASROTA AT AUL"/>
    <x v="22"/>
    <n v="23.6"/>
    <n v="33.1"/>
    <n v="5.5"/>
    <n v="8.6"/>
    <n v="7.3"/>
    <n v="8.4"/>
    <n v="140"/>
    <n v="371"/>
    <n v="1.1000000000000001"/>
    <n v="1.5"/>
    <n v="0.32"/>
    <n v="0.6"/>
    <n v="220"/>
    <n v="2300"/>
    <n v="700"/>
    <n v="4900"/>
    <m/>
    <m/>
  </r>
  <r>
    <n v="3922"/>
    <s v="RIVER KHARASROTA AT BINJHARPUR"/>
    <x v="22"/>
    <n v="21"/>
    <n v="23"/>
    <n v="6.3"/>
    <n v="8.9"/>
    <n v="6.8"/>
    <n v="8.5"/>
    <n v="108"/>
    <n v="236"/>
    <n v="1.1000000000000001"/>
    <n v="1.9"/>
    <n v="0.32"/>
    <n v="4.34"/>
    <n v="110"/>
    <n v="2300"/>
    <n v="790"/>
    <n v="5600"/>
    <m/>
    <m/>
  </r>
  <r>
    <n v="3921"/>
    <s v="RIVER KISINDAJHOR AT KHARAGPRASAD"/>
    <x v="22"/>
    <n v="23"/>
    <n v="28"/>
    <n v="3.8"/>
    <n v="7.8"/>
    <n v="6.9"/>
    <n v="7.9"/>
    <n v="302"/>
    <n v="710"/>
    <n v="1.1000000000000001"/>
    <n v="1.9"/>
    <n v="0.32"/>
    <n v="3.13"/>
    <n v="230"/>
    <n v="2300"/>
    <n v="790"/>
    <n v="4900"/>
    <m/>
    <m/>
  </r>
  <r>
    <n v="3931"/>
    <s v="RIVER BANGURUSINGADA JHOR"/>
    <x v="22"/>
    <n v="22"/>
    <n v="29"/>
    <n v="4.5999999999999996"/>
    <n v="9.6"/>
    <n v="7.5"/>
    <n v="7.9"/>
    <n v="260"/>
    <n v="455"/>
    <n v="1.1000000000000001"/>
    <n v="1.8"/>
    <n v="0.32"/>
    <n v="1"/>
    <n v="110"/>
    <n v="1700"/>
    <n v="490"/>
    <n v="4900"/>
    <n v="17"/>
    <n v="17"/>
  </r>
  <r>
    <n v="2412"/>
    <s v="RIVER SANKHA U/S ( D/S OF MANDIRA DAM)"/>
    <x v="22"/>
    <n v="23"/>
    <n v="30"/>
    <n v="5.4"/>
    <n v="8.4"/>
    <n v="6.7"/>
    <n v="7.9"/>
    <n v="100"/>
    <n v="198"/>
    <n v="1.1000000000000001"/>
    <n v="1.5"/>
    <n v="0.32"/>
    <n v="0.56999999999999995"/>
    <n v="78"/>
    <n v="1300"/>
    <n v="490"/>
    <n v="4900"/>
    <m/>
    <m/>
  </r>
  <r>
    <n v="3915"/>
    <s v="RIVER KARO AT BADBIL"/>
    <x v="22"/>
    <n v="20"/>
    <n v="31"/>
    <n v="6.2"/>
    <n v="8.1"/>
    <n v="6.7"/>
    <n v="8.1999999999999993"/>
    <n v="115"/>
    <n v="178"/>
    <n v="1.1000000000000001"/>
    <n v="1.6"/>
    <n v="0.32"/>
    <n v="0.81"/>
    <n v="78"/>
    <n v="1300"/>
    <n v="330"/>
    <n v="3900"/>
    <m/>
    <m/>
  </r>
  <r>
    <n v="3924"/>
    <s v="RIVER BADAJHOR (AT DHENKANAL)"/>
    <x v="22"/>
    <n v="22"/>
    <n v="28"/>
    <n v="6"/>
    <n v="10.4"/>
    <n v="7.1"/>
    <n v="8.1"/>
    <n v="185"/>
    <n v="386"/>
    <n v="1.1000000000000001"/>
    <n v="1.9"/>
    <n v="0.32"/>
    <n v="0.97"/>
    <n v="230"/>
    <n v="4900"/>
    <n v="1300"/>
    <n v="24000"/>
    <m/>
    <m/>
  </r>
  <r>
    <n v="3933"/>
    <s v="RIVER DAMASALA AT DAYANABIL"/>
    <x v="22"/>
    <n v="21"/>
    <n v="23"/>
    <n v="6"/>
    <n v="8.4"/>
    <n v="6.8"/>
    <n v="8"/>
    <n v="83"/>
    <n v="205"/>
    <n v="1.1000000000000001"/>
    <n v="2"/>
    <n v="0.32"/>
    <n v="1.05"/>
    <n v="130"/>
    <n v="2200"/>
    <n v="330"/>
    <n v="3500"/>
    <m/>
    <m/>
  </r>
  <r>
    <n v="3927"/>
    <s v="RIVER TIKIRA AT KANIHA U/S"/>
    <x v="22"/>
    <n v="22"/>
    <n v="29"/>
    <n v="6.2"/>
    <n v="9"/>
    <n v="7.5"/>
    <n v="8.1999999999999993"/>
    <n v="163"/>
    <n v="366"/>
    <n v="1.1000000000000001"/>
    <n v="1.4"/>
    <n v="0.32"/>
    <n v="92.02"/>
    <n v="78"/>
    <n v="2100"/>
    <n v="330"/>
    <n v="4000"/>
    <m/>
    <m/>
  </r>
  <r>
    <n v="3928"/>
    <s v="RIVER TIKIRA AT KANIHA D/S"/>
    <x v="22"/>
    <n v="23"/>
    <n v="29"/>
    <n v="6.8"/>
    <n v="10.8"/>
    <n v="7.5"/>
    <n v="8.4"/>
    <n v="174"/>
    <n v="416"/>
    <n v="1.4"/>
    <n v="2"/>
    <n v="0.32"/>
    <n v="1.18"/>
    <n v="170"/>
    <n v="2200"/>
    <n v="490"/>
    <n v="4900"/>
    <m/>
    <m/>
  </r>
  <r>
    <n v="3932"/>
    <s v="RIVER RAMIALA NEAR KAMAKHYANAGAR"/>
    <x v="22"/>
    <n v="24"/>
    <n v="29"/>
    <n v="5.2"/>
    <n v="8.6"/>
    <n v="7.2"/>
    <n v="8.1"/>
    <n v="101"/>
    <n v="272"/>
    <n v="1.1000000000000001"/>
    <n v="1.9"/>
    <n v="0.32"/>
    <n v="0.65"/>
    <n v="130"/>
    <n v="790"/>
    <n v="490"/>
    <n v="2800"/>
    <m/>
    <m/>
  </r>
  <r>
    <n v="1036"/>
    <s v="RIVER KOEL AT MANOHARPUR AFTER MEETING KOINA_x000a_RIVER D/S, JHARKAND"/>
    <x v="6"/>
    <n v="19.2"/>
    <n v="36"/>
    <n v="6.7"/>
    <n v="8.6999999999999993"/>
    <n v="6.8"/>
    <n v="8.3000000000000007"/>
    <n v="198"/>
    <n v="424"/>
    <n v="1.2"/>
    <n v="3.2"/>
    <n v="0"/>
    <n v="0"/>
    <m/>
    <m/>
    <m/>
    <m/>
    <m/>
    <m/>
  </r>
  <r>
    <n v="2413"/>
    <s v="RIVER KOEL U/S (AFTER CONFLUENCE OF KARO)"/>
    <x v="22"/>
    <n v="22"/>
    <n v="32"/>
    <n v="5"/>
    <n v="8.3000000000000007"/>
    <n v="6.8"/>
    <n v="8.5"/>
    <n v="123"/>
    <n v="220"/>
    <n v="1.1000000000000001"/>
    <n v="1.8"/>
    <n v="0.32"/>
    <n v="1.31"/>
    <n v="330"/>
    <n v="2300"/>
    <n v="1700"/>
    <n v="4900"/>
    <m/>
    <m/>
  </r>
  <r>
    <n v="3919"/>
    <s v="RIVER NANDIRA U/S AT KUKUDANGA"/>
    <x v="22"/>
    <n v="21"/>
    <n v="27"/>
    <n v="4.8"/>
    <n v="12.4"/>
    <n v="6.8"/>
    <n v="8.4"/>
    <n v="325"/>
    <n v="595"/>
    <n v="1.1000000000000001"/>
    <n v="1.6"/>
    <n v="0.47"/>
    <n v="3.86"/>
    <n v="78"/>
    <n v="2300"/>
    <n v="330"/>
    <n v="4900"/>
    <m/>
    <m/>
  </r>
  <r>
    <n v="3920"/>
    <s v="RIVER NANDIRA D/S AT DASNALI"/>
    <x v="22"/>
    <n v="22"/>
    <n v="28"/>
    <n v="6.2"/>
    <n v="12.6"/>
    <n v="6.9"/>
    <n v="8.3000000000000007"/>
    <n v="410"/>
    <n v="721"/>
    <n v="1.3"/>
    <n v="2"/>
    <n v="0.32"/>
    <n v="2.34"/>
    <n v="130"/>
    <n v="2100"/>
    <n v="490"/>
    <n v="4900"/>
    <n v="2"/>
    <n v="17"/>
  </r>
  <r>
    <n v="3925"/>
    <s v="RIVER LINGIRA U/S OF ANGUL"/>
    <x v="22"/>
    <n v="23"/>
    <n v="28"/>
    <n v="6.2"/>
    <n v="12"/>
    <n v="7.4"/>
    <n v="8.4"/>
    <n v="290"/>
    <n v="523"/>
    <n v="1.1000000000000001"/>
    <n v="1.6"/>
    <n v="0.32"/>
    <n v="1.78"/>
    <n v="130"/>
    <n v="790"/>
    <n v="460"/>
    <n v="3500"/>
    <m/>
    <m/>
  </r>
  <r>
    <n v="3926"/>
    <s v="RIVER LINGIRA D/S OF ANGUL"/>
    <x v="22"/>
    <n v="23"/>
    <n v="28"/>
    <n v="4.8"/>
    <n v="10.8"/>
    <n v="7.5"/>
    <n v="8.3000000000000007"/>
    <n v="312"/>
    <n v="530"/>
    <n v="1.4"/>
    <n v="1.8"/>
    <n v="0.32"/>
    <n v="92.02"/>
    <n v="130"/>
    <n v="1300"/>
    <n v="700"/>
    <n v="4900"/>
    <m/>
    <m/>
  </r>
  <r>
    <n v="3929"/>
    <s v="RIVER SINGDA JHOR (TALCHER KANIHA ROAD BRIDGE,_x000a_BALANGI)"/>
    <x v="22"/>
    <n v="23"/>
    <n v="30"/>
    <n v="6.6"/>
    <n v="10"/>
    <n v="7.3"/>
    <n v="8.1999999999999993"/>
    <n v="280"/>
    <n v="520"/>
    <n v="1.1000000000000001"/>
    <n v="1.6"/>
    <n v="0.32"/>
    <n v="3.74"/>
    <n v="170"/>
    <n v="2300"/>
    <n v="700"/>
    <n v="4900"/>
    <m/>
    <m/>
  </r>
  <r>
    <n v="3930"/>
    <s v="BANGURU NALLAH (OVER BRIDGE TALCHER RENGALI_x000a_DAM ROAD, SARKISOREPAL)"/>
    <x v="22"/>
    <n v="21"/>
    <n v="28"/>
    <n v="5.8"/>
    <n v="9"/>
    <n v="7.2"/>
    <n v="7.9"/>
    <n v="471"/>
    <n v="1052"/>
    <n v="1.1000000000000001"/>
    <n v="2.5"/>
    <n v="0.32"/>
    <n v="2.98"/>
    <n v="130"/>
    <n v="1100"/>
    <n v="330"/>
    <n v="3500"/>
    <n v="2"/>
    <n v="34"/>
  </r>
  <r>
    <n v="1095"/>
    <s v="RIVER GODAVARI AT U/S OF GANGAPUR DAM, VILLAGE-GANGAPUR,TALUKA- NASHIK, DISTRICT- NASHIK."/>
    <x v="21"/>
    <n v="20"/>
    <n v="29"/>
    <n v="5.9"/>
    <n v="7.3"/>
    <n v="7.1"/>
    <n v="8"/>
    <n v="157"/>
    <n v="302"/>
    <n v="2.8"/>
    <n v="3.2"/>
    <n v="0.3"/>
    <n v="2.4"/>
    <n v="4"/>
    <n v="46"/>
    <n v="38"/>
    <n v="68"/>
    <n v="2"/>
    <n v="2"/>
  </r>
  <r>
    <n v="2177"/>
    <s v="RIVER GODAVARI NEAR SOMESHWAR TEMPLE,_x000a_VILLAGE- SOMESHWAR, TALUKA- NASHIK, DISTRICT-NASHIK."/>
    <x v="21"/>
    <n v="20"/>
    <n v="28"/>
    <n v="5.5"/>
    <n v="6.5"/>
    <n v="7.2"/>
    <n v="7.9"/>
    <n v="280"/>
    <n v="856"/>
    <n v="2.8"/>
    <n v="3.6"/>
    <n v="0.75"/>
    <n v="3.67"/>
    <n v="4"/>
    <n v="63"/>
    <n v="35"/>
    <n v="68"/>
    <n v="2"/>
    <n v="4"/>
  </r>
  <r>
    <n v="2179"/>
    <s v="RIVER GODAVARI AT HANUMAN GHAT, VILLAGE-NASHIK CITY, TALUKA- NASHIK, DISTRICT- NASHIK."/>
    <x v="21"/>
    <n v="20"/>
    <n v="28"/>
    <n v="4.8"/>
    <n v="7.2"/>
    <n v="7.2"/>
    <n v="7.9"/>
    <n v="308"/>
    <n v="3317"/>
    <n v="3"/>
    <n v="4.2"/>
    <n v="0.61"/>
    <n v="3.19"/>
    <n v="4"/>
    <n v="48"/>
    <n v="40"/>
    <n v="58"/>
    <n v="2"/>
    <n v="2"/>
  </r>
  <r>
    <n v="1096"/>
    <s v="RIVER GODAVARI AT RAMKUND, VILLAGE-PANCHAVATI, TALUKA- NASHIK, DISTRICT- NASHIK."/>
    <x v="21"/>
    <n v="20"/>
    <n v="29"/>
    <n v="3.5"/>
    <n v="6.9"/>
    <n v="7.3"/>
    <n v="8.1"/>
    <n v="272"/>
    <n v="578"/>
    <n v="3.4"/>
    <n v="4.2"/>
    <n v="0.3"/>
    <n v="3.03"/>
    <n v="4"/>
    <n v="63"/>
    <n v="48"/>
    <n v="110"/>
    <n v="2"/>
    <n v="2"/>
  </r>
  <r>
    <n v="1211"/>
    <s v="RIVER GODAVARI AT D/S OF NASHIK NEAR AMARDHAM,_x000a_VILLAGE- GADGEBABAMAHARAJ NAGAR, TALUKA -NASHIK, DISTRICT- NASHIK."/>
    <x v="21"/>
    <n v="20"/>
    <n v="28"/>
    <n v="3.8"/>
    <n v="6.8"/>
    <n v="6.8"/>
    <n v="8"/>
    <n v="272"/>
    <n v="588"/>
    <n v="3"/>
    <n v="4.2"/>
    <n v="0.59"/>
    <n v="4.0999999999999996"/>
    <n v="4"/>
    <n v="47"/>
    <n v="46"/>
    <n v="115"/>
    <n v="2"/>
    <n v="2"/>
  </r>
  <r>
    <n v="2180"/>
    <s v="RIVER GODAVARI AT TAPOVAN,VILLAGE- TAPOVAN,_x000a_TALUKA- NASHIK, DISTRICT- NASHIK."/>
    <x v="21"/>
    <n v="20"/>
    <n v="28"/>
    <n v="2.2999999999999998"/>
    <n v="6.4"/>
    <n v="7.3"/>
    <n v="7.9"/>
    <n v="239"/>
    <n v="545"/>
    <n v="3"/>
    <n v="8"/>
    <n v="0.61"/>
    <n v="4.0999999999999996"/>
    <n v="4"/>
    <n v="63"/>
    <n v="48"/>
    <n v="68"/>
    <n v="2"/>
    <n v="2"/>
  </r>
  <r>
    <n v="2181"/>
    <s v="RIVER GODAVARI AT KAPILA- GODAVARI CONFLUENCE_x000a_POINT, VILLAGE- TAPOVAN, TALUKA- NASHIK, DISTRICT-NASHIK."/>
    <x v="21"/>
    <n v="20"/>
    <n v="28"/>
    <n v="5.4"/>
    <n v="7.1"/>
    <n v="7.2"/>
    <n v="7.9"/>
    <n v="243"/>
    <n v="3288"/>
    <n v="3"/>
    <n v="3.8"/>
    <n v="0.57999999999999996"/>
    <n v="4.3600000000000003"/>
    <n v="4"/>
    <n v="43"/>
    <n v="43"/>
    <n v="55"/>
    <n v="2"/>
    <n v="4"/>
  </r>
  <r>
    <n v="2182"/>
    <s v="RIVER GODAVARI AT SAIKHEDA VILLAGE, VILLAGE-SAIKHEDA, TALUKA- NIPHAD, DISTRICT- NASHIK."/>
    <x v="21"/>
    <n v="20"/>
    <n v="28"/>
    <n v="5.5"/>
    <n v="6.4"/>
    <n v="7.2"/>
    <n v="8"/>
    <n v="238"/>
    <n v="761"/>
    <n v="2.8"/>
    <n v="3.8"/>
    <n v="0.63"/>
    <n v="5.4"/>
    <n v="4"/>
    <n v="48"/>
    <n v="40"/>
    <n v="58"/>
    <n v="2"/>
    <n v="2"/>
  </r>
  <r>
    <n v="2183"/>
    <s v="RIVER GODAVARI AT NANDUR-MADHMESHWAR DAM,_x000a_VILLAGE- NANDUR, TALUKA- NIPHAD, DISTRICT- NASHIK."/>
    <x v="21"/>
    <n v="20"/>
    <n v="28"/>
    <n v="5.4"/>
    <n v="6.8"/>
    <n v="7.1"/>
    <n v="8"/>
    <n v="217"/>
    <n v="812"/>
    <n v="3"/>
    <n v="3.8"/>
    <n v="0.5"/>
    <n v="3.53"/>
    <n v="4"/>
    <n v="58"/>
    <n v="40"/>
    <n v="58"/>
    <n v="2"/>
    <n v="2"/>
  </r>
  <r>
    <n v="2160"/>
    <s v="RIVER GODAVARI AT U/S OF AURANGABAD_x000a_RESERVOIR,KAIGAON TOKKA NEAR KAIGAON_x000a_BRIDGE,VILLAGE- KAIGAON,TALUKA- GANGAPUR,_x000a_DISTRICT- AURANGABAD."/>
    <x v="21"/>
    <n v="22"/>
    <n v="36"/>
    <n v="4.4000000000000004"/>
    <n v="7.3"/>
    <n v="7.9"/>
    <n v="9"/>
    <n v="630"/>
    <n v="2614"/>
    <n v="3"/>
    <n v="8"/>
    <n v="0.3"/>
    <n v="7.5"/>
    <n v="2"/>
    <n v="35"/>
    <n v="2"/>
    <n v="240"/>
    <n v="2"/>
    <n v="2"/>
  </r>
  <r>
    <n v="2158"/>
    <s v="RIVER GODAVARI AT U/S OF PAITHAN AT PAITHAN_x000a_INTAKE PUMP HOUSE, VILLAGE- JAYAKWADI, TALUKA-PAITHAN, DISTRICT- AURANGABAD."/>
    <x v="21"/>
    <n v="22"/>
    <n v="36"/>
    <n v="6"/>
    <n v="7.3"/>
    <n v="8.5"/>
    <n v="9"/>
    <n v="612"/>
    <n v="1273"/>
    <n v="2.4"/>
    <n v="7.5"/>
    <n v="0.3"/>
    <n v="1.45"/>
    <n v="2"/>
    <n v="17"/>
    <n v="2"/>
    <n v="47"/>
    <n v="2"/>
    <n v="2"/>
  </r>
  <r>
    <n v="1312"/>
    <s v="RIVER GODAVARI AT JAIKWADI DAM, VILLAGE-PAITHAN, TALUKA- PAITHAN, DISTRICT-AURANGABAD."/>
    <x v="21"/>
    <n v="22"/>
    <n v="36"/>
    <n v="5.8"/>
    <n v="7.2"/>
    <n v="8.1999999999999993"/>
    <n v="8.9"/>
    <n v="630"/>
    <n v="1250"/>
    <n v="2.4"/>
    <n v="6"/>
    <n v="0.3"/>
    <n v="1.36"/>
    <n v="2"/>
    <n v="9"/>
    <n v="2"/>
    <n v="47"/>
    <n v="2"/>
    <n v="2"/>
  </r>
  <r>
    <n v="2159"/>
    <s v="RIVER GODAVARI AT D/S OF PAITHAN AT PATHEGAON_x000a_BRIDGE, VILLAGE- PATHEGAON, TALUKA- PAITHAN,_x000a_DISTRICT- AURANGABAD."/>
    <x v="21"/>
    <n v="22"/>
    <n v="36"/>
    <n v="6"/>
    <n v="7.3"/>
    <n v="8.5"/>
    <n v="9"/>
    <n v="652"/>
    <n v="1232"/>
    <n v="2.6"/>
    <n v="8.5"/>
    <n v="0.3"/>
    <n v="2.4700000000000002"/>
    <n v="2"/>
    <n v="14"/>
    <n v="2"/>
    <n v="140"/>
    <n v="2"/>
    <n v="2"/>
  </r>
  <r>
    <n v="2161"/>
    <s v="RIVER GODAVARI AT JALNA INTAKE WATER PUMP_x000a_HOUSE, VILLAGE- SHAHABAD, TALUKA- AMBAD,_x000a_DISTRICT- JALNA."/>
    <x v="21"/>
    <n v="23"/>
    <n v="30"/>
    <n v="3"/>
    <n v="7.1"/>
    <n v="8"/>
    <n v="8.6999999999999993"/>
    <n v="456"/>
    <n v="9153"/>
    <n v="3"/>
    <n v="12"/>
    <n v="0.45"/>
    <n v="7.12"/>
    <n v="2"/>
    <n v="25"/>
    <n v="2"/>
    <n v="170"/>
    <n v="2"/>
    <n v="2"/>
  </r>
  <r>
    <n v="2157"/>
    <s v="RIVER GODAVARI AT LATUR WATER INTAKE NEAR PUMP_x000a_HOUSE. VILLAGE. DHAMEGAON, TALUKA. KALUMB,_x000a_DISTRICT. OSMANABAD."/>
    <x v="21"/>
    <n v="19"/>
    <n v="23"/>
    <n v="4.0999999999999996"/>
    <n v="7.2"/>
    <n v="7.9"/>
    <n v="8"/>
    <n v="419"/>
    <n v="546"/>
    <n v="3"/>
    <n v="6"/>
    <n v="0.35"/>
    <n v="3.17"/>
    <n v="2"/>
    <n v="2"/>
    <n v="2"/>
    <n v="2"/>
    <n v="2"/>
    <n v="2"/>
  </r>
  <r>
    <n v="12"/>
    <s v="RIVER GODAVARI AT DHALEGAON, VILLAGE-DHALEGAON, TALUKA- PATHARI, DISTRICT- PARBHANI."/>
    <x v="21"/>
    <n v="18"/>
    <n v="24"/>
    <n v="2.9"/>
    <n v="7.4"/>
    <n v="7.4"/>
    <n v="8.8000000000000007"/>
    <n v="361"/>
    <n v="4548"/>
    <n v="2.4"/>
    <n v="11"/>
    <n v="0.41"/>
    <n v="3.48"/>
    <n v="2"/>
    <n v="26"/>
    <n v="2"/>
    <n v="280"/>
    <n v="2"/>
    <n v="2"/>
  </r>
  <r>
    <n v="1209"/>
    <s v="RIVER GODAVARI AT RAHER, VILLAGE.RAHER, TALUKA._x000a_NAYAGAON, DISTRICT. NANDED."/>
    <x v="21"/>
    <n v="18"/>
    <n v="34"/>
    <n v="5.5"/>
    <n v="7.2"/>
    <n v="8.1"/>
    <n v="8.6999999999999993"/>
    <n v="376"/>
    <n v="7952"/>
    <n v="2.6"/>
    <n v="6.5"/>
    <n v="0.31"/>
    <n v="4.32"/>
    <n v="2"/>
    <n v="33"/>
    <n v="2"/>
    <n v="170"/>
    <n v="2"/>
    <n v="2"/>
  </r>
  <r>
    <n v="1210"/>
    <s v="RIVER GODAVARI NEAR INTAKE WATER PUMP HOUSE,_x000a_VILLAGE- VISHNUPURI, TALUKA- NANDED, DISTRICT-NANDED."/>
    <x v="21"/>
    <n v="19"/>
    <n v="35"/>
    <n v="6.4"/>
    <n v="7.2"/>
    <n v="8.1"/>
    <n v="8.6999999999999993"/>
    <n v="375"/>
    <n v="7229"/>
    <n v="2.8"/>
    <n v="5"/>
    <n v="0.3"/>
    <n v="16.100000000000001"/>
    <n v="2"/>
    <n v="22"/>
    <n v="2"/>
    <n v="170"/>
    <n v="2"/>
    <n v="2"/>
  </r>
  <r>
    <n v="30049"/>
    <s v="RIVER GODAVARI AT BELUR,DHARMADABAD, NANDED_x000a_(MAHARSHTRA)"/>
    <x v="21"/>
    <n v="21"/>
    <n v="21"/>
    <n v="5.3"/>
    <n v="5.3"/>
    <n v="8.3000000000000007"/>
    <n v="8.3000000000000007"/>
    <n v="530"/>
    <n v="530"/>
    <n v="4.8"/>
    <n v="4.8"/>
    <n v="1.17"/>
    <n v="1.17"/>
    <n v="25"/>
    <n v="25"/>
    <n v="275"/>
    <n v="275"/>
    <n v="7"/>
    <n v="7"/>
  </r>
  <r>
    <n v="2360"/>
    <s v="RIVER GODAVARI AT BASARA (V &amp; M), NIRMAL (D)"/>
    <x v="24"/>
    <n v="22"/>
    <n v="24"/>
    <n v="6.5"/>
    <n v="7.9"/>
    <n v="7.1"/>
    <n v="8.3000000000000007"/>
    <n v="574"/>
    <n v="1054"/>
    <n v="2"/>
    <n v="4.2"/>
    <n v="12.07"/>
    <n v="28.06"/>
    <n v="5"/>
    <n v="6"/>
    <n v="18"/>
    <n v="23"/>
    <n v="4"/>
    <n v="5"/>
  </r>
  <r>
    <n v="4227"/>
    <s v="RIVER GODAVARI- POCHERA WATER FALLS, POCHERA_x000a_(V), BOATH (M), ADILABAD (D)"/>
    <x v="24"/>
    <n v="20"/>
    <n v="27"/>
    <n v="6.2"/>
    <n v="7.8"/>
    <n v="7.1"/>
    <n v="8.4"/>
    <n v="406"/>
    <n v="913"/>
    <n v="2.8"/>
    <n v="4.2"/>
    <n v="10.06"/>
    <n v="26.08"/>
    <n v="6"/>
    <n v="6"/>
    <n v="17"/>
    <n v="25"/>
    <n v="2"/>
    <n v="6"/>
  </r>
  <r>
    <n v="5105"/>
    <s v="RIVER GODAVARI PUSHKAR GHAT , MANCHERIAL (V&amp;M),_x000a_MANCHERIAL (D)"/>
    <x v="24"/>
    <n v="22"/>
    <n v="25"/>
    <n v="6.1"/>
    <n v="7.5"/>
    <n v="7.2"/>
    <n v="8.3000000000000007"/>
    <n v="610"/>
    <n v="1225"/>
    <n v="2.6"/>
    <n v="4.2"/>
    <n v="11.07"/>
    <n v="36.15"/>
    <n v="6"/>
    <n v="6"/>
    <n v="20"/>
    <n v="27"/>
    <n v="3"/>
    <n v="4"/>
  </r>
  <r>
    <n v="13"/>
    <s v="RIVER GODAVARI AT MANCHERIAL (V&amp;M),_x000a_MANCHERIAL(D)"/>
    <x v="24"/>
    <n v="25"/>
    <n v="27"/>
    <n v="0.3"/>
    <n v="6.2"/>
    <n v="7.4"/>
    <n v="8.1999999999999993"/>
    <n v="360"/>
    <n v="1309"/>
    <n v="1"/>
    <n v="8"/>
    <n v="0.72"/>
    <n v="4.4000000000000004"/>
    <n v="2"/>
    <n v="17"/>
    <n v="14"/>
    <n v="540"/>
    <n v="2"/>
    <n v="4"/>
  </r>
  <r>
    <n v="2361"/>
    <s v="RIVER GODAVARI-RIVER GODAVARI AT MANCHERIAL,_x000a_NEAR RAIL WAY BRIDGE B/C OF RALLAVAGU,_x000a_MANCHERIAL (D)"/>
    <x v="24"/>
    <n v="24"/>
    <n v="26"/>
    <n v="5.4"/>
    <n v="6.2"/>
    <n v="7.2"/>
    <n v="8.1999999999999993"/>
    <n v="364"/>
    <n v="1398"/>
    <n v="1"/>
    <n v="2.4"/>
    <n v="0.62"/>
    <n v="2.6"/>
    <n v="2"/>
    <n v="2"/>
    <n v="24"/>
    <n v="43"/>
    <n v="2"/>
    <n v="2"/>
  </r>
  <r>
    <n v="2362"/>
    <s v="RIVER GODAVARI-D/S AT RAMAGUNDAM NEAR FCI_x000a_INTAKE WELL, PEDDAPALLI"/>
    <x v="24"/>
    <n v="24"/>
    <n v="28"/>
    <n v="5.2"/>
    <n v="6.1"/>
    <n v="7.3"/>
    <n v="8.4"/>
    <n v="365"/>
    <n v="597"/>
    <n v="1"/>
    <n v="3.4"/>
    <n v="0.62"/>
    <n v="2.6"/>
    <n v="2"/>
    <n v="2"/>
    <n v="14"/>
    <n v="48"/>
    <n v="2"/>
    <n v="2"/>
  </r>
  <r>
    <n v="2363"/>
    <s v="RIVER GODAVARI AT GODAVARIKHANI NEAR BATHING_x000a_GHAT , PEDDAPALLI"/>
    <x v="24"/>
    <n v="25"/>
    <n v="26"/>
    <n v="4.8"/>
    <n v="6.1"/>
    <n v="7"/>
    <n v="8.1999999999999993"/>
    <n v="401"/>
    <n v="595"/>
    <n v="1.4"/>
    <n v="4"/>
    <n v="0.78"/>
    <n v="2.2000000000000002"/>
    <n v="2"/>
    <n v="2"/>
    <n v="21"/>
    <n v="40"/>
    <n v="2"/>
    <n v="2"/>
  </r>
  <r>
    <n v="2364"/>
    <s v="RIVER GODAVARI AT RAMAGUNDAM UPSTREAM NEAR_x000a_DAM, PEDDAPALLI"/>
    <x v="24"/>
    <n v="24.5"/>
    <n v="27"/>
    <n v="5"/>
    <n v="6.2"/>
    <n v="7.2"/>
    <n v="8.1999999999999993"/>
    <n v="380"/>
    <n v="744"/>
    <n v="1"/>
    <n v="4"/>
    <n v="0.42"/>
    <n v="2.4"/>
    <n v="2"/>
    <n v="2"/>
    <n v="24"/>
    <n v="58"/>
    <n v="2"/>
    <n v="2"/>
  </r>
  <r>
    <n v="5497"/>
    <s v="RIVER GODAVARI D/S AFTER CONFLUENCE OF_x000a_RAMAGUNDAM FERTILIZE AND CHEMICALS LTD_x000a_(RFCL),DISCHARGE INTO RIVER"/>
    <x v="24"/>
    <n v="25.8"/>
    <n v="28"/>
    <n v="2.8"/>
    <n v="6.2"/>
    <n v="6.7"/>
    <n v="7.8"/>
    <n v="424"/>
    <n v="1040"/>
    <n v="1"/>
    <n v="2.6"/>
    <n v="0.8"/>
    <n v="3.8"/>
    <n v="2"/>
    <n v="2"/>
    <n v="17"/>
    <n v="120"/>
    <n v="2"/>
    <n v="2"/>
  </r>
  <r>
    <n v="2356"/>
    <s v="RIVER GODAVARI D/S OF RAMAGUNDAM AT MANTHANI,_x000a_PEDDAPALLI"/>
    <x v="24"/>
    <n v="25"/>
    <n v="27"/>
    <n v="5"/>
    <n v="6.2"/>
    <n v="7.3"/>
    <n v="8.1"/>
    <n v="412"/>
    <n v="744"/>
    <n v="1"/>
    <n v="2.4"/>
    <n v="0.82"/>
    <n v="2.4"/>
    <n v="2"/>
    <n v="2"/>
    <n v="21"/>
    <n v="94"/>
    <n v="2"/>
    <n v="2"/>
  </r>
  <r>
    <n v="4662"/>
    <s v="RIVER GODAVARI AT KALESHWARAM, 500 MTS. BEFORE_x000a_BATHING GHAT, KALESHWARAM (V), MAHADEVPUR_x000a_(M),JAYASHANKAR BHUPALAPALLY"/>
    <x v="24"/>
    <n v="24"/>
    <n v="28"/>
    <n v="5.6"/>
    <n v="6.3"/>
    <n v="7"/>
    <n v="8.4"/>
    <n v="322"/>
    <n v="1128"/>
    <n v="1"/>
    <n v="4"/>
    <n v="0.3"/>
    <n v="4.5999999999999996"/>
    <n v="2"/>
    <n v="2"/>
    <n v="21"/>
    <n v="34"/>
    <n v="2"/>
    <n v="2"/>
  </r>
  <r>
    <n v="2365"/>
    <s v="RIVER GODAVARI - U/S AT KAMALAPUR ,AT M/S.AP_x000a_RAYONS LTD., INTAKE WELL , KAMALAPUR (V),_x000a_MANGAPET (M), MULUGU (D)"/>
    <x v="24"/>
    <n v="25"/>
    <n v="30"/>
    <n v="5.4"/>
    <n v="6.2"/>
    <n v="7.1"/>
    <n v="8.4"/>
    <n v="251"/>
    <n v="588"/>
    <n v="1"/>
    <n v="2"/>
    <n v="0.3"/>
    <n v="2.6"/>
    <n v="2"/>
    <n v="2"/>
    <n v="17"/>
    <n v="40"/>
    <n v="2"/>
    <n v="2"/>
  </r>
  <r>
    <n v="2366"/>
    <s v="RIVER GODAVARI - D/S AT KAMALAPUR ,AT M/S.AP_x000a_RAYONS LTD., DISCHARGE POINT , MANGAPET (V&amp;M),_x000a_MULUGU (D)"/>
    <x v="24"/>
    <n v="26"/>
    <n v="30"/>
    <n v="5.4"/>
    <n v="6.2"/>
    <n v="7"/>
    <n v="8.4"/>
    <n v="225"/>
    <n v="517"/>
    <n v="1"/>
    <n v="2.2000000000000002"/>
    <n v="0.3"/>
    <n v="3.2"/>
    <n v="2"/>
    <n v="2"/>
    <n v="20"/>
    <n v="58"/>
    <n v="2"/>
    <n v="2"/>
  </r>
  <r>
    <n v="2367"/>
    <s v="RIVER GODAVARI - U/S AT BHADRACHALAM BATHING_x000a_GHAT, BHADRADRI KOTHAGUDEM"/>
    <x v="24"/>
    <n v="25"/>
    <n v="31.1"/>
    <n v="5"/>
    <n v="6.2"/>
    <n v="7.3"/>
    <n v="8.4"/>
    <n v="254"/>
    <n v="762"/>
    <n v="1"/>
    <n v="2.5"/>
    <n v="0.43"/>
    <n v="2.8"/>
    <n v="2"/>
    <n v="2"/>
    <n v="17"/>
    <n v="47"/>
    <n v="2"/>
    <n v="2"/>
  </r>
  <r>
    <n v="2368"/>
    <s v="RIVER GODAVARI - D/S AT BHADRACHALAM BATHING_x000a_GHAT , BHADRADRI KOTHAGUDEM"/>
    <x v="24"/>
    <n v="26"/>
    <n v="31"/>
    <n v="5.0999999999999996"/>
    <n v="6.1"/>
    <n v="7"/>
    <n v="8.1999999999999993"/>
    <n v="223"/>
    <n v="512"/>
    <n v="1.2"/>
    <n v="2.2000000000000002"/>
    <n v="0.55000000000000004"/>
    <n v="3.16"/>
    <n v="2"/>
    <n v="2"/>
    <n v="17"/>
    <n v="47"/>
    <n v="2"/>
    <n v="2"/>
  </r>
  <r>
    <n v="2369"/>
    <s v="RIVER GODAVARI AT BURGAMPAHAD , BHADRADRI_x000a_KOTHAGUDEM"/>
    <x v="24"/>
    <n v="24.8"/>
    <n v="31.3"/>
    <n v="4.8"/>
    <n v="6.2"/>
    <n v="7.1"/>
    <n v="8.1999999999999993"/>
    <n v="247"/>
    <n v="687"/>
    <n v="1"/>
    <n v="3.2"/>
    <n v="0.88"/>
    <n v="20.3"/>
    <n v="2"/>
    <n v="2"/>
    <n v="24"/>
    <n v="220"/>
    <n v="2"/>
    <n v="2"/>
  </r>
  <r>
    <n v="4367"/>
    <s v="RIVER GODAVARI KOUNDINYA MUKTHI (V), KUKUNUR_x000a_(M), BORDER POINT BETWEEN ANDHRA PRADESH &amp;_x000a_TELANGANA STATES"/>
    <x v="25"/>
    <n v="22"/>
    <n v="32"/>
    <n v="6.2"/>
    <n v="7.5"/>
    <n v="7.8"/>
    <n v="8.4"/>
    <n v="130"/>
    <n v="2133"/>
    <n v="1.1000000000000001"/>
    <n v="2.2000000000000002"/>
    <n v="0.32"/>
    <n v="2.3199999999999998"/>
    <n v="3"/>
    <n v="9"/>
    <n v="64"/>
    <n v="210"/>
    <n v="2"/>
    <n v="3"/>
  </r>
  <r>
    <n v="4359"/>
    <s v="RIVER GODAVARI AFTER CONFLUENCE WITH SABARI_x000a_TRIBUTARY (KUNAVARAM) AT WADDIGUDEM(V) V.R._x000a_PURAM (M)"/>
    <x v="25"/>
    <n v="23"/>
    <n v="27"/>
    <n v="6.2"/>
    <n v="7.8"/>
    <n v="7.2"/>
    <n v="8.5"/>
    <n v="64"/>
    <n v="762"/>
    <n v="1.3"/>
    <n v="2.2999999999999998"/>
    <n v="0.32"/>
    <n v="1.06"/>
    <n v="2"/>
    <n v="9"/>
    <n v="21"/>
    <n v="120"/>
    <n v="2"/>
    <n v="2"/>
  </r>
  <r>
    <n v="14"/>
    <s v="RIVER GODAVARI AT POLAVARAM (V &amp; M)"/>
    <x v="25"/>
    <n v="22"/>
    <n v="34"/>
    <n v="6"/>
    <n v="7.5"/>
    <n v="7.4"/>
    <n v="8.4"/>
    <n v="130"/>
    <n v="284"/>
    <n v="1.2"/>
    <n v="2.6"/>
    <n v="0.3"/>
    <n v="3.87"/>
    <n v="3"/>
    <n v="14"/>
    <n v="64"/>
    <n v="240"/>
    <n v="2"/>
    <n v="3"/>
  </r>
  <r>
    <n v="1218"/>
    <s v="RIVER GODAVARI AT RAJAHMUNDRY U/S,_x000a_KUMARADEVAM (V), KOVVUR (M)"/>
    <x v="25"/>
    <n v="25"/>
    <n v="32"/>
    <n v="6.9"/>
    <n v="7.6"/>
    <n v="6.6"/>
    <n v="8.3000000000000007"/>
    <n v="155"/>
    <n v="630"/>
    <n v="1.6"/>
    <n v="2.2000000000000002"/>
    <n v="0.3"/>
    <n v="1.82"/>
    <n v="4"/>
    <n v="9"/>
    <n v="75"/>
    <n v="150"/>
    <n v="2"/>
    <n v="3"/>
  </r>
  <r>
    <n v="2370"/>
    <s v="RIVER GODAVARI AT RAJAMUNDRY U/S OF NALLA_x000a_CHANNEL,RAJAMUNDRY"/>
    <x v="25"/>
    <n v="25"/>
    <n v="27"/>
    <n v="6.7"/>
    <n v="7.5"/>
    <n v="6.3"/>
    <n v="8.3000000000000007"/>
    <n v="180"/>
    <n v="361"/>
    <n v="1.8"/>
    <n v="2.4"/>
    <n v="0.3"/>
    <n v="2.64"/>
    <n v="3"/>
    <n v="11"/>
    <n v="75"/>
    <n v="210"/>
    <n v="2"/>
    <n v="3"/>
  </r>
  <r>
    <n v="2371"/>
    <s v="RIVER GODAVARI AT RAJAMUNDRY D/S OF NALLA_x000a_CHANNEL, RAJAMUNDRY"/>
    <x v="25"/>
    <n v="25"/>
    <n v="27"/>
    <n v="6.1"/>
    <n v="7.2"/>
    <n v="6.4"/>
    <n v="8.4"/>
    <n v="141"/>
    <n v="296"/>
    <n v="2"/>
    <n v="2.4"/>
    <n v="0.32"/>
    <n v="2.4300000000000002"/>
    <n v="4"/>
    <n v="20"/>
    <n v="150"/>
    <n v="240"/>
    <n v="2"/>
    <n v="3"/>
  </r>
  <r>
    <n v="3067"/>
    <s v="RIVER GODAVARI D/S DOWLEISWARAM AFTER_x000a_CONFLUENCE OF STP OUTLET, DOWLEISWARAM (V)"/>
    <x v="25"/>
    <n v="26"/>
    <n v="28"/>
    <n v="6.4"/>
    <n v="7.4"/>
    <n v="6.5"/>
    <n v="8.4"/>
    <n v="129"/>
    <n v="297"/>
    <n v="1.8"/>
    <n v="2.4"/>
    <n v="0.32"/>
    <n v="2.42"/>
    <n v="4"/>
    <n v="15"/>
    <n v="39"/>
    <n v="240"/>
    <n v="2"/>
    <n v="3"/>
  </r>
  <r>
    <n v="1219"/>
    <s v="RIVER GODAVARI AT RAJAHMUNDRY D/S,_x000a_DOWLESWARAM (V), RAJAHMUNDRY (M)"/>
    <x v="25"/>
    <n v="25"/>
    <n v="29"/>
    <n v="6.4"/>
    <n v="7.4"/>
    <n v="6.6"/>
    <n v="8.5"/>
    <n v="125"/>
    <n v="285"/>
    <n v="2"/>
    <n v="2.4"/>
    <n v="0.32"/>
    <n v="1.02"/>
    <n v="4"/>
    <n v="15"/>
    <n v="93"/>
    <n v="460"/>
    <n v="2"/>
    <n v="3"/>
  </r>
  <r>
    <n v="3948"/>
    <s v="RIVER INDRAVATI AT NAWARANGPUR"/>
    <x v="22"/>
    <n v="13"/>
    <n v="30"/>
    <n v="4.5"/>
    <n v="8.1999999999999993"/>
    <n v="6.7"/>
    <n v="7.8"/>
    <n v="90"/>
    <n v="192"/>
    <n v="1.1000000000000001"/>
    <n v="1.8"/>
    <n v="0.32"/>
    <n v="3.77"/>
    <n v="78"/>
    <n v="13000"/>
    <n v="490"/>
    <n v="28000"/>
    <m/>
    <m/>
  </r>
  <r>
    <n v="30062"/>
    <s v="RIVER INDRAWATI AT NOWRANGPUR (ODISHA)"/>
    <x v="22"/>
    <n v="26"/>
    <n v="30"/>
    <n v="7.5"/>
    <n v="7.6"/>
    <n v="7"/>
    <n v="7"/>
    <n v="102"/>
    <n v="110"/>
    <n v="1"/>
    <n v="1"/>
    <n v="0.32"/>
    <n v="0.32"/>
    <n v="1300"/>
    <n v="1300"/>
    <n v="2200"/>
    <n v="2200"/>
    <n v="20"/>
    <n v="20"/>
  </r>
  <r>
    <n v="3312"/>
    <s v="RIVER KANHAN AT CHINDWARA BEFORE MIXING_x000a_BOREGAON GROWTHCENTRE NALLA, JABALPUR"/>
    <x v="10"/>
    <n v="20"/>
    <n v="31"/>
    <n v="7.1"/>
    <n v="7.2"/>
    <n v="7.4"/>
    <n v="8.1999999999999993"/>
    <n v="611"/>
    <n v="816"/>
    <n v="1.8"/>
    <n v="2.2000000000000002"/>
    <n v="1.6"/>
    <n v="2.44"/>
    <n v="3"/>
    <n v="4"/>
    <n v="15"/>
    <n v="39"/>
    <m/>
    <m/>
  </r>
  <r>
    <n v="5537"/>
    <s v="RIVER KANHAN NEAR MANDIR MAIN GHAT_x000a_KHAPPADIWAR, CHHINDWARA"/>
    <x v="10"/>
    <n v="19"/>
    <n v="31"/>
    <n v="7.1"/>
    <n v="7.8"/>
    <n v="7.1"/>
    <n v="8.1"/>
    <n v="288"/>
    <n v="816"/>
    <n v="1"/>
    <n v="2.2000000000000002"/>
    <n v="0"/>
    <n v="3.38"/>
    <n v="2"/>
    <n v="7"/>
    <n v="10"/>
    <n v="120"/>
    <m/>
    <m/>
  </r>
  <r>
    <n v="2170"/>
    <s v="RIVER KANHAN AT U/S OF M/S VIDARBHA PAPER MILLS,_x000a_VILLAGE- SINORA, TALUKA- PARSEONI, DISTRICT-NAGPUR."/>
    <x v="21"/>
    <n v="19"/>
    <n v="30"/>
    <n v="5.4"/>
    <n v="6.8"/>
    <n v="7.2"/>
    <n v="8.6"/>
    <n v="906"/>
    <n v="1411"/>
    <n v="3"/>
    <n v="3.5"/>
    <n v="0.3"/>
    <n v="2.73"/>
    <n v="14"/>
    <n v="43"/>
    <n v="110"/>
    <n v="350"/>
    <n v="2"/>
    <n v="2"/>
  </r>
  <r>
    <n v="2171"/>
    <s v="RIVER KANHAN AT D/S OF M/S VIDARBHA PAPER MILLS,_x000a_VILLAGE- SINORA, TALUKA- PARSEONI, DISTRICT-NAGPUR."/>
    <x v="21"/>
    <n v="19"/>
    <n v="30"/>
    <n v="5.0999999999999996"/>
    <n v="6.6"/>
    <n v="7.6"/>
    <n v="8.6"/>
    <n v="819"/>
    <n v="1316"/>
    <n v="3"/>
    <n v="4"/>
    <n v="0.3"/>
    <n v="2.98"/>
    <n v="11"/>
    <n v="48"/>
    <n v="140"/>
    <n v="430"/>
    <n v="2"/>
    <n v="2"/>
  </r>
  <r>
    <n v="1909"/>
    <s v="RIVER KANHAN AT D/S OF NAGPUR, VILLAGE-AGARGAON, TALUKA- KUHI, DISTRICT- NAGPUR."/>
    <x v="21"/>
    <n v="16"/>
    <n v="21"/>
    <n v="2"/>
    <n v="6.2"/>
    <n v="7.5"/>
    <n v="8.4"/>
    <n v="730"/>
    <n v="1756"/>
    <n v="3"/>
    <n v="9.8000000000000007"/>
    <n v="0.3"/>
    <n v="2.93"/>
    <n v="14"/>
    <n v="43"/>
    <n v="110"/>
    <n v="280"/>
    <n v="2"/>
    <n v="2"/>
  </r>
  <r>
    <n v="3080"/>
    <s v="RIVER KINNERASANI (TRIBUTRARY OF GODAVARI) - U/S_x000a_OF KARAKAVAGU AT PALONCHA , BHADRADRI_x000a_KOTHAGUDEM"/>
    <x v="24"/>
    <n v="24"/>
    <n v="28.6"/>
    <n v="5"/>
    <n v="6.2"/>
    <n v="7.2"/>
    <n v="8.3000000000000007"/>
    <n v="412"/>
    <n v="835"/>
    <n v="1"/>
    <n v="2.2000000000000002"/>
    <n v="0.3"/>
    <n v="2.4"/>
    <n v="2"/>
    <n v="2"/>
    <n v="24"/>
    <n v="39"/>
    <n v="2"/>
    <n v="2"/>
  </r>
  <r>
    <n v="3081"/>
    <s v="RIVER KINNERASANI (TRIBUTRARY OF GODAVARI) - D/S_x000a_OF KARAKAVAGU AT PALONCHA, BHADRADRI_x000a_KOTHAGUDEM"/>
    <x v="24"/>
    <n v="25.8"/>
    <n v="29.1"/>
    <n v="4.5999999999999996"/>
    <n v="6.1"/>
    <n v="7.5"/>
    <n v="8.1999999999999993"/>
    <n v="408"/>
    <n v="596"/>
    <n v="1"/>
    <n v="2.4"/>
    <n v="0.3"/>
    <n v="2.8"/>
    <n v="2"/>
    <n v="2"/>
    <n v="20"/>
    <n v="39"/>
    <n v="2"/>
    <n v="2"/>
  </r>
  <r>
    <n v="2372"/>
    <s v="RIVER KINNERASANI (TRIBUTRARY OF GODAVARI) -KINNERASANI AFTER CONFLUENCE OF KTPS ASH POND_x000a_EFFLUENTS ,BHADRADRI KOTHAGUDEM"/>
    <x v="24"/>
    <n v="25"/>
    <n v="29.1"/>
    <n v="4.8"/>
    <n v="6.2"/>
    <n v="7.5"/>
    <n v="8.1999999999999993"/>
    <n v="179"/>
    <n v="612"/>
    <n v="1"/>
    <n v="2.8"/>
    <n v="0.78"/>
    <n v="2.5"/>
    <n v="2"/>
    <n v="2"/>
    <n v="17"/>
    <n v="120"/>
    <n v="2"/>
    <n v="2"/>
  </r>
  <r>
    <n v="1908"/>
    <s v="RIVER KOLAR BEFORE CONFLUENCE WITH KANHAN_x000a_RIVER AT WAREGAON BRIDGE, VILLAGE- WAREGAON,_x000a_TALUKA-KAMPTEE, DISTRICT -NAGPUR."/>
    <x v="21"/>
    <n v="19"/>
    <n v="30"/>
    <n v="5.0999999999999996"/>
    <n v="6.8"/>
    <n v="7.2"/>
    <n v="8.6999999999999993"/>
    <n v="870"/>
    <n v="1740"/>
    <n v="3"/>
    <n v="4"/>
    <n v="0.3"/>
    <n v="2.9"/>
    <n v="11"/>
    <n v="40"/>
    <n v="110"/>
    <n v="220"/>
    <n v="2"/>
    <n v="2"/>
  </r>
  <r>
    <n v="4257"/>
    <s v="RIVER MANERU (TRIBUTARY OF GODAVARI) - AT D/S OF_x000a_MUNICIPAL DUMP SITE, KARIMNAGAR"/>
    <x v="24"/>
    <n v="26"/>
    <n v="27"/>
    <n v="0.3"/>
    <n v="5.9"/>
    <n v="6.9"/>
    <n v="8.4"/>
    <n v="438"/>
    <n v="2143"/>
    <n v="1.8"/>
    <n v="13"/>
    <n v="1.1200000000000001"/>
    <n v="6.6"/>
    <n v="2"/>
    <n v="24"/>
    <n v="32"/>
    <n v="430"/>
    <n v="2"/>
    <n v="4"/>
  </r>
  <r>
    <n v="4664"/>
    <s v="RIVER MANERU (TRIBUTARY OF GODAVARI) - AT_x000a_GHATTEPALLI (V) NEAR SULTHANABAD, KARIMNAGAR"/>
    <x v="24"/>
    <n v="25"/>
    <n v="26"/>
    <n v="4"/>
    <n v="6"/>
    <n v="6.9"/>
    <n v="8.1"/>
    <n v="424"/>
    <n v="872"/>
    <n v="1.6"/>
    <n v="3.8"/>
    <n v="2.2000000000000002"/>
    <n v="3.28"/>
    <n v="2"/>
    <n v="2"/>
    <n v="27"/>
    <n v="84"/>
    <n v="2"/>
    <n v="2"/>
  </r>
  <r>
    <n v="1158"/>
    <s v="RIVER MANERU (TRIBUTARY OF GODAVARI) - AT_x000a_SOMANPALLY , PEDDAPALLI"/>
    <x v="24"/>
    <n v="25"/>
    <n v="27"/>
    <n v="5.2"/>
    <n v="6.2"/>
    <n v="6.6"/>
    <n v="8.4"/>
    <n v="436"/>
    <n v="811"/>
    <n v="1"/>
    <n v="2.9"/>
    <n v="0.57999999999999996"/>
    <n v="3.24"/>
    <n v="2"/>
    <n v="2"/>
    <n v="21"/>
    <n v="70"/>
    <n v="2"/>
    <n v="2"/>
  </r>
  <r>
    <n v="1891"/>
    <s v="RIVER MANJEERA AT D/S INTAKE POINT TO BIDAR CITY"/>
    <x v="26"/>
    <n v="24"/>
    <n v="30"/>
    <n v="6.9"/>
    <n v="7.9"/>
    <n v="7.4"/>
    <n v="8.3000000000000007"/>
    <n v="390"/>
    <n v="582"/>
    <n v="2"/>
    <n v="3"/>
    <n v="0.57999999999999996"/>
    <n v="4"/>
    <n v="33"/>
    <n v="540"/>
    <n v="140"/>
    <n v="2800"/>
    <m/>
    <m/>
  </r>
  <r>
    <n v="1157"/>
    <s v="RIVER MANJEERA (TRIBUTARY OF GODAVARI) - AT_x000a_RAIPALLY, SANGAREEDY"/>
    <x v="24"/>
    <n v="22"/>
    <n v="34"/>
    <n v="6.1"/>
    <n v="7.6"/>
    <n v="7.5"/>
    <n v="8.4"/>
    <n v="575"/>
    <n v="676"/>
    <n v="2.1"/>
    <n v="3.3"/>
    <n v="6.02"/>
    <n v="28.04"/>
    <n v="4"/>
    <n v="6"/>
    <n v="27"/>
    <n v="39"/>
    <n v="4"/>
    <n v="5"/>
  </r>
  <r>
    <n v="1781"/>
    <s v="RIVER MANJEERA (TRIBUTARY OF GODAVARI) - AT_x000a_GANAPATHI SUGARS, SANGAREDDY"/>
    <x v="24"/>
    <n v="20"/>
    <n v="29"/>
    <n v="5.8"/>
    <n v="6.6"/>
    <n v="7"/>
    <n v="8.3000000000000007"/>
    <n v="605"/>
    <n v="758"/>
    <n v="2"/>
    <n v="3.2"/>
    <n v="5.03"/>
    <n v="123"/>
    <n v="8"/>
    <n v="8"/>
    <n v="39"/>
    <n v="52"/>
    <n v="4"/>
    <n v="6"/>
  </r>
  <r>
    <n v="2374"/>
    <s v="RIVER MANJEERA (TRIBUTARY OF GODAVARI) - U/S OF_x000a_RIVER MANJEERA AT GOWDICHERLA BEFORE_x000a_CONFLUENCE WITH NAKKAVAGU, SANGAREDY"/>
    <x v="24"/>
    <n v="19"/>
    <n v="27"/>
    <n v="5.9"/>
    <n v="6.9"/>
    <n v="7.1"/>
    <n v="7.9"/>
    <n v="850"/>
    <n v="1020"/>
    <n v="2"/>
    <n v="3.2"/>
    <n v="10.06"/>
    <n v="29.04"/>
    <n v="7"/>
    <n v="8"/>
    <n v="27"/>
    <n v="34"/>
    <n v="6"/>
    <n v="6"/>
  </r>
  <r>
    <n v="2375"/>
    <s v="RIVER MANJEERA (TRIBUTARY OF GODAVARI) - D/S OF_x000a_RIVER MANJEERA AT GOWDICHERLA ATFTER_x000a_CONFLUENCE WITH NAKKAVAGU, SANGAREDDY"/>
    <x v="24"/>
    <n v="19"/>
    <n v="28"/>
    <n v="5.9"/>
    <n v="7"/>
    <n v="7.2"/>
    <n v="7.8"/>
    <n v="1203"/>
    <n v="1489"/>
    <n v="2.2999999999999998"/>
    <n v="3.9"/>
    <n v="14.13"/>
    <n v="26.12"/>
    <n v="6"/>
    <n v="7"/>
    <n v="34"/>
    <n v="41"/>
    <n v="4"/>
    <n v="5"/>
  </r>
  <r>
    <n v="4226"/>
    <s v="RIVER MANJEERA (TRIBUTARY OF GODAVARI) - RIVER_x000a_MANJEERA AT YEDU PAYALA TEMPLE, NAGSAMPALLI_x000a_(V), PAPANNAPET (M), MEDAK DISTRICT"/>
    <x v="24"/>
    <n v="16"/>
    <n v="28"/>
    <n v="6.2"/>
    <n v="7.3"/>
    <n v="7.1"/>
    <n v="8.3000000000000007"/>
    <n v="592"/>
    <n v="1195"/>
    <n v="2.2000000000000002"/>
    <n v="4"/>
    <n v="9.16"/>
    <n v="41.13"/>
    <n v="4"/>
    <n v="6"/>
    <n v="18"/>
    <n v="84"/>
    <n v="2"/>
    <n v="2"/>
  </r>
  <r>
    <n v="2673"/>
    <s v="RIVER MANJRA AT D/S OF LATUR, NEAR LATUR-NANDED BRIDGE, VILLAGE- BHATKHEDA, TALUKA-LATUR, DISTRICT- LATUR."/>
    <x v="21"/>
    <n v="18"/>
    <n v="20"/>
    <n v="6"/>
    <n v="6.5"/>
    <n v="8"/>
    <n v="8.5"/>
    <n v="641"/>
    <n v="792"/>
    <n v="5.2"/>
    <n v="5.2"/>
    <n v="0.59"/>
    <n v="0.62"/>
    <n v="2"/>
    <n v="2"/>
    <n v="5"/>
    <n v="32"/>
    <n v="2"/>
    <n v="5"/>
  </r>
  <r>
    <n v="30055"/>
    <s v="RIVER MANJEERA AT JANWADA(BANGALORE)"/>
    <x v="26"/>
    <n v="24"/>
    <n v="28"/>
    <n v="7.7"/>
    <n v="9.3000000000000007"/>
    <n v="8.4"/>
    <n v="8.5"/>
    <n v="461"/>
    <n v="604"/>
    <n v="1"/>
    <n v="7"/>
    <n v="0"/>
    <n v="4.8"/>
    <n v="470"/>
    <n v="1400"/>
    <n v="3500"/>
    <n v="7000"/>
    <m/>
    <m/>
  </r>
  <r>
    <n v="2675"/>
    <s v="RIVER MORNA D/S OF RAILWAY BRIDGE AKOLA"/>
    <x v="21"/>
    <n v="23"/>
    <n v="27"/>
    <n v="3.1"/>
    <n v="5.9"/>
    <n v="7.4"/>
    <n v="8.3000000000000007"/>
    <n v="891"/>
    <n v="1989"/>
    <n v="3"/>
    <n v="5.8"/>
    <n v="0.32"/>
    <n v="9.43"/>
    <n v="12"/>
    <n v="48"/>
    <n v="120"/>
    <n v="210"/>
    <n v="2"/>
    <n v="2"/>
  </r>
  <r>
    <n v="2349"/>
    <s v="RIVER MANJEERA (TRIBUTARY OF GODAVARI) - NAKKA_x000a_VAGU AT BACHUGUDEM, SANGAREEDY"/>
    <x v="24"/>
    <n v="18"/>
    <n v="21"/>
    <n v="4.2"/>
    <n v="5.4"/>
    <n v="6.8"/>
    <n v="7.3"/>
    <n v="1206"/>
    <n v="1555"/>
    <n v="3.5"/>
    <n v="4.8"/>
    <n v="20.12"/>
    <n v="40.130000000000003"/>
    <n v="8"/>
    <n v="8"/>
    <n v="79"/>
    <n v="94"/>
    <n v="7"/>
    <n v="8"/>
  </r>
  <r>
    <n v="1214"/>
    <s v="RIVER PENCH AT CHHINDWARA ,NEAR SINGORI ROAD_x000a_BRIDGE, CHHINDWARA"/>
    <x v="10"/>
    <n v="19"/>
    <n v="30"/>
    <n v="7.1"/>
    <n v="7.7"/>
    <n v="7.2"/>
    <n v="8.1"/>
    <n v="264"/>
    <n v="716"/>
    <n v="1.4"/>
    <n v="2"/>
    <n v="0.47"/>
    <n v="5.04"/>
    <n v="2"/>
    <n v="10"/>
    <n v="15"/>
    <n v="120"/>
    <m/>
    <m/>
  </r>
  <r>
    <n v="5541"/>
    <s v="RIVER PENCHÂ NEAR ROAD BRIDGE_x000a_HALLAKHURD,CHHINDWARA"/>
    <x v="10"/>
    <n v="19"/>
    <n v="31"/>
    <n v="7.1"/>
    <n v="7.8"/>
    <n v="7.1"/>
    <n v="8.1"/>
    <n v="322"/>
    <n v="716"/>
    <n v="1"/>
    <n v="2"/>
    <n v="0"/>
    <n v="5.0999999999999996"/>
    <n v="2"/>
    <n v="7"/>
    <n v="15"/>
    <n v="120"/>
    <m/>
    <m/>
  </r>
  <r>
    <n v="2699"/>
    <s v="RIVER PENGANGA AT MEHKAR -BULDANA ROAD_x000a_BRIDGE, VILLAGE-MEHKAR, TALUKA-MEHKAR,DISTRICT-AKOLA."/>
    <x v="21"/>
    <n v="23"/>
    <n v="28"/>
    <n v="5.2"/>
    <n v="6.1"/>
    <n v="7.8"/>
    <n v="8.4"/>
    <n v="780"/>
    <n v="1214"/>
    <n v="3"/>
    <n v="4"/>
    <n v="0.32"/>
    <n v="7.08"/>
    <n v="12"/>
    <n v="41"/>
    <n v="110"/>
    <n v="170"/>
    <n v="2"/>
    <n v="2"/>
  </r>
  <r>
    <n v="2698"/>
    <s v="RIVER PENGANGA D/S OF ISAPUR DAM, VILLAGE-ISAPUR,TALUKA- PUSAD, DISTRICT- YAVATMAL."/>
    <x v="21"/>
    <n v="19"/>
    <n v="23"/>
    <n v="5.6"/>
    <n v="5.9"/>
    <n v="7.7"/>
    <n v="8.6999999999999993"/>
    <n v="665"/>
    <n v="1226"/>
    <n v="3.2"/>
    <n v="3.8"/>
    <n v="0.3"/>
    <n v="3.75"/>
    <n v="12"/>
    <n v="46"/>
    <n v="110"/>
    <n v="220"/>
    <n v="2"/>
    <n v="2"/>
  </r>
  <r>
    <n v="2697"/>
    <s v="RIVER PENGANGA NEAR WATER SUPPLY SCHEME OF_x000a_UMARKHED M.C., VILLAGE. BELKHED, TALUKA._x000a_UMARKHED, DISTRICT. YAVATMAL."/>
    <x v="21"/>
    <n v="20"/>
    <n v="22"/>
    <n v="5.7"/>
    <n v="6.2"/>
    <n v="7.8"/>
    <n v="8.6999999999999993"/>
    <n v="650"/>
    <n v="1146"/>
    <n v="3"/>
    <n v="3.6"/>
    <n v="0.3"/>
    <n v="3.57"/>
    <n v="12"/>
    <n v="40"/>
    <n v="94"/>
    <n v="210"/>
    <n v="2"/>
    <n v="2"/>
  </r>
  <r>
    <n v="2373"/>
    <s v="RIVER SABARI AT KUNAVARAM, EAST GODAVARI DIST"/>
    <x v="25"/>
    <n v="23"/>
    <n v="28"/>
    <n v="6"/>
    <n v="7.6"/>
    <n v="7.4"/>
    <n v="8.5"/>
    <n v="70"/>
    <n v="1178"/>
    <n v="1.2"/>
    <n v="2.9"/>
    <n v="0.32"/>
    <n v="2.02"/>
    <n v="2"/>
    <n v="7"/>
    <n v="28"/>
    <n v="93"/>
    <n v="2"/>
    <n v="3"/>
  </r>
  <r>
    <n v="3330"/>
    <s v="RIVER RIVER WAINGANGA AT CHHAPARA , SEONI, NEAR_x000a_WSS INTAKE POINT"/>
    <x v="10"/>
    <n v="20.3"/>
    <n v="24.1"/>
    <n v="6.9"/>
    <n v="7.8"/>
    <n v="7.2"/>
    <n v="7.9"/>
    <n v="238"/>
    <n v="368"/>
    <n v="1.2"/>
    <n v="1.6"/>
    <n v="0.19"/>
    <n v="1.6"/>
    <n v="2"/>
    <n v="7"/>
    <n v="23"/>
    <n v="48"/>
    <m/>
    <m/>
  </r>
  <r>
    <n v="3331"/>
    <s v="RIVER WAINGANGA AT CHHAPARA, NEAR ROAD BRIDGE_x000a_AFTER MIXING_x000a_MOTI &amp; CHAMARIYA NALLA, JABALPUR"/>
    <x v="10"/>
    <n v="20.7"/>
    <n v="24.2"/>
    <n v="5.4"/>
    <n v="7.8"/>
    <n v="7.1"/>
    <n v="7.9"/>
    <n v="257"/>
    <n v="421"/>
    <n v="1.6"/>
    <n v="2.4"/>
    <n v="0.23"/>
    <n v="1.34"/>
    <n v="2"/>
    <n v="10"/>
    <n v="39"/>
    <n v="150"/>
    <m/>
    <m/>
  </r>
  <r>
    <n v="1213"/>
    <s v="RIVER WAINGANGA AT BALAGHAT, M.P."/>
    <x v="10"/>
    <n v="20.2"/>
    <n v="24.2"/>
    <n v="7.2"/>
    <n v="7.7"/>
    <n v="7.2"/>
    <n v="7.8"/>
    <n v="270"/>
    <n v="519"/>
    <n v="1.6"/>
    <n v="1.9"/>
    <n v="0.03"/>
    <n v="1.6"/>
    <n v="2"/>
    <n v="17"/>
    <n v="15"/>
    <n v="170"/>
    <m/>
    <m/>
  </r>
  <r>
    <n v="30041"/>
    <s v="RIVER WAINGANGA AT BAPERA, BHANDARA,_x000a_(MAHARASHTRA)"/>
    <x v="21"/>
    <n v="21"/>
    <n v="21"/>
    <n v="6"/>
    <n v="6"/>
    <n v="8.6"/>
    <n v="8.6"/>
    <n v="736"/>
    <n v="736"/>
    <n v="3"/>
    <n v="3"/>
    <n v="0.68"/>
    <n v="0.68"/>
    <n v="22"/>
    <n v="22"/>
    <n v="120"/>
    <n v="120"/>
    <n v="2"/>
    <n v="2"/>
  </r>
  <r>
    <n v="2173"/>
    <s v="RIVER WAINGANGA AT U/S OF ELLORA PAPER MILLS,_x000a_VILLAGE. TUMSAR, TALUKA. TUMSAR, DISTRICT._x000a_BHANDARA."/>
    <x v="21"/>
    <n v="18"/>
    <n v="39"/>
    <n v="6"/>
    <n v="6.7"/>
    <n v="7.7"/>
    <n v="8.6999999999999993"/>
    <n v="667"/>
    <n v="1210"/>
    <n v="3"/>
    <n v="3.2"/>
    <n v="0.3"/>
    <n v="2.87"/>
    <n v="12"/>
    <n v="42"/>
    <n v="120"/>
    <n v="280"/>
    <n v="2"/>
    <n v="2"/>
  </r>
  <r>
    <n v="2172"/>
    <s v="RIVER WAINGANGA AT D/S OF ELLORA PAPER MILLS,_x000a_VILLAGE. TUMSAR, TALUKA. TUMSAR, DISTRICT._x000a_BHANDARA."/>
    <x v="21"/>
    <n v="18"/>
    <n v="39"/>
    <n v="5.5"/>
    <n v="6.8"/>
    <n v="7.8"/>
    <n v="8.8000000000000007"/>
    <n v="739"/>
    <n v="1290"/>
    <n v="3"/>
    <n v="3.5"/>
    <n v="0.3"/>
    <n v="1.1200000000000001"/>
    <n v="24"/>
    <n v="43"/>
    <n v="210"/>
    <n v="430"/>
    <n v="2"/>
    <n v="2"/>
  </r>
  <r>
    <n v="2175"/>
    <s v="RIVER WAINGANGA AT U/S OF GAURAV PAPER MILLS,_x000a_NEAR JACKWELL, VILLAGE. BRAMHPURI, TALUKA._x000a_CHANDRAPUR, DISTRICT. CHANDRAPUR."/>
    <x v="21"/>
    <n v="19"/>
    <n v="22"/>
    <n v="5.7"/>
    <n v="7"/>
    <n v="7.9"/>
    <n v="8.8000000000000007"/>
    <n v="654"/>
    <n v="1230"/>
    <n v="3"/>
    <n v="3.4"/>
    <n v="0.3"/>
    <n v="3.24"/>
    <n v="11"/>
    <n v="43"/>
    <n v="170"/>
    <n v="350"/>
    <n v="2"/>
    <n v="2"/>
  </r>
  <r>
    <n v="2176"/>
    <s v="RIVER WAINGANGA AT D/S OF GAURAV PAPER MILLS,_x000a_NEAR JACKWELL VILLAGE. BRAMHPURI, TALUKA._x000a_CHANDRAPUR, DISTRICT. CHANDRAPUR."/>
    <x v="21"/>
    <n v="19"/>
    <n v="22"/>
    <n v="5.5"/>
    <n v="6.7"/>
    <n v="7.8"/>
    <n v="8.8000000000000007"/>
    <n v="549"/>
    <n v="1375"/>
    <n v="3.2"/>
    <n v="4.5"/>
    <n v="0.3"/>
    <n v="3.22"/>
    <n v="17"/>
    <n v="47"/>
    <n v="110"/>
    <n v="430"/>
    <n v="2"/>
    <n v="2"/>
  </r>
  <r>
    <n v="1910"/>
    <s v="RIVER WAINGANGA AFTER CONFLUENCE WITH_x000a_KANHAN RIVER, VILLAGE- AMBHORA,TALUKA- KUHI,_x000a_DISTRICT- NAGPUR."/>
    <x v="21"/>
    <n v="16"/>
    <n v="21"/>
    <n v="3.9"/>
    <n v="6.1"/>
    <n v="7.6"/>
    <n v="9"/>
    <n v="789"/>
    <n v="1126"/>
    <n v="3.1"/>
    <n v="5"/>
    <n v="0.3"/>
    <n v="1.1399999999999999"/>
    <n v="12"/>
    <n v="38"/>
    <n v="110"/>
    <n v="280"/>
    <n v="2"/>
    <n v="2"/>
  </r>
  <r>
    <n v="11"/>
    <s v="RIVER WAINGANGA AT ASHTI, VILLAGE. ASHTI, TALUKA._x000a_GONDPIPRI, DISTRICT.CHANDRAPUR."/>
    <x v="21"/>
    <n v="19"/>
    <n v="23"/>
    <n v="2.5"/>
    <n v="6.1"/>
    <n v="7.9"/>
    <n v="8.8000000000000007"/>
    <n v="674"/>
    <n v="1251"/>
    <n v="3.2"/>
    <n v="8.4"/>
    <n v="0.3"/>
    <n v="3.24"/>
    <n v="14"/>
    <n v="34"/>
    <n v="94"/>
    <n v="220"/>
    <n v="2"/>
    <n v="2"/>
  </r>
  <r>
    <n v="30059"/>
    <s v="RIVER WARDHA AT VILLAGE BANGAON NEAR_x000a_PANDHURNA (MP &amp; MAHARASHTRA)"/>
    <x v="10"/>
    <n v="26"/>
    <n v="31"/>
    <n v="8"/>
    <n v="8.4"/>
    <n v="8.1"/>
    <n v="8.3000000000000007"/>
    <n v="266"/>
    <n v="394"/>
    <n v="1.2"/>
    <n v="2.1"/>
    <n v="0.48"/>
    <n v="0.5"/>
    <n v="2"/>
    <n v="2"/>
    <n v="63"/>
    <n v="100"/>
    <n v="2"/>
    <n v="2"/>
  </r>
  <r>
    <n v="1315"/>
    <s v="RIVER WARDHA AT PULGAON RAILWAY BRIDGE,_x000a_VILLAGE- PULGAON,TALUKA - WARDHA, DISTRICT-WARDHA."/>
    <x v="21"/>
    <n v="16"/>
    <n v="18"/>
    <n v="5.8"/>
    <n v="6.7"/>
    <n v="7.9"/>
    <n v="8.8000000000000007"/>
    <n v="762"/>
    <n v="1080"/>
    <n v="3"/>
    <n v="3.6"/>
    <n v="0.3"/>
    <n v="2.87"/>
    <n v="24"/>
    <n v="43"/>
    <n v="110"/>
    <n v="220"/>
    <n v="2"/>
    <n v="2"/>
  </r>
  <r>
    <n v="2721"/>
    <s v="RIVER WARDHA AT U/S OF ACC LTD. GHUGGUS NEAR_x000a_WCL PUMP HOUSE, VILLAGE- GHUGGUS, TALUKA-CHANDRAPUR, DISTRICT- CHANDRAPUR."/>
    <x v="21"/>
    <n v="19"/>
    <n v="20"/>
    <n v="5.8"/>
    <n v="6.6"/>
    <n v="7.8"/>
    <n v="8.6999999999999993"/>
    <n v="892"/>
    <n v="5473"/>
    <n v="3"/>
    <n v="3.2"/>
    <n v="0.3"/>
    <n v="3.01"/>
    <n v="6"/>
    <n v="41"/>
    <n v="130"/>
    <n v="350"/>
    <n v="2"/>
    <n v="2"/>
  </r>
  <r>
    <n v="2174"/>
    <s v="RIVER WARDHA AT D/S OF ACC LTD. GHUGGUS NEAR_x000a_WCL PUMP HOUSE, VILLAGE- GHUGGUS, TALUKA-CHANDRAPUR, DISTRICT- CHANDRAPUR."/>
    <x v="21"/>
    <n v="19"/>
    <n v="20"/>
    <n v="5.2"/>
    <n v="6.1"/>
    <n v="7.8"/>
    <n v="8.8000000000000007"/>
    <n v="549"/>
    <n v="1370"/>
    <n v="3"/>
    <n v="4.5999999999999996"/>
    <n v="0.3"/>
    <n v="3.33"/>
    <n v="11"/>
    <n v="40"/>
    <n v="120"/>
    <n v="430"/>
    <n v="2"/>
    <n v="2"/>
  </r>
  <r>
    <n v="2156"/>
    <s v="RIVER WARDHA AT CONFLUENCE POINT OF PENGANGA_x000a_&amp; WARDHA. VILLAGE. JUGAD, TALUKA. WANI, DISTRICT._x000a_YAVATMAL."/>
    <x v="21"/>
    <n v="19"/>
    <n v="20"/>
    <n v="5.3"/>
    <n v="6"/>
    <n v="7.8"/>
    <n v="8.6999999999999993"/>
    <n v="750"/>
    <n v="1210"/>
    <n v="3"/>
    <n v="4"/>
    <n v="0.3"/>
    <n v="4.07"/>
    <n v="12"/>
    <n v="38"/>
    <n v="110"/>
    <n v="280"/>
    <n v="2"/>
    <n v="2"/>
  </r>
  <r>
    <n v="2720"/>
    <s v="RIVER WARDHA AT U/S OF ERAI RIVER AT HADASTI_x000a_NEAR ARUN ENGG. WORKS, VILLAGE- HADASTI,_x000a_TALUKA- CHANDRAPUR, DISTRICT- CHANDRAPUR."/>
    <x v="21"/>
    <n v="19"/>
    <n v="23"/>
    <n v="5.6"/>
    <n v="6.5"/>
    <n v="7.9"/>
    <n v="8.8000000000000007"/>
    <n v="698"/>
    <n v="1290"/>
    <n v="3"/>
    <n v="3.9"/>
    <n v="0.3"/>
    <n v="3.18"/>
    <n v="13"/>
    <n v="41"/>
    <n v="110"/>
    <n v="350"/>
    <n v="2"/>
    <n v="2"/>
  </r>
  <r>
    <n v="2719"/>
    <s v="RIVER WARDHA AT D/S OF ERAI RIVER AT HADASTI_x000a_NEAR ARUN ENGG. WORKS, VILLAGE- HADASTI,_x000a_TALUKA- CHANDRAPUR, DISTRICT- CHANDRAPUR."/>
    <x v="21"/>
    <n v="19"/>
    <n v="23"/>
    <n v="5.4"/>
    <n v="6.2"/>
    <n v="7.7"/>
    <n v="8.8000000000000007"/>
    <n v="722"/>
    <n v="1390"/>
    <n v="3.2"/>
    <n v="4.2"/>
    <n v="0.3"/>
    <n v="3.22"/>
    <n v="20"/>
    <n v="47"/>
    <n v="170"/>
    <n v="430"/>
    <n v="2"/>
    <n v="2"/>
  </r>
  <r>
    <n v="1212"/>
    <s v="RIVER WARDHA AT RAJURA BRIDGE, VILLAGE- RAJURA,_x000a_TALUKA- CHANDRAPUR, DISTRICT- CHANDRAPUR."/>
    <x v="21"/>
    <n v="19"/>
    <n v="23"/>
    <n v="5.2"/>
    <n v="6.5"/>
    <n v="7.9"/>
    <n v="8.6999999999999993"/>
    <n v="660"/>
    <n v="1162"/>
    <n v="3"/>
    <n v="3.8"/>
    <n v="0.3"/>
    <n v="3.31"/>
    <n v="14"/>
    <n v="43"/>
    <n v="120"/>
    <n v="280"/>
    <n v="2"/>
    <n v="2"/>
  </r>
  <r>
    <n v="2722"/>
    <s v="RIVER WENA AT U/S OF MOHATA MILLS, NEAR RAILWAY_x000a_BRIDGE ON WARDHA, CHANDRAPUR RAILWAY LINE,_x000a_VILLAGE- HINGANGHAT, TALUKA- HINGANGHAT,_x000a_DISTRICT- WARDHA."/>
    <x v="21"/>
    <n v="16"/>
    <n v="20"/>
    <n v="5.8"/>
    <n v="6.8"/>
    <n v="8.1"/>
    <n v="8.8000000000000007"/>
    <n v="936"/>
    <n v="1142"/>
    <n v="3"/>
    <n v="3.4"/>
    <n v="0.3"/>
    <n v="3.36"/>
    <n v="17"/>
    <n v="43"/>
    <n v="210"/>
    <n v="350"/>
    <n v="2"/>
    <n v="2"/>
  </r>
  <r>
    <n v="2723"/>
    <s v="RIVER WENA AT D/S OF MOHATA MILLS, NEAR BRIDGE_x000a_ON HINGANGHAT- WADNER ROAD, VILLAGE-HINGANGHAT, TALUKA- HINGANGHAT, DISTRICT-WARDHA."/>
    <x v="21"/>
    <n v="16"/>
    <n v="20"/>
    <n v="5.0999999999999996"/>
    <n v="6.7"/>
    <n v="8"/>
    <n v="8.8000000000000007"/>
    <n v="976"/>
    <n v="1236"/>
    <n v="3"/>
    <n v="3.8"/>
    <n v="0.3"/>
    <n v="2.89"/>
    <n v="20"/>
    <n v="48"/>
    <n v="280"/>
    <n v="540"/>
    <n v="2"/>
    <n v="2"/>
  </r>
  <r>
    <n v="1194"/>
    <s v="RIVER KRISHNA AT DHOM DAM, VILLAGE- WAI, TALUKA-MAHABALESHWAR, DISTRICT-SATARA."/>
    <x v="21"/>
    <n v="22"/>
    <n v="30"/>
    <n v="0.3"/>
    <n v="6.6"/>
    <n v="2"/>
    <n v="8"/>
    <n v="5"/>
    <n v="137"/>
    <n v="1"/>
    <n v="3"/>
    <n v="0.3"/>
    <n v="1.65"/>
    <n v="2"/>
    <n v="20"/>
    <n v="2"/>
    <n v="250"/>
    <n v="2"/>
    <n v="14"/>
  </r>
  <r>
    <n v="2190"/>
    <s v="RIEVR KRISHNA AT GANPATI GHAT, WAI, VILLAGE-WAI,TALUKA- WAI,DISTRICT- SATARA."/>
    <x v="21"/>
    <n v="25"/>
    <n v="31"/>
    <n v="5.0999999999999996"/>
    <n v="6.3"/>
    <n v="7.4"/>
    <n v="8.1999999999999993"/>
    <n v="230"/>
    <n v="3504"/>
    <n v="2.8"/>
    <n v="5.8"/>
    <n v="0.3"/>
    <n v="1.56"/>
    <n v="8"/>
    <n v="30"/>
    <n v="85"/>
    <n v="250"/>
    <n v="2"/>
    <n v="14"/>
  </r>
  <r>
    <n v="2187"/>
    <s v="RIVER KRISHNA AT KSHETRA MAHULI, VILLAGE-KSHETRA-MAHULI,TALUKA- MAHULI, DISTRICT- SATARA."/>
    <x v="21"/>
    <n v="23"/>
    <n v="29"/>
    <n v="5.0999999999999996"/>
    <n v="6.3"/>
    <n v="7.9"/>
    <n v="8.5"/>
    <n v="342"/>
    <n v="620"/>
    <n v="2.5"/>
    <n v="5.4"/>
    <n v="0.3"/>
    <n v="3.62"/>
    <n v="9"/>
    <n v="110"/>
    <n v="170"/>
    <n v="425"/>
    <n v="4"/>
    <n v="20"/>
  </r>
  <r>
    <n v="2188"/>
    <s v="RIVER KRISHNA AT KRISHNA- VENNA SANGAM MAHULI ,_x000a_VILLAGE- MAHULI,TALUKA- MAHULI, DISTRICT- SATARA."/>
    <x v="21"/>
    <n v="25"/>
    <n v="30"/>
    <n v="4.7"/>
    <n v="6.4"/>
    <n v="7.1"/>
    <n v="8.1999999999999993"/>
    <n v="293"/>
    <n v="4553"/>
    <n v="3"/>
    <n v="8.4"/>
    <n v="0.3"/>
    <n v="2.88"/>
    <n v="9"/>
    <n v="45"/>
    <n v="150"/>
    <n v="425"/>
    <n v="4"/>
    <n v="17"/>
  </r>
  <r>
    <n v="36"/>
    <s v="RIVER KRISHNA AT OLD KRISHNA BRIDGE, KARAD_x000a_STATION ROAD , KARAD, TALUKA- KARAD, DISTRICT-SATARA."/>
    <x v="21"/>
    <n v="25"/>
    <n v="31.5"/>
    <n v="5.3"/>
    <n v="6.2"/>
    <n v="7.5"/>
    <n v="8.1"/>
    <n v="82"/>
    <n v="2086"/>
    <n v="2.8"/>
    <n v="5.2"/>
    <n v="0.3"/>
    <n v="1.74"/>
    <n v="8"/>
    <n v="30"/>
    <n v="140"/>
    <n v="250"/>
    <n v="4"/>
    <n v="14"/>
  </r>
  <r>
    <n v="1906"/>
    <s v="RIVER KRISHNA AT WALWA, D/S OF ISLAMPUR NEAR_x000a_VITHAL TEMPLE, VILLAGE- WALWA, TALUKA- WALWA,_x000a_DISTRICT- SANGLI."/>
    <x v="21"/>
    <n v="26"/>
    <n v="30"/>
    <n v="5.8"/>
    <n v="7.8"/>
    <n v="7.7"/>
    <n v="8.6999999999999993"/>
    <n v="50"/>
    <n v="4273"/>
    <n v="1.8"/>
    <n v="3"/>
    <n v="0.42"/>
    <n v="3.77"/>
    <n v="5"/>
    <n v="10"/>
    <n v="20"/>
    <n v="48"/>
    <n v="2"/>
    <n v="2"/>
  </r>
  <r>
    <n v="37"/>
    <s v="RIVER KRISHNA AT MAIGHAT, VILLAGE- GAWALI GALLY,_x000a_TALUKA- MIRAJ, DISTRICT- SANGLI."/>
    <x v="21"/>
    <n v="8.1"/>
    <n v="28"/>
    <n v="5.2"/>
    <n v="7.8"/>
    <n v="7.4"/>
    <n v="8.6999999999999993"/>
    <n v="221"/>
    <n v="4394"/>
    <n v="1.8"/>
    <n v="4"/>
    <n v="0.32"/>
    <n v="2.56"/>
    <n v="6"/>
    <n v="10"/>
    <n v="17"/>
    <n v="38"/>
    <n v="2"/>
    <n v="2"/>
  </r>
  <r>
    <n v="30047"/>
    <s v="RIVER KRISHNA AT KURUNDWAD, KOLHAPUR,_x000a_(MAHARASHTRA)"/>
    <x v="21"/>
    <n v="22"/>
    <n v="22"/>
    <n v="5.0999999999999996"/>
    <n v="5.0999999999999996"/>
    <n v="8.1"/>
    <n v="8.1"/>
    <n v="659"/>
    <n v="659"/>
    <n v="5.8"/>
    <n v="5.8"/>
    <n v="1.67"/>
    <n v="1.67"/>
    <n v="17"/>
    <n v="17"/>
    <n v="250"/>
    <n v="250"/>
    <n v="7"/>
    <n v="7"/>
  </r>
  <r>
    <n v="1310"/>
    <s v="RIVER KRISHNA AT KURUNDWAD NEAR SANTAJI_x000a_GHORPADE GHAT, VILLAGE.NARSHINGWADI,_x000a_KURUNDWAD, TALUKA. SHIROL, DISTRICT. KOLHAPUR."/>
    <x v="21"/>
    <n v="24"/>
    <n v="28"/>
    <n v="5.3"/>
    <n v="7.7"/>
    <n v="7.7"/>
    <n v="8.6"/>
    <n v="156"/>
    <n v="735"/>
    <n v="1.8"/>
    <n v="3"/>
    <n v="0.49"/>
    <n v="4.5199999999999996"/>
    <n v="6"/>
    <n v="10"/>
    <n v="24"/>
    <n v="40"/>
    <n v="2"/>
    <n v="2"/>
  </r>
  <r>
    <n v="1153"/>
    <s v="RIVER KRISHNA AT RAJAPUR WEIR, VILLAGE. RAJAPUR,_x000a_TALUKA. SHIROL, DISTRICT. KOLHAPUR."/>
    <x v="21"/>
    <n v="24"/>
    <n v="28"/>
    <n v="5.3"/>
    <n v="7.6"/>
    <n v="7.6"/>
    <n v="8.6"/>
    <n v="157"/>
    <n v="1016"/>
    <n v="1.8"/>
    <n v="3"/>
    <n v="0.57999999999999996"/>
    <n v="3.6"/>
    <n v="6"/>
    <n v="9"/>
    <n v="21"/>
    <n v="46"/>
    <n v="2"/>
    <n v="2"/>
  </r>
  <r>
    <n v="1889"/>
    <s v="RIVER KRISHNA - ANKALI BRIDGE ALONG CHIKKODI_x000a_KAGWAD ROAD"/>
    <x v="26"/>
    <n v="24"/>
    <n v="31"/>
    <n v="6.3"/>
    <n v="8.5"/>
    <n v="6.3"/>
    <n v="9"/>
    <n v="274"/>
    <n v="956"/>
    <n v="1"/>
    <n v="3.9"/>
    <n v="5.61"/>
    <n v="23"/>
    <n v="350"/>
    <n v="920"/>
    <n v="920"/>
    <n v="1600"/>
    <n v="220"/>
    <n v="540"/>
  </r>
  <r>
    <n v="1182"/>
    <s v="RIVER KRISHNA AT U/S OF UGARKHURD BARRAGE"/>
    <x v="26"/>
    <n v="25"/>
    <n v="32"/>
    <n v="6.5"/>
    <n v="8.1"/>
    <n v="6.2"/>
    <n v="8.9"/>
    <n v="210"/>
    <n v="960"/>
    <n v="1"/>
    <n v="3.5"/>
    <n v="5.9"/>
    <n v="19.260000000000002"/>
    <n v="540"/>
    <n v="920"/>
    <n v="920"/>
    <n v="1600"/>
    <n v="240"/>
    <n v="540"/>
  </r>
  <r>
    <n v="2763"/>
    <s v="RIVER KRISHNA AT ASANGI VILLAGE (JAMAKANDI_x000a_VILLAGE)"/>
    <x v="26"/>
    <n v="18"/>
    <n v="21"/>
    <n v="5.9"/>
    <n v="11.7"/>
    <n v="6.3"/>
    <n v="8.8000000000000007"/>
    <n v="260"/>
    <n v="2080"/>
    <n v="1.2"/>
    <n v="17"/>
    <n v="1.36"/>
    <n v="32.35"/>
    <n v="350"/>
    <n v="920"/>
    <n v="920"/>
    <n v="1600"/>
    <n v="170"/>
    <n v="540"/>
  </r>
  <r>
    <n v="5597"/>
    <s v="RIVER KRISHNA AT ALMATTI DAM HAVELI , OLD_x000a_JACKWELL POINT, BAGALKOTE"/>
    <x v="26"/>
    <n v="18"/>
    <n v="21"/>
    <n v="6.4"/>
    <n v="11.8"/>
    <n v="8"/>
    <n v="8.5"/>
    <n v="396"/>
    <n v="948"/>
    <n v="1.1000000000000001"/>
    <n v="2.9"/>
    <n v="2.41"/>
    <n v="24.94"/>
    <n v="540"/>
    <n v="920"/>
    <n v="1600"/>
    <n v="1600"/>
    <n v="240"/>
    <n v="540"/>
  </r>
  <r>
    <n v="2781"/>
    <s v="RIVER KRISHNA AT D/S OF ALAMATTI DAM"/>
    <x v="26"/>
    <n v="28"/>
    <n v="32"/>
    <n v="5.6"/>
    <n v="8.6999999999999993"/>
    <n v="7"/>
    <n v="8.8000000000000007"/>
    <n v="280"/>
    <n v="1378"/>
    <n v="1"/>
    <n v="4.8"/>
    <n v="2"/>
    <n v="17.22"/>
    <n v="350"/>
    <n v="920"/>
    <n v="920"/>
    <n v="1600"/>
    <n v="240"/>
    <n v="540"/>
  </r>
  <r>
    <n v="1181"/>
    <s v="RIVER KRISHNA AT D/S OF NARAYANPURA DAM"/>
    <x v="26"/>
    <n v="28"/>
    <n v="32"/>
    <n v="6.3"/>
    <n v="8.6"/>
    <n v="7"/>
    <n v="8.8000000000000007"/>
    <n v="272"/>
    <n v="1388"/>
    <n v="1"/>
    <n v="4.3"/>
    <n v="1.1200000000000001"/>
    <n v="10.6"/>
    <n v="280"/>
    <n v="1840"/>
    <n v="920"/>
    <n v="3200"/>
    <n v="130"/>
    <n v="1080"/>
  </r>
  <r>
    <n v="1028"/>
    <s v="RIVER KRISHNA AT TINTINI BRIDGE"/>
    <x v="26"/>
    <n v="27"/>
    <n v="32"/>
    <n v="6.7"/>
    <n v="8"/>
    <n v="8.1999999999999993"/>
    <n v="8.6999999999999993"/>
    <n v="685"/>
    <n v="1961"/>
    <n v="2"/>
    <n v="3.2"/>
    <n v="0.5"/>
    <n v="3.6"/>
    <n v="170"/>
    <n v="460"/>
    <n v="920"/>
    <n v="2700"/>
    <m/>
    <m/>
  </r>
  <r>
    <n v="30056"/>
    <s v="RIVER KRISHNA AT DEODURGA (BANGALORE)"/>
    <x v="26"/>
    <n v="25"/>
    <n v="28"/>
    <n v="6.4"/>
    <n v="13.2"/>
    <n v="7.9"/>
    <n v="8.6999999999999993"/>
    <n v="1104"/>
    <n v="2060"/>
    <n v="1"/>
    <n v="1"/>
    <n v="0"/>
    <n v="1.42"/>
    <n v="79"/>
    <n v="2800"/>
    <n v="350"/>
    <n v="16000"/>
    <m/>
    <m/>
  </r>
  <r>
    <n v="1784"/>
    <s v="RIVER KRISHNA AT THANGADI, THANGADI(V),_x000a_KRISHNA(M), NARAYANAPET(D)"/>
    <x v="24"/>
    <n v="25"/>
    <n v="28.2"/>
    <n v="5.2"/>
    <n v="6.2"/>
    <n v="7.4"/>
    <n v="8.3000000000000007"/>
    <n v="312"/>
    <n v="1293"/>
    <n v="1.2"/>
    <n v="2.8"/>
    <n v="0.3"/>
    <n v="6"/>
    <n v="2"/>
    <n v="2"/>
    <n v="13"/>
    <n v="58"/>
    <n v="2"/>
    <n v="2"/>
  </r>
  <r>
    <n v="1170"/>
    <s v="RIVER KRISHNA AT D/S OF DEVASAGAR BDG."/>
    <x v="26"/>
    <n v="24"/>
    <n v="32"/>
    <n v="6.5"/>
    <n v="8.5"/>
    <n v="8.1"/>
    <n v="8.6"/>
    <n v="894"/>
    <n v="1750"/>
    <n v="2.2000000000000002"/>
    <n v="3.5"/>
    <n v="0.45"/>
    <n v="9.68"/>
    <n v="220"/>
    <n v="580"/>
    <n v="920"/>
    <n v="2800"/>
    <m/>
    <m/>
  </r>
  <r>
    <n v="39"/>
    <s v="RIVER KRISHNA AT GADWAL BRIDGE,NADHI_x000a_AGRAHARAM, GADWAL(MUNCI.), JOGULAMBA_x000a_GADWAL(D)"/>
    <x v="24"/>
    <n v="24"/>
    <n v="28.4"/>
    <n v="5.0999999999999996"/>
    <n v="6.2"/>
    <n v="7.3"/>
    <n v="8.4"/>
    <n v="344"/>
    <n v="1792"/>
    <n v="1.2"/>
    <n v="3.6"/>
    <n v="0.4"/>
    <n v="6"/>
    <n v="2"/>
    <n v="2"/>
    <n v="21"/>
    <n v="70"/>
    <n v="2"/>
    <n v="2"/>
  </r>
  <r>
    <n v="4225"/>
    <s v="RIVER KRISHNA AT JOGULAMBA TEMPLE,_x000a_ALAMPUR(V&amp;M), JOGULAMBA GADWAL(D)"/>
    <x v="24"/>
    <n v="25"/>
    <n v="28.9"/>
    <n v="4.4000000000000004"/>
    <n v="6.2"/>
    <n v="7"/>
    <n v="8.3000000000000007"/>
    <n v="512"/>
    <n v="1692"/>
    <n v="1.4"/>
    <n v="3.2"/>
    <n v="0.4"/>
    <n v="12"/>
    <n v="2"/>
    <n v="10"/>
    <n v="21"/>
    <n v="170"/>
    <n v="2"/>
    <n v="2"/>
  </r>
  <r>
    <n v="1175"/>
    <s v="RIVER KRISHNA A/C WITH TUNGABHADRA,_x000a_SANGAMESHWARAM (V), KOTTAPALLE (M)"/>
    <x v="25"/>
    <n v="20"/>
    <n v="28"/>
    <n v="5.3"/>
    <n v="6.2"/>
    <n v="6.9"/>
    <n v="8.1999999999999993"/>
    <n v="531"/>
    <n v="1714"/>
    <n v="1"/>
    <n v="2"/>
    <n v="0.35"/>
    <n v="0.94"/>
    <n v="102"/>
    <n v="303"/>
    <n v="549"/>
    <n v="1046"/>
    <m/>
    <m/>
  </r>
  <r>
    <n v="3083"/>
    <s v="RIVER KRISHNA D/S OF SRISHAILAM, SRISHAILAM"/>
    <x v="25"/>
    <n v="19"/>
    <n v="29"/>
    <n v="5.3"/>
    <n v="6.2"/>
    <n v="6.9"/>
    <n v="8"/>
    <n v="580"/>
    <n v="842"/>
    <n v="1"/>
    <n v="1.7"/>
    <n v="0.34"/>
    <n v="1.31"/>
    <n v="152"/>
    <n v="343"/>
    <n v="479"/>
    <n v="921"/>
    <m/>
    <m/>
  </r>
  <r>
    <n v="5108"/>
    <s v="RIVER KRISHNA BEFORE CONFLUENCE OF RIVER MUSI_x000a_AT WADAPALLY (V), DAMARACHARLA (M), NALGONDA_x000a_(D)"/>
    <x v="24"/>
    <n v="17"/>
    <n v="24"/>
    <n v="6.2"/>
    <n v="7.6"/>
    <n v="6.8"/>
    <n v="8.4"/>
    <n v="852"/>
    <n v="1281"/>
    <n v="2.2000000000000002"/>
    <n v="3.4"/>
    <n v="14.12"/>
    <n v="35.15"/>
    <n v="6"/>
    <n v="6"/>
    <n v="33"/>
    <n v="41"/>
    <n v="4"/>
    <n v="5"/>
  </r>
  <r>
    <n v="1465"/>
    <s v="RIVER KRISHNA - CONFLUENCE OF RIVER KRISHNA &amp;_x000a_RIVER MUSI AT WADAPALLY (V), DAMARCHARLA (M),_x000a_NALGONDA DISTRICT"/>
    <x v="24"/>
    <n v="17"/>
    <n v="25"/>
    <n v="5.4"/>
    <n v="7.2"/>
    <n v="7.2"/>
    <n v="8.6"/>
    <n v="1010"/>
    <n v="1311"/>
    <n v="2.1"/>
    <n v="4.0999999999999996"/>
    <n v="15.22"/>
    <n v="35.229999999999997"/>
    <n v="8"/>
    <n v="9"/>
    <n v="27"/>
    <n v="39"/>
    <n v="6"/>
    <n v="6"/>
  </r>
  <r>
    <n v="4381"/>
    <s v="RIVER KRISHNA AFTER CONFLUENCE WITH RIVER MUSI_x000a_AT VADAPALLI (V), DACHEPALLI (M) BETWEEN ANDHRA_x000a_PRADESH &amp; TELANGANA STATES"/>
    <x v="25"/>
    <n v="23"/>
    <n v="25"/>
    <n v="6.9"/>
    <n v="7.6"/>
    <n v="7.2"/>
    <n v="8.1"/>
    <n v="621"/>
    <n v="998"/>
    <n v="2.6"/>
    <n v="2.9"/>
    <n v="1.27"/>
    <n v="1.86"/>
    <n v="4"/>
    <n v="39"/>
    <n v="43"/>
    <n v="470"/>
    <n v="2"/>
    <n v="3"/>
  </r>
  <r>
    <n v="5109"/>
    <s v="RIVER KRISHNA AFTER CONFLUENCE OF RIVER MUSI_x000a_AT WADAPALLY (V), DAMARACHARLA (M), NALGONDA(D)"/>
    <x v="24"/>
    <n v="18"/>
    <n v="25"/>
    <n v="6"/>
    <n v="7.9"/>
    <n v="7.3"/>
    <n v="8.4"/>
    <n v="926"/>
    <n v="1296"/>
    <n v="2.2000000000000002"/>
    <n v="16"/>
    <n v="15.15"/>
    <n v="41.13"/>
    <n v="6"/>
    <n v="6"/>
    <n v="33"/>
    <n v="43"/>
    <n v="4"/>
    <n v="4"/>
  </r>
  <r>
    <n v="4663"/>
    <s v="RIVER KRISHNA AT MATTEPALLY, 500 MTS. BEFORE_x000a_BATHING GHAT, SURYAPET"/>
    <x v="24"/>
    <n v="18"/>
    <n v="24"/>
    <n v="5.9"/>
    <n v="7.2"/>
    <n v="7"/>
    <n v="8.5"/>
    <n v="834"/>
    <n v="1319"/>
    <n v="2.2000000000000002"/>
    <n v="3.9"/>
    <n v="16.16"/>
    <n v="44.27"/>
    <n v="6"/>
    <n v="7"/>
    <n v="34"/>
    <n v="43"/>
    <n v="4"/>
    <n v="5"/>
  </r>
  <r>
    <n v="5110"/>
    <s v="RIVER KRISHNA AT PULICHINTALA RESERVOIR AT_x000a_CHINTHALAPALEM (V&amp;M), SURYAPET (D)"/>
    <x v="24"/>
    <n v="19"/>
    <n v="24"/>
    <n v="5.8"/>
    <n v="7"/>
    <n v="7"/>
    <n v="8.6"/>
    <n v="862"/>
    <n v="1357"/>
    <n v="2"/>
    <n v="3"/>
    <n v="8.16"/>
    <n v="33.17"/>
    <n v="4"/>
    <n v="5"/>
    <n v="31"/>
    <n v="41"/>
    <n v="2"/>
    <n v="2"/>
  </r>
  <r>
    <n v="1786"/>
    <s v="RIVER KRISHNA AT VEDADRI (V), JAGGAYYAPETA (M)"/>
    <x v="25"/>
    <n v="25"/>
    <n v="27"/>
    <n v="7.1"/>
    <n v="7.7"/>
    <n v="7.2"/>
    <n v="8.1999999999999993"/>
    <n v="772"/>
    <n v="950"/>
    <n v="2.4"/>
    <n v="2.8"/>
    <n v="1.05"/>
    <n v="1.76"/>
    <n v="4"/>
    <n v="28"/>
    <n v="64"/>
    <n v="470"/>
    <n v="2"/>
    <n v="4"/>
  </r>
  <r>
    <n v="1787"/>
    <s v="RIVER KRISHNA AT AMARAVATI, AMARAVATI (V &amp; M)"/>
    <x v="25"/>
    <n v="22"/>
    <n v="25"/>
    <n v="6.9"/>
    <n v="7.7"/>
    <n v="7.3"/>
    <n v="8.1"/>
    <n v="664"/>
    <n v="882"/>
    <n v="2.2999999999999998"/>
    <n v="2.9"/>
    <n v="1.05"/>
    <n v="1.65"/>
    <n v="7"/>
    <n v="39"/>
    <n v="75"/>
    <n v="460"/>
    <n v="2"/>
    <n v="4"/>
  </r>
  <r>
    <n v="4375"/>
    <s v="RIVER KRISHNA, PAVITHRA SANGAMAM, AFTER_x000a_CONFLUENCE WITH RIVER GODAVARI WATER, FERRY_x000a_(V), IBRAHIMPATNAM (M)"/>
    <x v="25"/>
    <n v="24"/>
    <n v="25"/>
    <n v="7.1"/>
    <n v="7.6"/>
    <n v="7.2"/>
    <n v="8.1"/>
    <n v="406"/>
    <n v="830"/>
    <n v="2.2000000000000002"/>
    <n v="2.8"/>
    <n v="0.86"/>
    <n v="1.64"/>
    <n v="4"/>
    <n v="14"/>
    <n v="43"/>
    <n v="470"/>
    <n v="2"/>
    <n v="3"/>
  </r>
  <r>
    <n v="25"/>
    <s v="RIVER KRISHNA AT VIJAYWADA TOWN"/>
    <x v="25"/>
    <n v="24"/>
    <n v="24"/>
    <n v="7.1"/>
    <n v="7.8"/>
    <n v="7.2"/>
    <n v="8.1"/>
    <n v="520"/>
    <n v="788"/>
    <n v="2.4"/>
    <n v="2.8"/>
    <n v="0.64"/>
    <n v="1.26"/>
    <n v="4"/>
    <n v="15"/>
    <n v="64"/>
    <n v="470"/>
    <n v="2"/>
    <n v="3"/>
  </r>
  <r>
    <n v="3079"/>
    <s v="WITH TREATED SEWAGE DISCHARGING FROM 10MLD"/>
    <x v="27"/>
    <n v="25"/>
    <n v="25"/>
    <n v="7.2"/>
    <n v="7.2"/>
    <n v="7.8"/>
    <n v="7.8"/>
    <n v="796"/>
    <n v="796"/>
    <n v="2.8"/>
    <n v="2.8"/>
    <n v="1.44"/>
    <n v="1.44"/>
    <n v="11"/>
    <n v="11"/>
    <n v="75"/>
    <n v="75"/>
    <n v="2"/>
    <n v="2"/>
  </r>
  <r>
    <n v="1782"/>
    <s v="RIVER KRISHNA AT HAMSALADEEVI PULIGADDA"/>
    <x v="27"/>
    <n v="25"/>
    <n v="28"/>
    <n v="6.1"/>
    <n v="6.9"/>
    <n v="7.6"/>
    <n v="8.1999999999999993"/>
    <n v="7770"/>
    <n v="27420"/>
    <n v="2.6"/>
    <n v="2.8"/>
    <n v="0.83"/>
    <n v="1.27"/>
    <n v="4"/>
    <n v="11"/>
    <n v="43"/>
    <n v="380"/>
    <n v="2"/>
    <n v="2"/>
  </r>
  <r>
    <n v="1463"/>
    <s v="RIVER NIRA AT SAROLA BRIDGE, VILLAGE- SAROLA,_x000a_TALUKA-BHOR, DISTRICT- PUNE."/>
    <x v="21"/>
    <n v="27"/>
    <n v="30"/>
    <n v="4.9000000000000004"/>
    <n v="6.5"/>
    <n v="7.7"/>
    <n v="8.5"/>
    <n v="128"/>
    <n v="1577"/>
    <n v="2.2000000000000002"/>
    <n v="7.2"/>
    <n v="0.3"/>
    <n v="3.48"/>
    <n v="7"/>
    <n v="65"/>
    <n v="115"/>
    <n v="425"/>
    <n v="2"/>
    <n v="14"/>
  </r>
  <r>
    <n v="2683"/>
    <s v="RIVER NIRA AT SHINDEWADI, VILLAGE- SHIRVAL,_x000a_TALUKA- KHANDALA, DISTRICT- SATARA."/>
    <x v="21"/>
    <n v="25"/>
    <n v="30"/>
    <n v="5.4"/>
    <n v="6.4"/>
    <n v="7.3"/>
    <n v="8.6"/>
    <n v="75"/>
    <n v="264"/>
    <n v="3"/>
    <n v="4.5"/>
    <n v="0.3"/>
    <n v="2.0499999999999998"/>
    <n v="7"/>
    <n v="25"/>
    <n v="75"/>
    <n v="250"/>
    <n v="2"/>
    <n v="9"/>
  </r>
  <r>
    <n v="2682"/>
    <s v="RIVER NIRA AT U/S OF JUBILANT ORGANOSIS, VILLAGE-NIRA (DATTAGHAT),TALUKA- BARAMATI, DISTRICT-PUNE."/>
    <x v="21"/>
    <n v="26"/>
    <n v="30"/>
    <n v="5.3"/>
    <n v="6.2"/>
    <n v="7.9"/>
    <n v="8.5"/>
    <n v="483"/>
    <n v="944"/>
    <n v="3"/>
    <n v="6.2"/>
    <n v="0.3"/>
    <n v="3.38"/>
    <n v="7"/>
    <n v="65"/>
    <n v="120"/>
    <n v="275"/>
    <n v="2"/>
    <n v="13"/>
  </r>
  <r>
    <n v="2195"/>
    <s v="RIVER NIRA AT D/S OF JUBILANT ORGANOSIS, VILLAGE-NIMBUT, TALUKA- BARAMATI, DISTRICT- PUNE."/>
    <x v="21"/>
    <n v="26"/>
    <n v="30"/>
    <n v="4.9000000000000004"/>
    <n v="5.8"/>
    <n v="7.3"/>
    <n v="8.4"/>
    <n v="621"/>
    <n v="1273"/>
    <n v="3.8"/>
    <n v="7.5"/>
    <n v="0.3"/>
    <n v="4.88"/>
    <n v="7"/>
    <n v="120"/>
    <n v="150"/>
    <n v="900"/>
    <n v="2"/>
    <n v="25"/>
  </r>
  <r>
    <n v="2681"/>
    <s v="RIVER NIRA AT SANGAVI, VILLAGE- SANGAVI, TALUKA-PHALTAN, DISTRICT- SATARA."/>
    <x v="21"/>
    <n v="25"/>
    <n v="32"/>
    <n v="4.3"/>
    <n v="5.6"/>
    <n v="8"/>
    <n v="8.4"/>
    <n v="1567"/>
    <n v="6941"/>
    <n v="4.4000000000000004"/>
    <n v="14"/>
    <n v="0.3"/>
    <n v="2.54"/>
    <n v="9"/>
    <n v="110"/>
    <n v="130"/>
    <n v="550"/>
    <n v="4"/>
    <n v="25"/>
  </r>
  <r>
    <n v="2716"/>
    <s v="RIVER VENNA AT MAHABALESHWAR, VILLAGE._x000a_MAHABALESHWAR, TALUKA. MAHABALESHWAR,_x000a_DISTRICT. SATARA."/>
    <x v="21"/>
    <n v="20"/>
    <n v="32"/>
    <n v="5.7"/>
    <n v="6.6"/>
    <n v="6.6"/>
    <n v="8.3000000000000007"/>
    <n v="42"/>
    <n v="686"/>
    <n v="2.2000000000000002"/>
    <n v="3.6"/>
    <n v="0.3"/>
    <n v="2.11"/>
    <n v="7"/>
    <n v="30"/>
    <n v="95"/>
    <n v="250"/>
    <n v="2"/>
    <n v="8"/>
  </r>
  <r>
    <n v="2186"/>
    <s v="RIVER VENNA AT VARYE, VILLAGE - VARYE,TALUKA-SATARA, DISTRICT- SATARA."/>
    <x v="21"/>
    <n v="23"/>
    <n v="31"/>
    <n v="5.3"/>
    <n v="6.4"/>
    <n v="7.6"/>
    <n v="8.3000000000000007"/>
    <n v="177"/>
    <n v="445"/>
    <n v="2.6"/>
    <n v="5"/>
    <n v="0.3"/>
    <n v="1.96"/>
    <n v="7"/>
    <n v="30"/>
    <n v="85"/>
    <n v="225"/>
    <n v="2"/>
    <n v="11"/>
  </r>
  <r>
    <n v="2717"/>
    <s v="RIVER VENNA AT MAHULI, VILLAGE- MAHULI, TALUKA-MAHULI, DISTRICT- SATARA."/>
    <x v="21"/>
    <n v="23"/>
    <n v="30"/>
    <n v="4.8"/>
    <n v="6.2"/>
    <n v="7.4"/>
    <n v="8.1999999999999993"/>
    <n v="206"/>
    <n v="553"/>
    <n v="2.8"/>
    <n v="6.4"/>
    <n v="0.3"/>
    <n v="2.82"/>
    <n v="8"/>
    <n v="65"/>
    <n v="95"/>
    <n v="350"/>
    <n v="4"/>
    <n v="13"/>
  </r>
  <r>
    <n v="4253"/>
    <s v="RIVER MUSI AT BAPUGHAT SANGAM, HYDERABAD"/>
    <x v="24"/>
    <n v="25"/>
    <n v="29"/>
    <n v="0.3"/>
    <n v="3"/>
    <n v="6.8"/>
    <n v="7.9"/>
    <n v="384"/>
    <n v="1526"/>
    <n v="2.2000000000000002"/>
    <n v="14"/>
    <n v="2.08"/>
    <n v="8.1999999999999993"/>
    <n v="4"/>
    <n v="350"/>
    <n v="280"/>
    <n v="920"/>
    <n v="2"/>
    <n v="6"/>
  </r>
  <r>
    <n v="4656"/>
    <s v="RIVER MUSI AT MOOSARAMBAGH BRIDGE, HYDERABAD"/>
    <x v="24"/>
    <n v="24"/>
    <n v="27.8"/>
    <n v="0.3"/>
    <n v="1.1000000000000001"/>
    <n v="6.8"/>
    <n v="7.6"/>
    <n v="784"/>
    <n v="1474"/>
    <n v="5.2"/>
    <n v="14"/>
    <n v="3.4"/>
    <n v="9.1999999999999993"/>
    <n v="8"/>
    <n v="63"/>
    <n v="430"/>
    <n v="920"/>
    <n v="2"/>
    <n v="7"/>
  </r>
  <r>
    <n v="2339"/>
    <s v="RIVER MUSI AT NAGOLE, RANGA REDDY"/>
    <x v="24"/>
    <n v="24"/>
    <n v="28"/>
    <n v="0.3"/>
    <n v="0.3"/>
    <n v="6.9"/>
    <n v="7.8"/>
    <n v="1027"/>
    <n v="1621"/>
    <n v="6"/>
    <n v="15"/>
    <n v="3.2"/>
    <n v="9"/>
    <n v="6"/>
    <n v="58"/>
    <n v="350"/>
    <n v="920"/>
    <n v="2"/>
    <n v="12"/>
  </r>
  <r>
    <n v="4659"/>
    <s v="RIVER MUSI - OUTLET OF NALLA CHERUVU,_x000a_PEERAJADIGUDA, RANGAREDDY"/>
    <x v="24"/>
    <n v="24"/>
    <n v="28.9"/>
    <n v="0.3"/>
    <n v="0.3"/>
    <n v="7"/>
    <n v="7.9"/>
    <n v="1040"/>
    <n v="1794"/>
    <n v="6"/>
    <n v="16"/>
    <n v="3"/>
    <n v="12.5"/>
    <n v="11"/>
    <n v="48"/>
    <n v="350"/>
    <n v="920"/>
    <n v="2"/>
    <n v="21"/>
  </r>
  <r>
    <n v="4660"/>
    <s v="RIVER MUSI AT PEERAJADIGUDA, RANGA REDDY"/>
    <x v="24"/>
    <n v="24"/>
    <n v="29"/>
    <n v="0.3"/>
    <n v="0.8"/>
    <n v="7"/>
    <n v="7.4"/>
    <n v="1022"/>
    <n v="1502"/>
    <n v="5.8"/>
    <n v="14"/>
    <n v="3"/>
    <n v="10.8"/>
    <n v="14"/>
    <n v="48"/>
    <n v="350"/>
    <n v="1600"/>
    <n v="2"/>
    <n v="12"/>
  </r>
  <r>
    <n v="1173"/>
    <s v="RIVER MUSI - D/S AT PRATAPASINGARAM ,_x000a_SHAMSHABAD"/>
    <x v="24"/>
    <n v="24"/>
    <n v="28"/>
    <n v="0.3"/>
    <n v="1.2"/>
    <n v="6.8"/>
    <n v="7.7"/>
    <n v="1005"/>
    <n v="1488"/>
    <n v="5.2"/>
    <n v="16"/>
    <n v="2.6"/>
    <n v="13.6"/>
    <n v="11"/>
    <n v="84"/>
    <n v="350"/>
    <n v="920"/>
    <n v="4"/>
    <n v="14"/>
  </r>
  <r>
    <n v="4657"/>
    <s v="RIVER MUSI AT PILLAIPALLI, RANGAREDDY"/>
    <x v="24"/>
    <n v="24"/>
    <n v="27.2"/>
    <n v="0.3"/>
    <n v="3.2"/>
    <n v="7"/>
    <n v="7.5"/>
    <n v="998"/>
    <n v="1504"/>
    <n v="4"/>
    <n v="6"/>
    <n v="2.6"/>
    <n v="11.84"/>
    <n v="11"/>
    <n v="70"/>
    <n v="350"/>
    <n v="1600"/>
    <n v="2"/>
    <n v="15"/>
  </r>
  <r>
    <n v="4254"/>
    <s v="RIVER MUSI AT RUDRAVELLY BRIDGE,YADADRI"/>
    <x v="24"/>
    <n v="18"/>
    <n v="23"/>
    <n v="5.9"/>
    <n v="7"/>
    <n v="6.8"/>
    <n v="8.1999999999999993"/>
    <n v="1025"/>
    <n v="1832"/>
    <n v="2.1"/>
    <n v="6.1"/>
    <n v="23.15"/>
    <n v="38.159999999999997"/>
    <n v="7"/>
    <n v="8"/>
    <n v="70"/>
    <n v="92"/>
    <n v="5"/>
    <n v="6"/>
  </r>
  <r>
    <n v="4658"/>
    <s v="RIVER MUSI AT VALIGONDA BRIDGE, NALGONDA DIST"/>
    <x v="24"/>
    <n v="18"/>
    <n v="23"/>
    <n v="5.9"/>
    <n v="7.6"/>
    <n v="6.7"/>
    <n v="8.3000000000000007"/>
    <n v="1159"/>
    <n v="1802"/>
    <n v="2"/>
    <n v="5.8"/>
    <n v="20.149999999999999"/>
    <n v="43.15"/>
    <n v="8"/>
    <n v="9"/>
    <n v="79"/>
    <n v="110"/>
    <n v="6"/>
    <n v="6"/>
  </r>
  <r>
    <n v="3082"/>
    <s v="RIVER MUSI AT SOLIPET (KASANIGUDA), NALGONDA"/>
    <x v="24"/>
    <n v="18"/>
    <n v="25"/>
    <n v="6.3"/>
    <n v="7.6"/>
    <n v="7.4"/>
    <n v="8.5"/>
    <n v="1101"/>
    <n v="1724"/>
    <n v="2"/>
    <n v="4.7"/>
    <n v="16.079999999999998"/>
    <n v="35.08"/>
    <n v="7"/>
    <n v="8"/>
    <n v="49"/>
    <n v="70"/>
    <n v="5"/>
    <n v="6"/>
  </r>
  <r>
    <n v="5106"/>
    <s v="RIVER MUSI AT BHEEMARAM BRIDGE, BHEEMARAM (V),_x000a_KETHEPALLY (M), NALGONDA (D)"/>
    <x v="24"/>
    <n v="19"/>
    <n v="24"/>
    <n v="5.4"/>
    <n v="7.5"/>
    <n v="7.5"/>
    <n v="8.5"/>
    <n v="1154"/>
    <n v="2245"/>
    <n v="2.2000000000000002"/>
    <n v="3.6"/>
    <n v="18.21"/>
    <n v="38.15"/>
    <n v="5"/>
    <n v="6"/>
    <n v="33"/>
    <n v="41"/>
    <n v="4"/>
    <n v="4"/>
  </r>
  <r>
    <n v="5107"/>
    <s v="RIVER MUSI BEFORE CONFLUENCE OF RIVER KRISHNA_x000a_AT WADAPALLY (V), DAMARACHARLA (M), NALGONDA(D)"/>
    <x v="24"/>
    <n v="18"/>
    <n v="24"/>
    <n v="6"/>
    <n v="7.2"/>
    <n v="7.3"/>
    <n v="8.6"/>
    <n v="1121"/>
    <n v="1648"/>
    <n v="2.2999999999999998"/>
    <n v="3.1"/>
    <n v="10.1"/>
    <n v="28.13"/>
    <n v="6"/>
    <n v="8"/>
    <n v="39"/>
    <n v="44"/>
    <n v="6"/>
    <n v="7"/>
  </r>
  <r>
    <n v="1189"/>
    <s v="RIVER BHIMA AT PUNE (MUTHA RIVER) AT U/S OF_x000a_VITHALWADI NEAR SHANKAR MANDIR, VILLAGE._x000a_VITHALWADI, TALUKA. HAWELI, DISTRICT. PUNE."/>
    <x v="21"/>
    <n v="27.5"/>
    <n v="29"/>
    <n v="2.9"/>
    <n v="4.0999999999999996"/>
    <n v="7.1"/>
    <n v="7.9"/>
    <n v="499"/>
    <n v="693"/>
    <n v="17.899999999999999"/>
    <n v="27"/>
    <n v="0.3"/>
    <n v="4.9000000000000004"/>
    <n v="10"/>
    <n v="225"/>
    <n v="275"/>
    <n v="1800"/>
    <n v="6"/>
    <n v="40"/>
  </r>
  <r>
    <n v="1190"/>
    <s v="RIVER BHIMA AT D/S OF BUNDGARDEN, VILLAGE_x000a_YERWADA, TALUKA. HAWELI, DISTRICT. PUNE."/>
    <x v="21"/>
    <n v="27"/>
    <n v="29"/>
    <n v="3.3"/>
    <n v="4.5"/>
    <n v="6.9"/>
    <n v="7.8"/>
    <n v="339"/>
    <n v="683"/>
    <n v="10.4"/>
    <n v="23"/>
    <n v="0"/>
    <n v="3.45"/>
    <n v="25"/>
    <n v="250"/>
    <n v="425"/>
    <n v="1800"/>
    <n v="9"/>
    <n v="25"/>
  </r>
  <r>
    <n v="2655"/>
    <s v="RIVER BHIMA AT KOREGAON NEAR KOREGAON BRIDGE,_x000a_VILLAGE- KOREGAON,TALUKA- SHIRUR, DISTRICT-PUNE."/>
    <x v="21"/>
    <n v="26"/>
    <n v="29"/>
    <n v="5"/>
    <n v="6.2"/>
    <n v="7.4"/>
    <n v="8.3000000000000007"/>
    <n v="210"/>
    <n v="726"/>
    <n v="3"/>
    <n v="5.4"/>
    <n v="0.3"/>
    <n v="5.4"/>
    <n v="9"/>
    <n v="45"/>
    <n v="200"/>
    <n v="550"/>
    <n v="3"/>
    <n v="17"/>
  </r>
  <r>
    <n v="1191"/>
    <s v="RIVER BHIMA AFTER CONFLUENCE WITH MULA-MUTHA_x000a_AT PARGAON NEAR VASANT BANDARA,VILLAGE-PARGAON,TALUKA- DAUND, DISTRICT- PUNE."/>
    <x v="21"/>
    <n v="27"/>
    <n v="29"/>
    <n v="4.2"/>
    <n v="5.8"/>
    <n v="7.4"/>
    <n v="8"/>
    <n v="347"/>
    <n v="1603"/>
    <n v="4"/>
    <n v="10.9"/>
    <n v="0.3"/>
    <n v="11.12"/>
    <n v="8"/>
    <n v="200"/>
    <n v="110"/>
    <n v="900"/>
    <n v="4"/>
    <n v="25"/>
  </r>
  <r>
    <n v="1192"/>
    <s v="RIVER BHIMA AT DAUND NEAR MAHADEV_x000a_TEMPLE,VILLAGE- DAUND, TALUKA- DAUND, DISTRICT-PUNE."/>
    <x v="21"/>
    <n v="27"/>
    <n v="30"/>
    <n v="4.5"/>
    <n v="5.8"/>
    <n v="7.5"/>
    <n v="8.1"/>
    <n v="349"/>
    <n v="1621"/>
    <n v="3.4"/>
    <n v="8.5"/>
    <n v="0.3"/>
    <n v="10.78"/>
    <n v="10"/>
    <n v="115"/>
    <n v="95"/>
    <n v="900"/>
    <n v="2"/>
    <n v="20"/>
  </r>
  <r>
    <n v="2656"/>
    <s v="RIVER BHIMA BACKWATER OF UJANI DAM, NEAR RAW_x000a_WATER PUMP HOUSE, VILLAGE- KUMBARGAON,_x000a_TALUKA- INDAPUR, DISTRICT- PUNE."/>
    <x v="21"/>
    <n v="27"/>
    <n v="30"/>
    <n v="4.9000000000000004"/>
    <n v="6.2"/>
    <n v="7.4"/>
    <n v="8.3000000000000007"/>
    <n v="332"/>
    <n v="967"/>
    <n v="2.8"/>
    <n v="7.5"/>
    <n v="0.3"/>
    <n v="5.09"/>
    <n v="7"/>
    <n v="85"/>
    <n v="170"/>
    <n v="350"/>
    <n v="2"/>
    <n v="14"/>
  </r>
  <r>
    <n v="1188"/>
    <s v="RIVER BHIMA AT NARSINGPUR NEAR SANGAM BRIDGE_x000a_AFTER CONFLUENCE WITH NIRA, VILLAGE-NARSINGPUR, TALUKA-MALSHIRAS, DISTRICT-SOLAPUR."/>
    <x v="21"/>
    <n v="29"/>
    <n v="36"/>
    <n v="5.3"/>
    <n v="6.4"/>
    <n v="8"/>
    <n v="8.4"/>
    <n v="722"/>
    <n v="6664"/>
    <n v="3.2"/>
    <n v="7.6"/>
    <n v="0.3"/>
    <n v="2.77"/>
    <n v="7"/>
    <n v="120"/>
    <n v="75"/>
    <n v="425"/>
    <n v="2"/>
    <n v="25"/>
  </r>
  <r>
    <n v="30046"/>
    <s v="RIVER BHIMA AT TAKLI, SOLAPUR, (MAHARASHTRA)"/>
    <x v="21"/>
    <n v="22"/>
    <n v="22"/>
    <n v="4.9000000000000004"/>
    <n v="4.9000000000000004"/>
    <n v="8.3000000000000007"/>
    <n v="8.3000000000000007"/>
    <n v="1656"/>
    <n v="1656"/>
    <n v="7.8"/>
    <n v="7.8"/>
    <n v="1.1100000000000001"/>
    <n v="1.1100000000000001"/>
    <n v="45"/>
    <n v="45"/>
    <n v="350"/>
    <n v="350"/>
    <n v="17"/>
    <n v="17"/>
  </r>
  <r>
    <n v="28"/>
    <s v="RIVER BHIMA AT TAKLI NEAR KARNATAKA BORDER,_x000a_VILLAGE- TAKALI, TALUKA- SOUTH SOLAPUR, DISTRICT-SOLAPUR."/>
    <x v="21"/>
    <n v="29"/>
    <n v="36"/>
    <n v="4.4000000000000004"/>
    <n v="6.3"/>
    <n v="7.8"/>
    <n v="8.4"/>
    <n v="950"/>
    <n v="2383"/>
    <n v="2.5"/>
    <n v="10.4"/>
    <n v="0.3"/>
    <n v="2.23"/>
    <n v="6"/>
    <n v="45"/>
    <n v="80"/>
    <n v="550"/>
    <n v="2"/>
    <n v="14"/>
  </r>
  <r>
    <n v="5582"/>
    <s v="RIVER BHIMA DOWNSTREAM, DHULKED VILL"/>
    <x v="26"/>
    <n v="29"/>
    <n v="29"/>
    <n v="6"/>
    <n v="10"/>
    <n v="7"/>
    <n v="8.5"/>
    <n v="826"/>
    <n v="1620"/>
    <n v="1.2"/>
    <n v="2.9"/>
    <n v="2.27"/>
    <n v="8.15"/>
    <n v="540"/>
    <n v="920"/>
    <n v="1600"/>
    <n v="1600"/>
    <n v="280"/>
    <n v="540"/>
  </r>
  <r>
    <n v="1183"/>
    <s v="RIVER BHIMA AT D/S OF ROAD BRIDGE AT GANGAPUR_x000a_VILLAGE"/>
    <x v="26"/>
    <n v="25"/>
    <n v="31"/>
    <n v="6"/>
    <n v="8.6"/>
    <n v="7.4"/>
    <n v="8.5"/>
    <n v="1050"/>
    <n v="2010"/>
    <n v="3"/>
    <n v="8"/>
    <n v="0.48"/>
    <n v="3.51"/>
    <n v="230"/>
    <n v="260000"/>
    <n v="1600"/>
    <n v="280000"/>
    <m/>
    <m/>
  </r>
  <r>
    <n v="1184"/>
    <s v="RIVER BHIMA AT FEROZABAD VILLAGE (D/S)"/>
    <x v="26"/>
    <n v="24"/>
    <n v="32"/>
    <n v="6.5"/>
    <n v="11.6"/>
    <n v="7.7"/>
    <n v="8.8000000000000007"/>
    <n v="880"/>
    <n v="1295"/>
    <n v="2"/>
    <n v="4"/>
    <n v="0.51"/>
    <n v="67"/>
    <n v="140"/>
    <n v="23000"/>
    <n v="1100"/>
    <n v="350000"/>
    <m/>
    <m/>
  </r>
  <r>
    <n v="1888"/>
    <s v="RIVER BHIMA AT CONFLUENCE OF JEWARGI TOWN_x000a_SEWAGE DISPOSAL POINT"/>
    <x v="26"/>
    <n v="24"/>
    <n v="32"/>
    <n v="5.6"/>
    <n v="12"/>
    <n v="7.7"/>
    <n v="8.6"/>
    <n v="818"/>
    <n v="1278"/>
    <n v="2"/>
    <n v="3.3"/>
    <n v="0.46"/>
    <n v="6.9"/>
    <n v="20"/>
    <n v="700"/>
    <n v="350"/>
    <n v="5400"/>
    <m/>
    <m/>
  </r>
  <r>
    <n v="30057"/>
    <s v="RIVER BHIMA AT GANGAPUR (BANGALORE)"/>
    <x v="26"/>
    <n v="24"/>
    <n v="28"/>
    <n v="7.1"/>
    <n v="8.6999999999999993"/>
    <n v="8.1"/>
    <n v="8.6"/>
    <n v="1270"/>
    <n v="2198"/>
    <n v="4"/>
    <n v="6.7"/>
    <n v="0"/>
    <n v="3.72"/>
    <n v="790"/>
    <n v="2200"/>
    <n v="4900"/>
    <n v="9200"/>
    <m/>
    <m/>
  </r>
  <r>
    <n v="1167"/>
    <s v="RIVER BHIMA AT D/S OF BDG. NEAR YADGIR"/>
    <x v="26"/>
    <n v="26"/>
    <n v="34"/>
    <n v="7"/>
    <n v="8"/>
    <n v="8.1"/>
    <n v="8.5"/>
    <n v="390"/>
    <n v="1473"/>
    <n v="2"/>
    <n v="3"/>
    <n v="0.35"/>
    <n v="11.56"/>
    <n v="33"/>
    <n v="490"/>
    <n v="280"/>
    <n v="2800"/>
    <m/>
    <m/>
  </r>
  <r>
    <n v="5158"/>
    <s v="RIVER HUNDRI AT GAJULADINNE RESERVOIR_x000a_GAJULADINNE (V),GONEGANDLA (M)"/>
    <x v="25"/>
    <n v="21"/>
    <n v="29"/>
    <n v="5.5"/>
    <n v="6.2"/>
    <n v="6.9"/>
    <n v="8.1"/>
    <n v="547"/>
    <n v="896"/>
    <n v="1.3"/>
    <n v="2.5"/>
    <n v="0.34"/>
    <n v="1.29"/>
    <n v="173"/>
    <n v="378"/>
    <n v="501"/>
    <n v="980"/>
    <m/>
    <m/>
  </r>
  <r>
    <n v="2350"/>
    <s v="RIVER HUNDRI AT LAXMIPURAM (V), KALLUR (M)"/>
    <x v="25"/>
    <n v="22"/>
    <n v="28"/>
    <n v="5.4"/>
    <n v="6.3"/>
    <n v="7.4"/>
    <n v="8.1"/>
    <n v="1152"/>
    <n v="1479"/>
    <n v="1"/>
    <n v="2.8"/>
    <n v="0.93"/>
    <n v="2.12"/>
    <n v="146"/>
    <n v="320"/>
    <n v="575"/>
    <n v="816"/>
    <m/>
    <m/>
  </r>
  <r>
    <n v="1091"/>
    <s v="RIVER BHADRA AT MALLESWARAM D/S OF KIOCL"/>
    <x v="26"/>
    <n v="20"/>
    <n v="25"/>
    <n v="6.6"/>
    <n v="7.7"/>
    <n v="7"/>
    <n v="8.1999999999999993"/>
    <n v="70"/>
    <n v="164"/>
    <n v="1.6"/>
    <n v="2"/>
    <n v="0.3"/>
    <n v="0.6"/>
    <n v="12"/>
    <n v="40"/>
    <n v="110"/>
    <n v="350"/>
    <m/>
    <m/>
  </r>
  <r>
    <n v="2771"/>
    <s v="RIVER BHADRA AT U/S OF KIOCL"/>
    <x v="26"/>
    <n v="20"/>
    <n v="25"/>
    <n v="6.6"/>
    <n v="7.9"/>
    <n v="6.9"/>
    <n v="8.1999999999999993"/>
    <n v="61"/>
    <n v="150"/>
    <n v="1.2"/>
    <n v="2"/>
    <n v="0.3"/>
    <n v="0.52"/>
    <n v="11"/>
    <n v="40"/>
    <n v="110"/>
    <n v="350"/>
    <m/>
    <m/>
  </r>
  <r>
    <n v="2765"/>
    <s v="RIVER BHADRA AT U/S OF MPM"/>
    <x v="26"/>
    <n v="26"/>
    <n v="27"/>
    <n v="6.6"/>
    <n v="8.1"/>
    <n v="7"/>
    <n v="8.1"/>
    <n v="103"/>
    <n v="250"/>
    <n v="1"/>
    <n v="2.4"/>
    <n v="0.3"/>
    <n v="0.83"/>
    <n v="13"/>
    <n v="93"/>
    <n v="110"/>
    <n v="1600"/>
    <m/>
    <m/>
  </r>
  <r>
    <n v="1387"/>
    <s v="RIVER BHADRA AT D/S OF BHADRAVATHI"/>
    <x v="26"/>
    <n v="26"/>
    <n v="28"/>
    <n v="4.9000000000000004"/>
    <n v="8"/>
    <n v="7"/>
    <n v="8.5"/>
    <n v="100"/>
    <n v="250"/>
    <n v="1.5"/>
    <n v="2.9"/>
    <n v="0.3"/>
    <n v="1.53"/>
    <n v="78"/>
    <n v="390"/>
    <n v="920"/>
    <n v="2400"/>
    <m/>
    <m/>
  </r>
  <r>
    <n v="4105"/>
    <s v="RIVER BHADRA D/S MYSORE PAPER MILL (MPM),_x000a_BHADRAWATI, SHIVAMOGGA"/>
    <x v="26"/>
    <n v="26"/>
    <n v="27"/>
    <n v="6.7"/>
    <n v="9.5"/>
    <n v="7.1"/>
    <n v="8.4"/>
    <n v="111"/>
    <n v="190"/>
    <n v="1.3"/>
    <n v="3.3"/>
    <n v="0.3"/>
    <n v="0.96"/>
    <n v="11"/>
    <n v="310"/>
    <n v="110"/>
    <n v="2400"/>
    <m/>
    <m/>
  </r>
  <r>
    <n v="1169"/>
    <s v="RIVER BHADRA AT D/S OF KIOCL ROAD BRIDGE, NEAR_x000a_HOLEHUNNUR"/>
    <x v="26"/>
    <n v="26"/>
    <n v="28"/>
    <n v="6"/>
    <n v="7.8"/>
    <n v="7"/>
    <n v="7.9"/>
    <n v="122"/>
    <n v="200"/>
    <n v="1.2"/>
    <n v="2.8"/>
    <n v="0.3"/>
    <n v="1.2"/>
    <n v="13"/>
    <n v="270"/>
    <n v="140"/>
    <n v="1300"/>
    <m/>
    <m/>
  </r>
  <r>
    <n v="1911"/>
    <s v="RIVER CHANDRABHAGA AT U/S OF PANDHARPUR_x000a_TOWN, VILLAGE. GURSALE, TALUKA. PANDHARPUR,_x000a_DISTRICT. SOLAPUR."/>
    <x v="21"/>
    <n v="25"/>
    <n v="36"/>
    <n v="4.7"/>
    <n v="6.2"/>
    <n v="7.7"/>
    <n v="8.4"/>
    <n v="672"/>
    <n v="9529"/>
    <n v="3"/>
    <n v="8.3000000000000007"/>
    <n v="0.3"/>
    <n v="2.12"/>
    <n v="9"/>
    <n v="45"/>
    <n v="110"/>
    <n v="550"/>
    <n v="4"/>
    <n v="25"/>
  </r>
  <r>
    <n v="1912"/>
    <s v="RIVER CHANDRABHAGA AT D/S OF PANDHARPUR TOWN_x000a_REAR VISHNUPANT MANDIR, VILLAGE. GOPALPUR,_x000a_TALUKA. PANDHARPUR DISTRICT. SOLAPUR."/>
    <x v="21"/>
    <n v="25"/>
    <n v="36"/>
    <n v="4.5"/>
    <n v="5.8"/>
    <n v="7.8"/>
    <n v="8.4"/>
    <n v="745"/>
    <n v="1824"/>
    <n v="4.2"/>
    <n v="9"/>
    <n v="0.3"/>
    <n v="3.35"/>
    <n v="10"/>
    <n v="175"/>
    <n v="140"/>
    <n v="900"/>
    <n v="5"/>
    <n v="25"/>
  </r>
  <r>
    <n v="1163"/>
    <s v="RIVER GHATAPRABHA AT W.A. POINT TO GOKAK TOWN"/>
    <x v="26"/>
    <n v="24"/>
    <n v="29"/>
    <n v="6.1"/>
    <n v="8.6999999999999993"/>
    <n v="7.8"/>
    <n v="8.6999999999999993"/>
    <n v="196"/>
    <n v="884"/>
    <n v="1.1000000000000001"/>
    <n v="3"/>
    <n v="3.23"/>
    <n v="28.19"/>
    <n v="350"/>
    <n v="540"/>
    <n v="920"/>
    <n v="1600"/>
    <n v="110"/>
    <n v="350"/>
  </r>
  <r>
    <n v="4104"/>
    <s v="RIVER GHATAPRABHA DAVALSHWAR BARRAGE_x000a_JACKWELL FOR DRINKING WATER SUPPLY"/>
    <x v="26"/>
    <n v="18"/>
    <n v="21"/>
    <n v="5.6"/>
    <n v="13.7"/>
    <n v="6.4"/>
    <n v="9.1999999999999993"/>
    <n v="208"/>
    <n v="1258"/>
    <n v="1.8"/>
    <n v="5.2"/>
    <n v="3.95"/>
    <n v="55.36"/>
    <n v="350"/>
    <n v="920"/>
    <n v="920"/>
    <n v="1600"/>
    <n v="240"/>
    <n v="540"/>
  </r>
  <r>
    <n v="1185"/>
    <s v="RIVER GHATAPRABHA AT D/S OF MUDHOL ROAD CROSS_x000a_BDG."/>
    <x v="26"/>
    <n v="17"/>
    <n v="20"/>
    <n v="5.6"/>
    <n v="13.7"/>
    <n v="6.3"/>
    <n v="9.1"/>
    <n v="268"/>
    <n v="1320"/>
    <n v="1.6"/>
    <n v="4.2"/>
    <n v="4.37"/>
    <n v="47.51"/>
    <n v="430"/>
    <n v="920"/>
    <n v="920"/>
    <n v="1600"/>
    <n v="240"/>
    <n v="540"/>
  </r>
  <r>
    <n v="2665"/>
    <s v="RIVER GHOD AT SHIRUR, VILLAGE. SHIRUR, TALUKA._x000a_SHIRUR, DISTRICT. PUNE."/>
    <x v="21"/>
    <n v="26"/>
    <n v="27"/>
    <n v="4.5999999999999996"/>
    <n v="6.1"/>
    <n v="7.5"/>
    <n v="8.4"/>
    <n v="431"/>
    <n v="1336"/>
    <n v="3.5"/>
    <n v="9.6999999999999993"/>
    <n v="0.3"/>
    <n v="3.42"/>
    <n v="7"/>
    <n v="45"/>
    <n v="200"/>
    <n v="550"/>
    <n v="2"/>
    <n v="20"/>
  </r>
  <r>
    <n v="2669"/>
    <s v="RIVER INDRAYANI AT U/S OF MOSHIGAON,VILLAGE-MOSHI, TALUKA- HAWELI, DISTRICT- PUNE."/>
    <x v="21"/>
    <n v="25"/>
    <n v="29"/>
    <n v="4.8"/>
    <n v="6.1"/>
    <n v="7"/>
    <n v="7.8"/>
    <n v="216"/>
    <n v="777"/>
    <n v="2.2000000000000002"/>
    <n v="8.3000000000000007"/>
    <n v="0.3"/>
    <n v="7.25"/>
    <n v="8"/>
    <n v="70"/>
    <n v="85"/>
    <n v="900"/>
    <n v="2"/>
    <n v="30"/>
  </r>
  <r>
    <n v="2668"/>
    <s v="RIVER INDRAYANI AT D/S OF MOSHI VILLAGE. VILLAGE-MOSHI, TALUKA- HAWELI, DISTRICT- PUNE."/>
    <x v="21"/>
    <n v="26"/>
    <n v="29"/>
    <n v="5.2"/>
    <n v="5.8"/>
    <n v="7"/>
    <n v="7.9"/>
    <n v="210"/>
    <n v="784"/>
    <n v="3.2"/>
    <n v="8.4"/>
    <n v="0.3"/>
    <n v="3.41"/>
    <n v="10"/>
    <n v="115"/>
    <n v="170"/>
    <n v="550"/>
    <n v="4"/>
    <n v="20"/>
  </r>
  <r>
    <n v="2197"/>
    <s v="RIVER INDRAYANI AT D/S OF ALANDIGAON, VILLAGE._x000a_ALANDIGAON, TALUKA. HAWELI, DISTRICT. PUNE."/>
    <x v="21"/>
    <n v="26"/>
    <n v="28"/>
    <n v="4.8"/>
    <n v="5.8"/>
    <n v="7"/>
    <n v="8"/>
    <n v="190"/>
    <n v="711"/>
    <n v="3.5"/>
    <n v="8.9"/>
    <n v="0.3"/>
    <n v="7.7"/>
    <n v="8"/>
    <n v="70"/>
    <n v="140"/>
    <n v="550"/>
    <n v="4"/>
    <n v="20"/>
  </r>
  <r>
    <n v="1895"/>
    <s v="RIVER KAGINA D/S OF SEWAGE DISPOSAL POINT"/>
    <x v="26"/>
    <n v="24"/>
    <n v="32"/>
    <n v="6.7"/>
    <n v="8.8000000000000007"/>
    <n v="7.7"/>
    <n v="8.5"/>
    <n v="340"/>
    <n v="610"/>
    <n v="1.7"/>
    <n v="4"/>
    <n v="0.31"/>
    <n v="3.4"/>
    <n v="49"/>
    <n v="63000"/>
    <n v="240"/>
    <n v="120000"/>
    <m/>
    <m/>
  </r>
  <r>
    <n v="2777"/>
    <s v="RIVER KAGINA AT SHAHABAD BRIDGE"/>
    <x v="26"/>
    <n v="24"/>
    <n v="32"/>
    <n v="7.2"/>
    <n v="8.9"/>
    <n v="7.7"/>
    <n v="8.6"/>
    <n v="339"/>
    <n v="612"/>
    <n v="1"/>
    <n v="3.6"/>
    <n v="0.34"/>
    <n v="3"/>
    <n v="63"/>
    <n v="7000"/>
    <n v="540"/>
    <n v="16000"/>
    <m/>
    <m/>
  </r>
  <r>
    <n v="4500"/>
    <s v="RIVER KAGINA AT D/S OF BRIDGE CUM BARRAGE,_x000a_SADEM"/>
    <x v="26"/>
    <n v="24"/>
    <n v="32"/>
    <n v="6.7"/>
    <n v="8.6999999999999993"/>
    <n v="7.9"/>
    <n v="8.5"/>
    <n v="316"/>
    <n v="580"/>
    <n v="2"/>
    <n v="6"/>
    <n v="0.48"/>
    <n v="4"/>
    <n v="14"/>
    <n v="7900"/>
    <n v="20"/>
    <n v="160000"/>
    <m/>
    <m/>
  </r>
  <r>
    <n v="2189"/>
    <s v="RIVER KOYNA AT KARAD, VILLAGE- KARAD,TALUKA-KARAD, DISTRICT- SATARA."/>
    <x v="21"/>
    <n v="26"/>
    <n v="32"/>
    <n v="5.4"/>
    <n v="6.7"/>
    <n v="7.5"/>
    <n v="8.1"/>
    <n v="65"/>
    <n v="239"/>
    <n v="2"/>
    <n v="5"/>
    <n v="0.3"/>
    <n v="2.84"/>
    <n v="7"/>
    <n v="35"/>
    <n v="110"/>
    <n v="350"/>
    <n v="2"/>
    <n v="13"/>
  </r>
  <r>
    <n v="1187"/>
    <s v="RIVER MALPRABHA AT D/S OF KHANAPUR VILLAGE"/>
    <x v="26"/>
    <n v="22"/>
    <n v="29"/>
    <n v="5.6"/>
    <n v="8.4"/>
    <n v="6.5"/>
    <n v="8.8000000000000007"/>
    <n v="190"/>
    <n v="268"/>
    <n v="1.3"/>
    <n v="2.9"/>
    <n v="1.65"/>
    <n v="15.25"/>
    <n v="350"/>
    <n v="920"/>
    <n v="920"/>
    <n v="1600"/>
    <n v="130"/>
    <n v="540"/>
  </r>
  <r>
    <n v="1164"/>
    <s v="RIVER MALAPRABHA AT WATER ABSTRACTION POINT_x000a_TO HUBLI, DHARWAD"/>
    <x v="26"/>
    <n v="24"/>
    <n v="32"/>
    <n v="5.6"/>
    <n v="8.8000000000000007"/>
    <n v="7.7"/>
    <n v="8.6999999999999993"/>
    <n v="268"/>
    <n v="518"/>
    <n v="1.1000000000000001"/>
    <n v="3"/>
    <n v="1.23"/>
    <n v="23.04"/>
    <n v="280"/>
    <n v="920"/>
    <n v="920"/>
    <n v="1600"/>
    <n v="170"/>
    <n v="540"/>
  </r>
  <r>
    <n v="2764"/>
    <s v="RIVER MALAPRABHA AT BADAMI BRIDGE"/>
    <x v="26"/>
    <n v="18"/>
    <n v="22"/>
    <n v="5"/>
    <n v="11.5"/>
    <n v="7.6"/>
    <n v="8.8000000000000007"/>
    <n v="708"/>
    <n v="1868"/>
    <n v="1"/>
    <n v="3.8"/>
    <n v="5.55"/>
    <n v="37.28"/>
    <n v="540"/>
    <n v="920"/>
    <n v="920"/>
    <n v="1600"/>
    <n v="240"/>
    <n v="540"/>
  </r>
  <r>
    <n v="1186"/>
    <s v="RIVER MALAPRABHA AT D/S OF AIHOLE TOWN"/>
    <x v="26"/>
    <n v="18"/>
    <n v="21"/>
    <n v="5"/>
    <n v="11.7"/>
    <n v="8.1"/>
    <n v="8.6999999999999993"/>
    <n v="758"/>
    <n v="1748"/>
    <n v="1"/>
    <n v="4.5999999999999996"/>
    <n v="3.48"/>
    <n v="38.24"/>
    <n v="350"/>
    <n v="920"/>
    <n v="1600"/>
    <n v="1600"/>
    <n v="240"/>
    <n v="540"/>
  </r>
  <r>
    <n v="4098"/>
    <s v="RIVER MARKANDEYA AT RAKKASAKOPPA RESRVOIR"/>
    <x v="26"/>
    <n v="20"/>
    <n v="26"/>
    <n v="5.0999999999999996"/>
    <n v="8.3000000000000007"/>
    <n v="6.9"/>
    <n v="9"/>
    <n v="190"/>
    <n v="270"/>
    <n v="1"/>
    <n v="2.8"/>
    <n v="2.02"/>
    <n v="14.18"/>
    <n v="270"/>
    <n v="920"/>
    <n v="920"/>
    <n v="1600"/>
    <n v="110"/>
    <n v="540"/>
  </r>
  <r>
    <n v="2193"/>
    <s v="RIVER MULA AT AUNDH BRIDGE, VILLAGE-AUNDHGAON,TALUKA- HAWELI, DISTRICT- PUNE."/>
    <x v="21"/>
    <n v="27"/>
    <n v="29"/>
    <n v="4.3"/>
    <n v="5.4"/>
    <n v="7"/>
    <n v="7.9"/>
    <n v="249"/>
    <n v="805"/>
    <n v="5.2"/>
    <n v="16"/>
    <n v="0.3"/>
    <n v="4.95"/>
    <n v="10"/>
    <n v="195"/>
    <n v="200"/>
    <n v="1600"/>
    <n v="4"/>
    <n v="30"/>
  </r>
  <r>
    <n v="2194"/>
    <s v="RIVER MULA AT HARRISON BRIDGE NEAR MULA-PAWANA SANGAM, VILLAGE- BOPODI,TALUKA- HAWELI,_x000a_DISTRICT- PUNE."/>
    <x v="21"/>
    <n v="27.5"/>
    <n v="29"/>
    <n v="3.4"/>
    <n v="5.0999999999999996"/>
    <n v="7"/>
    <n v="8.1"/>
    <n v="246"/>
    <n v="728"/>
    <n v="5.4"/>
    <n v="25"/>
    <n v="0.3"/>
    <n v="3.62"/>
    <n v="14"/>
    <n v="225"/>
    <n v="275"/>
    <n v="1800"/>
    <n v="7"/>
    <n v="45"/>
  </r>
  <r>
    <n v="2192"/>
    <s v="RIVER MULA-MUTHA AT MUNDHAWA BRIDGE,VILLAGE-MUNDHAWA,TALUKA- HAWELI,DISTRICT- PUNE."/>
    <x v="21"/>
    <n v="27"/>
    <n v="29"/>
    <n v="3.6"/>
    <n v="4.5999999999999996"/>
    <n v="7.1"/>
    <n v="7.9"/>
    <n v="337"/>
    <n v="667"/>
    <n v="11"/>
    <n v="21"/>
    <n v="0.3"/>
    <n v="3.12"/>
    <n v="20"/>
    <n v="170"/>
    <n v="540"/>
    <n v="1800"/>
    <n v="8"/>
    <n v="30"/>
  </r>
  <r>
    <n v="2677"/>
    <s v="RIVER MULA-MUTHA AT D/S OF THEUR, VILLAGE._x000a_THEUR, TALUKA. HAWELI, DISTRICT. PUNE."/>
    <x v="21"/>
    <n v="25"/>
    <n v="28"/>
    <n v="4.3"/>
    <n v="5.0999999999999996"/>
    <n v="7"/>
    <n v="7.8"/>
    <n v="326"/>
    <n v="693"/>
    <n v="7"/>
    <n v="13.5"/>
    <n v="0.3"/>
    <n v="2.4300000000000002"/>
    <n v="13"/>
    <n v="110"/>
    <n v="280"/>
    <n v="1600"/>
    <n v="4"/>
    <n v="20"/>
  </r>
  <r>
    <n v="1177"/>
    <s v="RIVER MUNNERU B/C WITH KRISHNA, KEESARA (V &amp; M)"/>
    <x v="25"/>
    <n v="26"/>
    <n v="26"/>
    <n v="6.9"/>
    <n v="7.7"/>
    <n v="7.6"/>
    <n v="8.1"/>
    <n v="585"/>
    <n v="998"/>
    <n v="2.4"/>
    <n v="2.9"/>
    <n v="1.26"/>
    <n v="1.92"/>
    <n v="3"/>
    <n v="28"/>
    <n v="39"/>
    <n v="470"/>
    <n v="2"/>
    <n v="3"/>
  </r>
  <r>
    <n v="4251"/>
    <s v="RIVER KRISHNA - D/S OF MUNNERU RIVER, PRAKASH_x000a_NAGAR, KHAMMAM"/>
    <x v="24"/>
    <n v="24.8"/>
    <n v="30.7"/>
    <n v="4.5999999999999996"/>
    <n v="6.1"/>
    <n v="7.2"/>
    <n v="8.3000000000000007"/>
    <n v="343"/>
    <n v="802"/>
    <n v="1"/>
    <n v="3.2"/>
    <n v="0.92"/>
    <n v="3.4"/>
    <n v="2"/>
    <n v="2"/>
    <n v="23"/>
    <n v="49"/>
    <n v="2"/>
    <n v="2"/>
  </r>
  <r>
    <n v="2680"/>
    <s v="RIVER MUTHA AT KHADAKVASLA DAM, VILLAGE-KHADAKVASLA,TALUKA- HAWELI, DISTRICT- PUNE."/>
    <x v="21"/>
    <n v="25"/>
    <n v="28"/>
    <n v="5.8"/>
    <n v="6.6"/>
    <n v="7.3"/>
    <n v="8"/>
    <n v="59"/>
    <n v="155"/>
    <n v="2.2000000000000002"/>
    <n v="3.2"/>
    <n v="0.3"/>
    <n v="1.22"/>
    <n v="4"/>
    <n v="40"/>
    <n v="80"/>
    <n v="350"/>
    <n v="2"/>
    <n v="9"/>
  </r>
  <r>
    <n v="2679"/>
    <s v="RIVER MUTHA AT DECCAN BRIDGE, VILLAGE-DECCAN,TALUKA- PUNE, DISTRICT- PUNE."/>
    <x v="21"/>
    <n v="27.5"/>
    <n v="29"/>
    <n v="2.5"/>
    <n v="3.9"/>
    <n v="6.8"/>
    <n v="7.8"/>
    <n v="394"/>
    <n v="589"/>
    <n v="21.3"/>
    <n v="29"/>
    <n v="0.3"/>
    <n v="3.12"/>
    <n v="25"/>
    <n v="550"/>
    <n v="900"/>
    <n v="1800"/>
    <n v="9"/>
    <n v="50"/>
  </r>
  <r>
    <n v="2678"/>
    <s v="RIVER MUTHA NEAR VEER SAVARKAR BHAVAN,_x000a_VILLAGE- PUNE M.C, TALUKA- PUNE, DISTRICT -PUNE."/>
    <x v="21"/>
    <n v="27.5"/>
    <n v="29"/>
    <n v="2.7"/>
    <n v="4.0999999999999996"/>
    <n v="6.9"/>
    <n v="7.8"/>
    <n v="433"/>
    <n v="568"/>
    <n v="21"/>
    <n v="29"/>
    <n v="0.3"/>
    <n v="3.05"/>
    <n v="20"/>
    <n v="350"/>
    <n v="900"/>
    <n v="1800"/>
    <n v="9"/>
    <n v="55"/>
  </r>
  <r>
    <n v="2191"/>
    <s v="RIVER MUTHA AT SANGAM BRIDGE NEAR_x000a_GANAPATHYGHAT, VILLAGE. SHIVAJI NAGAR, TALUKA._x000a_PUNE, DISTRICT. PUNE."/>
    <x v="21"/>
    <n v="27"/>
    <n v="29"/>
    <n v="2.8"/>
    <n v="4.0999999999999996"/>
    <n v="6.9"/>
    <n v="7.8"/>
    <n v="376"/>
    <n v="609"/>
    <n v="19.8"/>
    <n v="30"/>
    <n v="0.3"/>
    <n v="2.5499999999999998"/>
    <n v="30"/>
    <n v="350"/>
    <n v="550"/>
    <n v="1800"/>
    <n v="10"/>
    <n v="50"/>
  </r>
  <r>
    <n v="1178"/>
    <s v="RIVER PALLERU B/C WITH KRISHNA, JAGGAIAPET (V &amp;M)"/>
    <x v="25"/>
    <n v="25"/>
    <n v="27"/>
    <n v="7.1"/>
    <n v="7.9"/>
    <n v="7.5"/>
    <n v="8.1"/>
    <n v="880"/>
    <n v="1170"/>
    <n v="2.6"/>
    <n v="2.9"/>
    <n v="0.95"/>
    <n v="1.96"/>
    <n v="3"/>
    <n v="28"/>
    <n v="39"/>
    <n v="470"/>
    <n v="2"/>
    <n v="4"/>
  </r>
  <r>
    <n v="1904"/>
    <s v="RIVER PANCHAGANGA AT U/S OF KOLHAPUR TOWN_x000a_NEAR BALINGA PUMPING STATION, VILLAGE-BALINGA,_x000a_TALUKA- KARVIR, DISTRICT- KOLHAPUR."/>
    <x v="21"/>
    <n v="24"/>
    <n v="27"/>
    <n v="5.3"/>
    <n v="7.8"/>
    <n v="7.4"/>
    <n v="8.1"/>
    <n v="85"/>
    <n v="192"/>
    <n v="1.8"/>
    <n v="3"/>
    <n v="0.39"/>
    <n v="2.59"/>
    <n v="6"/>
    <n v="11"/>
    <n v="24"/>
    <n v="39"/>
    <n v="2"/>
    <n v="2"/>
  </r>
  <r>
    <n v="1905"/>
    <s v="RIVER PANCHAGANGA AT D/S OF KOLHAPUR TOWN AT_x000a_GANDHI NAGAR NEAR NH.4 BRIDGE AND MIDC, VILLAGE._x000a_UCHEGAON, TALUKA. KOLHAPUR, DISTRICT._x000a_KOLHAPUR."/>
    <x v="21"/>
    <n v="24"/>
    <n v="27"/>
    <n v="5.6"/>
    <n v="7.6"/>
    <n v="7.4"/>
    <n v="8.5"/>
    <n v="83"/>
    <n v="223"/>
    <n v="1.8"/>
    <n v="3"/>
    <n v="0.36"/>
    <n v="2.5299999999999998"/>
    <n v="6"/>
    <n v="12"/>
    <n v="22"/>
    <n v="47"/>
    <n v="2"/>
    <n v="2"/>
  </r>
  <r>
    <n v="1311"/>
    <s v="RIVER PANCHAGANGA AT ICHALKARANJI NEAR MIDC_x000a_INTAKE WELL. VILLAGE. SHIRADHWAD (ICHALKARANJI_x000a_GHAT), TALUKA.HATKANANGALE, DISTRICT. KOLHAPUR."/>
    <x v="21"/>
    <n v="24"/>
    <n v="28"/>
    <n v="5.6"/>
    <n v="7.8"/>
    <n v="7.3"/>
    <n v="8.6"/>
    <n v="84"/>
    <n v="734"/>
    <n v="1.8"/>
    <n v="3.8"/>
    <n v="0.82"/>
    <n v="3.43"/>
    <n v="6"/>
    <n v="10"/>
    <n v="25"/>
    <n v="47"/>
    <n v="2"/>
    <n v="2"/>
  </r>
  <r>
    <n v="2163"/>
    <s v="RIVER PANCHAGANGA AT SHIROL NEAR SHIROL INTAKE_x000a_WELL, VILLAGE- SHIROL, TALUKA- SHIROL, DISTRICT-KOLHAPUR."/>
    <x v="21"/>
    <n v="24"/>
    <n v="28"/>
    <n v="5.4"/>
    <n v="7.7"/>
    <n v="7.6"/>
    <n v="8.5"/>
    <n v="155"/>
    <n v="1029"/>
    <n v="1.8"/>
    <n v="3"/>
    <n v="0.66"/>
    <n v="3.26"/>
    <n v="4"/>
    <n v="9"/>
    <n v="21"/>
    <n v="47"/>
    <n v="2"/>
    <n v="2"/>
  </r>
  <r>
    <n v="2196"/>
    <s v="RIVER PAWANA AT SANGAVIGAON, VILLAGE-SANGAVIGAON, TALUKA- HAWELI, DISTRICT- PUNE."/>
    <x v="21"/>
    <n v="26"/>
    <n v="28"/>
    <n v="3.1"/>
    <n v="4.4000000000000004"/>
    <n v="7"/>
    <n v="7.9"/>
    <n v="223"/>
    <n v="705"/>
    <n v="12"/>
    <n v="27"/>
    <n v="0.3"/>
    <n v="4.9800000000000004"/>
    <n v="12"/>
    <n v="275"/>
    <n v="350"/>
    <n v="1600"/>
    <n v="6"/>
    <n v="30"/>
  </r>
  <r>
    <n v="2692"/>
    <s v="RIVER PAWANA AT RAVET WEIR, VILLAGE. RAVET,_x000a_TALUKA. HAWELI, DISTRICT. PUNE."/>
    <x v="21"/>
    <n v="26"/>
    <n v="28"/>
    <n v="5.3"/>
    <n v="6.5"/>
    <n v="7"/>
    <n v="8"/>
    <n v="114"/>
    <n v="276"/>
    <n v="2.4"/>
    <n v="4.8"/>
    <n v="0.3"/>
    <n v="1.42"/>
    <n v="4"/>
    <n v="30"/>
    <n v="85"/>
    <n v="275"/>
    <n v="2"/>
    <n v="17"/>
  </r>
  <r>
    <n v="2693"/>
    <s v="RIVER PAWANA AT CHINCHWADGAON, VILLAGE._x000a_CHINCHWADGAON, TALUKA. HAWELI, DISTRICT. PUNE."/>
    <x v="21"/>
    <n v="26"/>
    <n v="28"/>
    <n v="4.2"/>
    <n v="5.8"/>
    <n v="6.9"/>
    <n v="8"/>
    <n v="190"/>
    <n v="594"/>
    <n v="4.8"/>
    <n v="13"/>
    <n v="0.3"/>
    <n v="4.42"/>
    <n v="11"/>
    <n v="95"/>
    <n v="350"/>
    <n v="1800"/>
    <n v="4"/>
    <n v="35"/>
  </r>
  <r>
    <n v="2694"/>
    <s v="RIVER PAWANA AT PIMPRIGAON, VILLAGE-PIMPRIGAON, TALUKA- HAWELI, DISTRICT- PUNE."/>
    <x v="21"/>
    <n v="26"/>
    <n v="28"/>
    <n v="3.2"/>
    <n v="4.9000000000000004"/>
    <n v="7"/>
    <n v="7.9"/>
    <n v="245"/>
    <n v="830"/>
    <n v="9"/>
    <n v="31"/>
    <n v="0.3"/>
    <n v="4.3899999999999997"/>
    <n v="14"/>
    <n v="550"/>
    <n v="425"/>
    <n v="1800"/>
    <n v="6"/>
    <n v="50"/>
  </r>
  <r>
    <n v="2690"/>
    <s v="RIVER PAWANA AT KASARWADI, VILLAGE- KASARWADI,_x000a_TALUKA- HAWELI, DISTRICT- PUNE."/>
    <x v="21"/>
    <n v="26"/>
    <n v="28"/>
    <n v="3.7"/>
    <n v="4.4000000000000004"/>
    <n v="7"/>
    <n v="7.8"/>
    <n v="243"/>
    <n v="679"/>
    <n v="13"/>
    <n v="24"/>
    <n v="0.3"/>
    <n v="3.72"/>
    <n v="12"/>
    <n v="195"/>
    <n v="425"/>
    <n v="1800"/>
    <n v="8"/>
    <n v="35"/>
  </r>
  <r>
    <n v="2691"/>
    <s v="RIVER PAWANA AT DAPODI BRIDGE, AT PAWANA-MULLA SANGAM, VILLAGE- DAPODI, TALUKA- HAWELI,_x000a_DISTRICT- PUNE."/>
    <x v="21"/>
    <n v="25"/>
    <n v="28"/>
    <n v="2.9"/>
    <n v="4.3"/>
    <n v="7"/>
    <n v="7.9"/>
    <n v="229"/>
    <n v="754"/>
    <n v="13.5"/>
    <n v="28"/>
    <n v="0.3"/>
    <n v="3.08"/>
    <n v="14"/>
    <n v="195"/>
    <n v="540"/>
    <n v="1800"/>
    <n v="7"/>
    <n v="45"/>
  </r>
  <r>
    <n v="2705"/>
    <s v="RIVER SINA NEAR LABOTI TOLL NAKA, VILLAGE._x000a_LABOTI, TALUKA. MOHAL, DISTRICT. SOLAPUR."/>
    <x v="21"/>
    <n v="28"/>
    <n v="35"/>
    <n v="4.4000000000000004"/>
    <n v="5.6"/>
    <n v="7.7"/>
    <n v="8.6"/>
    <n v="755"/>
    <n v="1826"/>
    <n v="4.4000000000000004"/>
    <n v="10.9"/>
    <n v="1.08"/>
    <n v="1.89"/>
    <n v="9"/>
    <n v="25"/>
    <n v="115"/>
    <n v="275"/>
    <n v="4"/>
    <n v="9"/>
  </r>
  <r>
    <n v="1168"/>
    <s v="RIVER TUNGA AT D/S OF SHIMOGA TOWN"/>
    <x v="26"/>
    <n v="26"/>
    <n v="28"/>
    <n v="0.5"/>
    <n v="9.3000000000000007"/>
    <n v="6.5"/>
    <n v="7.7"/>
    <n v="88"/>
    <n v="360"/>
    <n v="1.2"/>
    <n v="8"/>
    <n v="0.3"/>
    <n v="2.82"/>
    <n v="110"/>
    <n v="940"/>
    <n v="1400"/>
    <n v="3500"/>
    <m/>
    <m/>
  </r>
  <r>
    <n v="4106"/>
    <s v="RIVER TUNGA U/S SHIVAMOGGA CITY"/>
    <x v="26"/>
    <n v="25"/>
    <n v="28"/>
    <n v="5"/>
    <n v="9.6999999999999993"/>
    <n v="6.5"/>
    <n v="8.1"/>
    <n v="66"/>
    <n v="220"/>
    <n v="1"/>
    <n v="2.5"/>
    <n v="0.3"/>
    <n v="0.92"/>
    <n v="17"/>
    <n v="46"/>
    <n v="210"/>
    <n v="540"/>
    <m/>
    <m/>
  </r>
  <r>
    <n v="1896"/>
    <s v="RIVER TUNGABHADRA AT CONFLUENCE POINT OF_x000a_TUNGA AND BHADRA AT KUDLI"/>
    <x v="26"/>
    <n v="25"/>
    <n v="28"/>
    <n v="6.3"/>
    <n v="8.1999999999999993"/>
    <n v="6.8"/>
    <n v="8.1"/>
    <n v="100"/>
    <n v="193"/>
    <n v="1"/>
    <n v="3"/>
    <n v="0.3"/>
    <n v="1.1000000000000001"/>
    <n v="4"/>
    <n v="43"/>
    <n v="220"/>
    <n v="540"/>
    <m/>
    <m/>
  </r>
  <r>
    <n v="38"/>
    <s v="RIVER TUNGABHADRA AT HONNALI BRIDGE"/>
    <x v="26"/>
    <n v="25"/>
    <n v="30"/>
    <n v="7"/>
    <n v="7.6"/>
    <n v="7.4"/>
    <n v="8.5"/>
    <n v="92"/>
    <n v="350"/>
    <n v="1"/>
    <n v="2.8"/>
    <n v="0.3"/>
    <n v="1.2"/>
    <n v="17"/>
    <n v="170"/>
    <n v="170"/>
    <n v="1500"/>
    <m/>
    <m/>
  </r>
  <r>
    <n v="1029"/>
    <s v="RIVER TUNGABHADRA AT HARALAHALLI BRIDGE"/>
    <x v="26"/>
    <n v="27"/>
    <n v="30"/>
    <n v="7"/>
    <n v="7.6"/>
    <n v="7.4"/>
    <n v="8.5"/>
    <n v="123"/>
    <n v="750"/>
    <n v="1.4"/>
    <n v="3"/>
    <n v="0.3"/>
    <n v="1.2"/>
    <n v="17"/>
    <n v="210"/>
    <n v="170"/>
    <n v="1700"/>
    <m/>
    <m/>
  </r>
  <r>
    <n v="2766"/>
    <s v="RIVER TUNGABHADRA AT NEW BRIDGE"/>
    <x v="26"/>
    <n v="25"/>
    <n v="29"/>
    <n v="7"/>
    <n v="7.4"/>
    <n v="7.1"/>
    <n v="8.5"/>
    <n v="102"/>
    <n v="370"/>
    <n v="1.1000000000000001"/>
    <n v="3"/>
    <n v="0.3"/>
    <n v="1.57"/>
    <n v="4"/>
    <n v="200"/>
    <n v="140"/>
    <n v="1700"/>
    <m/>
    <m/>
  </r>
  <r>
    <n v="2768"/>
    <s v="RIVER TUNGABHADRA AT D/S OF HARIHAR POLYFIBERS"/>
    <x v="26"/>
    <n v="26"/>
    <n v="30"/>
    <n v="6.1"/>
    <n v="6.8"/>
    <n v="7"/>
    <n v="8.1999999999999993"/>
    <n v="250"/>
    <n v="1900"/>
    <n v="3.2"/>
    <n v="6.2"/>
    <n v="0.43"/>
    <n v="2.64"/>
    <n v="11"/>
    <n v="94"/>
    <n v="170"/>
    <n v="920"/>
    <m/>
    <m/>
  </r>
  <r>
    <n v="2767"/>
    <s v="RIVER TUNGABHADRA AT U/S OF HARIHAR POLYFIBERS"/>
    <x v="26"/>
    <n v="25"/>
    <n v="29"/>
    <n v="6.9"/>
    <n v="7.4"/>
    <n v="7.1"/>
    <n v="8.5"/>
    <n v="96"/>
    <n v="360"/>
    <n v="1.2"/>
    <n v="3"/>
    <n v="0.3"/>
    <n v="1.53"/>
    <n v="11"/>
    <n v="130"/>
    <n v="220"/>
    <n v="1600"/>
    <m/>
    <m/>
  </r>
  <r>
    <n v="2770"/>
    <s v="RIVER TUNGABHADRA AT HARIHAR WATER SUPPLY_x000a_INTAKE"/>
    <x v="26"/>
    <n v="26"/>
    <n v="30"/>
    <n v="6.7"/>
    <n v="7"/>
    <n v="7.1"/>
    <n v="8.3000000000000007"/>
    <n v="128"/>
    <n v="610"/>
    <n v="3.2"/>
    <n v="5.2"/>
    <n v="0.32"/>
    <n v="1.77"/>
    <n v="700"/>
    <n v="4700"/>
    <n v="4300"/>
    <n v="43000"/>
    <m/>
    <m/>
  </r>
  <r>
    <n v="2769"/>
    <s v="RIVER TUNGABHADRA AT JACKWELL POINT"/>
    <x v="26"/>
    <n v="27"/>
    <n v="30"/>
    <n v="6.1"/>
    <n v="6.9"/>
    <n v="7"/>
    <n v="8.5"/>
    <n v="133"/>
    <n v="1400"/>
    <n v="2.2000000000000002"/>
    <n v="4.5999999999999996"/>
    <n v="0.34"/>
    <n v="1.44"/>
    <n v="13"/>
    <n v="200"/>
    <n v="350"/>
    <n v="1300"/>
    <m/>
    <m/>
  </r>
  <r>
    <n v="5591"/>
    <s v="RIVER TUNGABHADRA AT NADIHARALAHALLI"/>
    <x v="26"/>
    <n v="27"/>
    <n v="28"/>
    <n v="6.7"/>
    <n v="7.8"/>
    <n v="7.1"/>
    <n v="8.1999999999999993"/>
    <n v="119"/>
    <n v="1070"/>
    <n v="2"/>
    <n v="4.2"/>
    <n v="0.94"/>
    <n v="1.4"/>
    <n v="21"/>
    <n v="280"/>
    <n v="280"/>
    <n v="2800"/>
    <m/>
    <m/>
  </r>
  <r>
    <n v="5592"/>
    <s v="RIVER TUNGABHADRA AT AIRANI"/>
    <x v="26"/>
    <n v="27"/>
    <n v="30"/>
    <n v="6.8"/>
    <n v="7.4"/>
    <n v="7.6"/>
    <n v="8.4"/>
    <n v="116"/>
    <n v="900"/>
    <n v="1.8"/>
    <n v="3.4"/>
    <n v="0.63"/>
    <n v="1.34"/>
    <n v="17"/>
    <n v="110"/>
    <n v="220"/>
    <n v="1600"/>
    <m/>
    <m/>
  </r>
  <r>
    <n v="4495"/>
    <s v="RIVER TUNGABHADRA AT ARAVI"/>
    <x v="26"/>
    <n v="27"/>
    <n v="31"/>
    <n v="6.9"/>
    <n v="7.3"/>
    <n v="7.7"/>
    <n v="8.5"/>
    <n v="152"/>
    <n v="790"/>
    <n v="1.1000000000000001"/>
    <n v="2.8"/>
    <n v="0.3"/>
    <n v="1.5"/>
    <n v="9"/>
    <n v="91"/>
    <n v="170"/>
    <n v="840"/>
    <m/>
    <m/>
  </r>
  <r>
    <n v="5593"/>
    <s v="RIVER TUNGABHADRA AT HIREBIDARI"/>
    <x v="26"/>
    <n v="27"/>
    <n v="30"/>
    <n v="7"/>
    <n v="8.3000000000000007"/>
    <n v="7.7"/>
    <n v="8.3000000000000007"/>
    <n v="120"/>
    <n v="970"/>
    <n v="1.5"/>
    <n v="3.5"/>
    <n v="0.62"/>
    <n v="2.4500000000000002"/>
    <n v="17"/>
    <n v="140"/>
    <n v="240"/>
    <n v="1200"/>
    <m/>
    <m/>
  </r>
  <r>
    <n v="5594"/>
    <s v="RIVER TUNGABHADRA AT KONANATHAMBIGE"/>
    <x v="26"/>
    <n v="27"/>
    <n v="32"/>
    <n v="7"/>
    <n v="10.5"/>
    <n v="7.6"/>
    <n v="8.4"/>
    <n v="136"/>
    <n v="850"/>
    <n v="1"/>
    <n v="3.6"/>
    <n v="0.65"/>
    <n v="1.41"/>
    <n v="18"/>
    <n v="140"/>
    <n v="170"/>
    <n v="1400"/>
    <m/>
    <m/>
  </r>
  <r>
    <n v="5595"/>
    <s v="RIVER TUNGABHADRA AT SOMALAPURA"/>
    <x v="26"/>
    <n v="27"/>
    <n v="31"/>
    <n v="7"/>
    <n v="10.199999999999999"/>
    <n v="7.1"/>
    <n v="8.5"/>
    <n v="137"/>
    <n v="820"/>
    <n v="1"/>
    <n v="6.6"/>
    <n v="0.66"/>
    <n v="1.43"/>
    <n v="21"/>
    <n v="120"/>
    <n v="350"/>
    <n v="1100"/>
    <m/>
    <m/>
  </r>
  <r>
    <n v="5596"/>
    <s v="RIVER TUNGABHADRA AT KURUVATHI"/>
    <x v="26"/>
    <n v="27"/>
    <n v="34"/>
    <n v="7.1"/>
    <n v="11.8"/>
    <n v="7.3"/>
    <n v="8.5"/>
    <n v="145"/>
    <n v="660"/>
    <n v="1"/>
    <n v="3"/>
    <n v="0.72"/>
    <n v="1.22"/>
    <n v="33"/>
    <n v="940"/>
    <n v="130"/>
    <n v="5400"/>
    <m/>
    <m/>
  </r>
  <r>
    <n v="4494"/>
    <s v="RIVER TUNGABHADRA AT MYLARA"/>
    <x v="26"/>
    <n v="27"/>
    <n v="31"/>
    <n v="7.2"/>
    <n v="7.5"/>
    <n v="7.4"/>
    <n v="8.5"/>
    <n v="164"/>
    <n v="770"/>
    <n v="1.6"/>
    <n v="3"/>
    <n v="0.4"/>
    <n v="1.5"/>
    <n v="13"/>
    <n v="630"/>
    <n v="110"/>
    <n v="4300"/>
    <m/>
    <m/>
  </r>
  <r>
    <n v="2776"/>
    <s v="RIVER TUNGABHADRA AT D/S OF GANGAWATHI"/>
    <x v="26"/>
    <n v="22"/>
    <n v="30"/>
    <n v="7.1"/>
    <n v="7.8"/>
    <n v="7.3"/>
    <n v="8.5"/>
    <n v="328"/>
    <n v="900"/>
    <n v="2"/>
    <n v="3"/>
    <n v="0.3"/>
    <n v="3.34"/>
    <n v="280"/>
    <n v="490"/>
    <n v="1600"/>
    <n v="2800"/>
    <m/>
    <m/>
  </r>
  <r>
    <n v="29"/>
    <s v="RIVER TUNGABHADRA AT ULENOOR"/>
    <x v="26"/>
    <n v="17"/>
    <n v="29"/>
    <n v="0.3"/>
    <n v="7.8"/>
    <n v="6.5"/>
    <n v="8.4"/>
    <n v="69"/>
    <n v="2430"/>
    <n v="1"/>
    <n v="78"/>
    <n v="0.32"/>
    <n v="8"/>
    <n v="48"/>
    <n v="4800000"/>
    <n v="79"/>
    <n v="54000000"/>
    <n v="2"/>
    <n v="17"/>
  </r>
  <r>
    <n v="3558"/>
    <s v="RIVER TUNGABHADRA AT DADESUGUR BRIDGE_x000a_GAUGING STATION"/>
    <x v="26"/>
    <n v="27"/>
    <n v="32"/>
    <n v="6.8"/>
    <n v="8.6999999999999993"/>
    <n v="8.3000000000000007"/>
    <n v="8.6"/>
    <n v="676"/>
    <n v="2050"/>
    <n v="2.5"/>
    <n v="3.5"/>
    <n v="1.1000000000000001"/>
    <n v="4"/>
    <n v="280"/>
    <n v="700"/>
    <n v="1600"/>
    <n v="2800"/>
    <m/>
    <m/>
  </r>
  <r>
    <n v="30054"/>
    <s v="RIVER TUNGABHADRA AT HOCHECHALLI (BANGALORE)"/>
    <x v="26"/>
    <n v="24"/>
    <n v="28"/>
    <n v="7.2"/>
    <n v="12.2"/>
    <n v="8.1999999999999993"/>
    <n v="8.6999999999999993"/>
    <n v="921"/>
    <n v="2560"/>
    <n v="1"/>
    <n v="1"/>
    <n v="0"/>
    <n v="1.52"/>
    <n v="70"/>
    <n v="790"/>
    <n v="280"/>
    <n v="5400"/>
    <m/>
    <m/>
  </r>
  <r>
    <n v="1785"/>
    <s v="RIVER TUNGABHADRA AT MANTHRALAYAM (V &amp; M)"/>
    <x v="25"/>
    <n v="21"/>
    <n v="29"/>
    <n v="5.3"/>
    <n v="6.4"/>
    <n v="7.3"/>
    <n v="8"/>
    <n v="964"/>
    <n v="1652"/>
    <n v="1"/>
    <n v="2.7"/>
    <n v="0.46"/>
    <n v="1.51"/>
    <n v="163"/>
    <n v="615"/>
    <n v="602"/>
    <n v="1553"/>
    <m/>
    <m/>
  </r>
  <r>
    <n v="1174"/>
    <s v="RIVER TUNGABHADRA AT KURNOOL U/S, BHAVAPURAM_x000a_(V), KURNOOL (M)"/>
    <x v="25"/>
    <n v="22"/>
    <n v="28"/>
    <n v="5.2"/>
    <n v="6.3"/>
    <n v="7.3"/>
    <n v="8.1"/>
    <n v="1360"/>
    <n v="1698"/>
    <n v="1.7"/>
    <n v="2.5"/>
    <n v="0.53"/>
    <n v="2.2400000000000002"/>
    <n v="177"/>
    <n v="479"/>
    <n v="549"/>
    <n v="1203"/>
    <m/>
    <m/>
  </r>
  <r>
    <n v="4388"/>
    <s v="RIVER TUNGABHADRA, UPSTREAM OF KURNOOL TOWN_x000a_BEFORE JOINING CITY DOMESTIC SEWAGE AND AFTER_x000a_M/S RAYALASEEMA ALKALIES INDUSTRIES NEAR_x000a_SIVALAYAM TEMPLE, GONDIPARLA (V), KURNOOL (M)"/>
    <x v="25"/>
    <n v="18"/>
    <n v="27"/>
    <n v="5"/>
    <n v="5.9"/>
    <n v="6.8"/>
    <n v="7.9"/>
    <n v="1329"/>
    <n v="2263"/>
    <n v="1.3"/>
    <n v="2.8"/>
    <n v="0.52"/>
    <n v="1.46"/>
    <n v="162"/>
    <n v="549"/>
    <n v="613"/>
    <n v="1553"/>
    <m/>
    <m/>
  </r>
  <r>
    <n v="4389"/>
    <s v="RIVER TUNGABHADRA, DOWNSTREAM OF KURNOOL_x000a_TOWN AFTER JOINING CITY DOMESTIC SEWAGE,_x000a_PADIDEMPADU (V),"/>
    <x v="25"/>
    <n v="21"/>
    <n v="28"/>
    <n v="5.0999999999999996"/>
    <n v="5.7"/>
    <n v="7"/>
    <n v="7.8"/>
    <n v="720"/>
    <n v="1720"/>
    <n v="1"/>
    <n v="2.8"/>
    <n v="1.0900000000000001"/>
    <n v="1.84"/>
    <n v="177"/>
    <n v="689"/>
    <n v="649"/>
    <n v="1986"/>
    <m/>
    <m/>
  </r>
  <r>
    <n v="4379"/>
    <s v="RIVER UPPUTERU BEFORE CONFLUENCE WITH SEA, AT_x000a_CHINNA GOLLAPALEM (V), KRUTHIVENNU (M)"/>
    <x v="25"/>
    <n v="24"/>
    <n v="26"/>
    <n v="5.8"/>
    <n v="6.7"/>
    <n v="7.6"/>
    <n v="8"/>
    <n v="34400"/>
    <n v="54200"/>
    <n v="2.2999999999999998"/>
    <n v="2.9"/>
    <n v="0.66"/>
    <n v="1.24"/>
    <n v="3"/>
    <n v="14"/>
    <n v="36"/>
    <n v="210"/>
    <n v="2"/>
    <n v="3"/>
  </r>
  <r>
    <n v="2711"/>
    <s v="RIVER URMODI AT NAGTHNE KT WARE, VILLAGE-NAGTHANE,TALUKA- SATARA, DISTRICT- SATARA."/>
    <x v="21"/>
    <n v="25"/>
    <n v="33.5"/>
    <n v="4.9000000000000004"/>
    <n v="6.4"/>
    <n v="7.3"/>
    <n v="8.3000000000000007"/>
    <n v="174"/>
    <n v="887"/>
    <n v="3"/>
    <n v="5.2"/>
    <n v="0.3"/>
    <n v="1.83"/>
    <n v="8"/>
    <n v="40"/>
    <n v="95"/>
    <n v="425"/>
    <n v="4"/>
    <n v="14"/>
  </r>
  <r>
    <n v="2715"/>
    <s v="RIVER VEL AT SHIKRAPUR, VILLAGE. SHIKRAPUR,_x000a_TALUKA. SHIRUR, DISTRICT. PUNE."/>
    <x v="21"/>
    <n v="26"/>
    <n v="29"/>
    <n v="5"/>
    <n v="6.1"/>
    <n v="7.9"/>
    <n v="8"/>
    <n v="177"/>
    <n v="582"/>
    <n v="4"/>
    <n v="8.4"/>
    <n v="0.3"/>
    <n v="0.3"/>
    <n v="14"/>
    <n v="110"/>
    <n v="350"/>
    <n v="425"/>
    <n v="6"/>
    <n v="17"/>
  </r>
  <r>
    <n v="1255"/>
    <s v="RIVER PENNAR B/C WITH CHITRAVATHI, TADIPATRI (M),_x000a_VENGANUR (V)"/>
    <x v="25"/>
    <n v="23"/>
    <n v="34"/>
    <n v="5.3"/>
    <n v="5.9"/>
    <n v="7.3"/>
    <n v="8"/>
    <n v="683"/>
    <n v="1263"/>
    <n v="1.2"/>
    <n v="2.8"/>
    <n v="0.61"/>
    <n v="1.61"/>
    <n v="203"/>
    <n v="613"/>
    <n v="816"/>
    <n v="1553"/>
    <m/>
    <m/>
  </r>
  <r>
    <n v="1256"/>
    <s v="RIVER PENNAR A/C WITH PAPAGNI, PUSHPAGIRI_x000a_(V),VALLUR (M)"/>
    <x v="25"/>
    <n v="22"/>
    <n v="28"/>
    <n v="5.5"/>
    <n v="6.2"/>
    <n v="7.3"/>
    <n v="8.1"/>
    <n v="806"/>
    <n v="1298"/>
    <n v="1"/>
    <n v="2.5"/>
    <n v="0.69"/>
    <n v="1.43"/>
    <n v="185"/>
    <n v="395"/>
    <n v="575"/>
    <n v="1300"/>
    <m/>
    <m/>
  </r>
  <r>
    <n v="1257"/>
    <s v="RIVER PENNAR A/C WITH CHEYYURU, SOMASILA (V),_x000a_ANANTHASAGARAM (M)"/>
    <x v="25"/>
    <n v="17"/>
    <n v="20"/>
    <n v="6.8"/>
    <n v="8.3000000000000007"/>
    <n v="7.5"/>
    <n v="8.1999999999999993"/>
    <n v="728"/>
    <n v="1080"/>
    <n v="2.6"/>
    <n v="2.8"/>
    <n v="0.54"/>
    <n v="1.46"/>
    <n v="3"/>
    <n v="14"/>
    <n v="64"/>
    <n v="470"/>
    <n v="2"/>
    <n v="3"/>
  </r>
  <r>
    <n v="30"/>
    <s v="RIVER PENNAR AT SIDDAVATAM (V &amp; M)"/>
    <x v="25"/>
    <n v="20"/>
    <n v="28"/>
    <n v="5"/>
    <n v="6.4"/>
    <n v="6.6"/>
    <n v="7.7"/>
    <n v="835"/>
    <n v="1451"/>
    <n v="1"/>
    <n v="2.7"/>
    <n v="0.38"/>
    <n v="1.7"/>
    <n v="151"/>
    <n v="381"/>
    <n v="575"/>
    <n v="1049"/>
    <m/>
    <m/>
  </r>
  <r>
    <n v="2351"/>
    <s v="RIVER KUNDU, NANDYAL, NEAR OVER BDG.,NANDYAL_x000a_TOWN"/>
    <x v="25"/>
    <n v="15"/>
    <n v="29"/>
    <n v="3.4"/>
    <n v="5.9"/>
    <n v="6.9"/>
    <n v="7.7"/>
    <n v="876"/>
    <n v="1310"/>
    <n v="2.2000000000000002"/>
    <n v="3.6"/>
    <n v="0.75"/>
    <n v="2.38"/>
    <n v="235"/>
    <n v="649"/>
    <n v="770"/>
    <n v="1986"/>
    <m/>
    <m/>
  </r>
  <r>
    <n v="1689"/>
    <s v="CHUNNAMBAR RIVER, KILINJIKUPPAM ROAD,_x000a_NONANKUPPAM, PUDUCHERRY."/>
    <x v="28"/>
    <n v="29"/>
    <n v="35"/>
    <n v="6.3"/>
    <n v="13.7"/>
    <n v="8.1"/>
    <n v="9.4"/>
    <n v="856"/>
    <n v="1605"/>
    <n v="2"/>
    <n v="9"/>
    <n v="0"/>
    <n v="0.32"/>
    <n v="2"/>
    <n v="1600"/>
    <n v="170"/>
    <n v="1600"/>
    <n v="2"/>
    <n v="280"/>
  </r>
  <r>
    <n v="1198"/>
    <s v="RIVER CAUVERY AT NAPOKULU BDG (D/S)"/>
    <x v="26"/>
    <n v="17"/>
    <n v="26"/>
    <n v="6.3"/>
    <n v="7.7"/>
    <n v="7"/>
    <n v="8.6999999999999993"/>
    <n v="48"/>
    <n v="170"/>
    <n v="1"/>
    <n v="2.5"/>
    <n v="0.3"/>
    <n v="1"/>
    <n v="17"/>
    <n v="43"/>
    <n v="210"/>
    <n v="350"/>
    <m/>
    <m/>
  </r>
  <r>
    <n v="1195"/>
    <s v="RIVER CAUVERY AT KUSHAL NAGAR U/S (NEAR_x000a_BAICHANAHALLI)"/>
    <x v="26"/>
    <n v="18"/>
    <n v="27"/>
    <n v="6.2"/>
    <n v="7.7"/>
    <n v="7.2"/>
    <n v="8.6"/>
    <n v="63"/>
    <n v="326"/>
    <n v="1"/>
    <n v="3"/>
    <n v="0.3"/>
    <n v="1.9"/>
    <n v="32"/>
    <n v="78"/>
    <n v="240"/>
    <n v="630"/>
    <m/>
    <m/>
  </r>
  <r>
    <n v="33"/>
    <s v="RIVER CAUVERY AT KRS DAM, BALAMURIKSHETRA"/>
    <x v="26"/>
    <n v="19"/>
    <n v="28"/>
    <n v="6.1"/>
    <n v="7"/>
    <n v="7"/>
    <n v="8.6"/>
    <n v="143"/>
    <n v="489"/>
    <n v="1"/>
    <n v="4"/>
    <n v="0.78"/>
    <n v="3.4"/>
    <n v="83"/>
    <n v="170"/>
    <n v="940"/>
    <n v="1300"/>
    <m/>
    <m/>
  </r>
  <r>
    <n v="1171"/>
    <s v="RIVER CAUVERY AT SRI RANGAPATTANNA, D/S OF_x000a_ROAD BDG."/>
    <x v="26"/>
    <n v="20"/>
    <n v="29"/>
    <n v="5.7"/>
    <n v="6.7"/>
    <n v="7.8"/>
    <n v="8.5"/>
    <n v="221"/>
    <n v="518"/>
    <n v="2"/>
    <n v="4.5"/>
    <n v="0.75"/>
    <n v="4.0999999999999996"/>
    <n v="110"/>
    <n v="270"/>
    <n v="1300"/>
    <n v="2400"/>
    <m/>
    <m/>
  </r>
  <r>
    <n v="1386"/>
    <s v="RIVER CAUVERY AT D/S OF KAREKUARA VILLAGE"/>
    <x v="26"/>
    <n v="19"/>
    <n v="29"/>
    <n v="5.5"/>
    <n v="6.9"/>
    <n v="7.7"/>
    <n v="8.6999999999999993"/>
    <n v="158"/>
    <n v="438"/>
    <n v="2"/>
    <n v="4"/>
    <n v="1.4"/>
    <n v="2.8"/>
    <n v="110"/>
    <n v="210"/>
    <n v="1200"/>
    <n v="1700"/>
    <m/>
    <m/>
  </r>
  <r>
    <n v="34"/>
    <s v="RIVER CAUVERY AT SATHYAGALAM BRIDGE"/>
    <x v="26"/>
    <n v="21"/>
    <n v="33"/>
    <n v="5.4"/>
    <n v="7"/>
    <n v="7.9"/>
    <n v="8.6"/>
    <n v="215"/>
    <n v="485"/>
    <n v="1"/>
    <n v="3.5"/>
    <n v="1.1599999999999999"/>
    <n v="2.4"/>
    <n v="110"/>
    <n v="210"/>
    <n v="1100"/>
    <n v="1700"/>
    <m/>
    <m/>
  </r>
  <r>
    <n v="2773"/>
    <s v="RIVER CAUVERY AT BANNUR BRIDGE"/>
    <x v="26"/>
    <n v="23"/>
    <n v="28"/>
    <n v="5.7"/>
    <n v="7.1"/>
    <n v="8"/>
    <n v="8.5"/>
    <n v="195"/>
    <n v="495"/>
    <n v="1"/>
    <n v="3.5"/>
    <n v="0.97"/>
    <n v="2.8"/>
    <n v="110"/>
    <n v="170"/>
    <n v="1100"/>
    <n v="1700"/>
    <m/>
    <m/>
  </r>
  <r>
    <n v="2774"/>
    <s v="RIVER CAUVERY AT RANGANATHITTU"/>
    <x v="26"/>
    <n v="19"/>
    <n v="28"/>
    <n v="6.2"/>
    <n v="6.9"/>
    <n v="7.6"/>
    <n v="8.5"/>
    <n v="160"/>
    <n v="457"/>
    <n v="1.8"/>
    <n v="3"/>
    <n v="0.48"/>
    <n v="3.3"/>
    <n v="110"/>
    <n v="210"/>
    <n v="1100"/>
    <n v="1500"/>
    <m/>
    <m/>
  </r>
  <r>
    <n v="3566"/>
    <s v="RIVER CAUVERY AT KRS DAM MANDYA"/>
    <x v="26"/>
    <n v="19"/>
    <n v="29"/>
    <n v="6.1"/>
    <n v="7.1"/>
    <n v="7.5"/>
    <n v="8.6999999999999993"/>
    <n v="140"/>
    <n v="564"/>
    <n v="1"/>
    <n v="3"/>
    <n v="0.96"/>
    <n v="2.9"/>
    <n v="83"/>
    <n v="170"/>
    <n v="700"/>
    <n v="2100"/>
    <m/>
    <m/>
  </r>
  <r>
    <n v="3568"/>
    <s v="RIVER CAUVERY AT WATER SUPPLY INTAKE POINT TO_x000a_SRIRANGAPATNA TOWN"/>
    <x v="26"/>
    <n v="20"/>
    <n v="29"/>
    <n v="5.7"/>
    <n v="6.4"/>
    <n v="7.5"/>
    <n v="8.6"/>
    <n v="203"/>
    <n v="586"/>
    <n v="2.5"/>
    <n v="4"/>
    <n v="0.72"/>
    <n v="3.9"/>
    <n v="110"/>
    <n v="260"/>
    <n v="1200"/>
    <n v="2300"/>
    <m/>
    <m/>
  </r>
  <r>
    <n v="3569"/>
    <s v="RIVER CAUVERY AT WATER SUPPLY INTAKE POINT TO_x000a_MANDYA TOWN"/>
    <x v="26"/>
    <n v="20"/>
    <n v="29"/>
    <n v="5.8"/>
    <n v="6.7"/>
    <n v="7.3"/>
    <n v="8.6"/>
    <n v="216"/>
    <n v="704"/>
    <n v="2"/>
    <n v="4.5"/>
    <n v="0.71"/>
    <n v="4.0999999999999996"/>
    <n v="93"/>
    <n v="320"/>
    <n v="1100"/>
    <n v="2100"/>
    <m/>
    <m/>
  </r>
  <r>
    <n v="3570"/>
    <s v="RIVER CAUVERY D/S OF KR NAGAR BRIDGE"/>
    <x v="26"/>
    <n v="21"/>
    <n v="30"/>
    <n v="5.9"/>
    <n v="7"/>
    <n v="7.3"/>
    <n v="8.6"/>
    <n v="140"/>
    <n v="535"/>
    <n v="1"/>
    <n v="3.5"/>
    <n v="0.56000000000000005"/>
    <n v="4.3"/>
    <n v="68"/>
    <n v="220"/>
    <n v="840"/>
    <n v="1300"/>
    <m/>
    <m/>
  </r>
  <r>
    <n v="3571"/>
    <s v="RIVER CAUVERY U/S OF KR NAGAR"/>
    <x v="26"/>
    <n v="21"/>
    <n v="30"/>
    <n v="6.3"/>
    <n v="7.2"/>
    <n v="7.4"/>
    <n v="8.6"/>
    <n v="120"/>
    <n v="493"/>
    <n v="1"/>
    <n v="3"/>
    <n v="0.48"/>
    <n v="2.9"/>
    <n v="68"/>
    <n v="93"/>
    <n v="700"/>
    <n v="1100"/>
    <m/>
    <m/>
  </r>
  <r>
    <n v="3573"/>
    <s v="RIVER CAUVERY D/S OF KUSHALANAGAR TOWN"/>
    <x v="26"/>
    <n v="17"/>
    <n v="27"/>
    <n v="6.2"/>
    <n v="7.7"/>
    <n v="7.3"/>
    <n v="8.6"/>
    <n v="66"/>
    <n v="326"/>
    <n v="1"/>
    <n v="3"/>
    <n v="0.32"/>
    <n v="1.8"/>
    <n v="32"/>
    <n v="68"/>
    <n v="240"/>
    <n v="700"/>
    <m/>
    <m/>
  </r>
  <r>
    <n v="3576"/>
    <s v="RIVER CAUVERY AT WATER SUPPLY INTAKE POINT TO_x000a_MYSORE"/>
    <x v="26"/>
    <n v="18"/>
    <n v="28"/>
    <n v="6.2"/>
    <n v="7.4"/>
    <n v="7.6"/>
    <n v="8.6"/>
    <n v="152"/>
    <n v="462"/>
    <n v="1"/>
    <n v="3"/>
    <n v="1.1000000000000001"/>
    <n v="2.9"/>
    <n v="68"/>
    <n v="120"/>
    <n v="230"/>
    <n v="1100"/>
    <m/>
    <m/>
  </r>
  <r>
    <n v="3578"/>
    <s v="RIVER CAUVERY D/S OF MADDUR WATER SUPPLY_x000a_TREATMENT PLANT AT BACHALLI"/>
    <x v="26"/>
    <n v="19"/>
    <n v="27"/>
    <n v="6.5"/>
    <n v="7.3"/>
    <n v="8"/>
    <n v="8.6999999999999993"/>
    <n v="218"/>
    <n v="481"/>
    <n v="1"/>
    <n v="3"/>
    <n v="0.75"/>
    <n v="2.4"/>
    <n v="68"/>
    <n v="110"/>
    <n v="700"/>
    <n v="1500"/>
    <m/>
    <m/>
  </r>
  <r>
    <n v="3579"/>
    <s v="RIVER CAUVERY AT WATER SUPPLY INTAKE POINT AT_x000a_KOLLEGALA DASANAPURA"/>
    <x v="26"/>
    <n v="23"/>
    <n v="33"/>
    <n v="5.2"/>
    <n v="6.8"/>
    <n v="7.9"/>
    <n v="8.6999999999999993"/>
    <n v="205"/>
    <n v="492"/>
    <n v="2"/>
    <n v="4"/>
    <n v="1"/>
    <n v="3.4"/>
    <n v="78"/>
    <n v="260"/>
    <n v="940"/>
    <n v="1700"/>
    <m/>
    <m/>
  </r>
  <r>
    <n v="3581"/>
    <s v="RIVER CAUVERY AT WATER SUPPLY INTAKE POINT AT_x000a_TORE KADANA HALLI"/>
    <x v="26"/>
    <n v="19"/>
    <n v="28"/>
    <n v="6.3"/>
    <n v="7.3"/>
    <n v="7.9"/>
    <n v="8.6999999999999993"/>
    <n v="218"/>
    <n v="480"/>
    <n v="1"/>
    <n v="3"/>
    <n v="0.84"/>
    <n v="2.7"/>
    <n v="61"/>
    <n v="110"/>
    <n v="630"/>
    <n v="1200"/>
    <m/>
    <m/>
  </r>
  <r>
    <n v="4109"/>
    <s v="RIVER CAUVERY BEFORE CONFLUENCE AT SANGAM"/>
    <x v="26"/>
    <n v="25"/>
    <n v="36"/>
    <n v="3.6"/>
    <n v="6.9"/>
    <n v="7.2"/>
    <n v="8.1"/>
    <n v="269"/>
    <n v="1144"/>
    <n v="4"/>
    <n v="12"/>
    <n v="1"/>
    <n v="5"/>
    <n v="22"/>
    <n v="9400"/>
    <n v="79"/>
    <n v="92000"/>
    <m/>
    <m/>
  </r>
  <r>
    <n v="4099"/>
    <s v="RIVER CAUVERY D/S BHARACHUKI FALLS, SATHEGALA,_x000a_KOLLEGALA"/>
    <x v="26"/>
    <n v="22"/>
    <n v="31"/>
    <n v="6.2"/>
    <n v="7"/>
    <n v="7"/>
    <n v="8.6999999999999993"/>
    <n v="217"/>
    <n v="484"/>
    <n v="1"/>
    <n v="3"/>
    <n v="0.96"/>
    <n v="3.2"/>
    <n v="78"/>
    <n v="170"/>
    <n v="840"/>
    <n v="1400"/>
    <m/>
    <m/>
  </r>
  <r>
    <n v="4102"/>
    <s v="RIVER CAUVERY D/S AT BHAGAMANDALA BRIDGE"/>
    <x v="26"/>
    <n v="16"/>
    <n v="27"/>
    <n v="6.5"/>
    <n v="7.8"/>
    <n v="6.8"/>
    <n v="8.9"/>
    <n v="48"/>
    <n v="127"/>
    <n v="1"/>
    <n v="2.5"/>
    <n v="0.3"/>
    <n v="1"/>
    <n v="17"/>
    <n v="41"/>
    <n v="210"/>
    <n v="350"/>
    <m/>
    <m/>
  </r>
  <r>
    <n v="4103"/>
    <s v="RIVER CAUVERY D/S AT KANIVE RAMALINGESWARA_x000a_TEMPLE BRIDGE, KUSHALANAGAR"/>
    <x v="26"/>
    <n v="17"/>
    <n v="27"/>
    <n v="6.6"/>
    <n v="7.6"/>
    <n v="7.2"/>
    <n v="8.8000000000000007"/>
    <n v="58"/>
    <n v="333"/>
    <n v="1"/>
    <n v="3"/>
    <n v="0.3"/>
    <n v="2.2000000000000002"/>
    <n v="21"/>
    <n v="92"/>
    <n v="220"/>
    <n v="1200"/>
    <m/>
    <m/>
  </r>
  <r>
    <n v="30052"/>
    <s v="RIVER CAUVERY AT AJJIBORE (BANGALORE)"/>
    <x v="26"/>
    <n v="25"/>
    <n v="26"/>
    <n v="7"/>
    <n v="7.7"/>
    <n v="8"/>
    <n v="8.8000000000000007"/>
    <n v="329"/>
    <n v="586"/>
    <n v="1"/>
    <n v="1"/>
    <n v="0"/>
    <n v="1.72"/>
    <n v="11"/>
    <n v="79"/>
    <n v="350"/>
    <n v="350"/>
    <m/>
    <m/>
  </r>
  <r>
    <n v="50"/>
    <s v="RIVER CAUVERY AT METTUR"/>
    <x v="29"/>
    <n v="23"/>
    <n v="31"/>
    <n v="5.2"/>
    <n v="6.5"/>
    <n v="7"/>
    <n v="8.9"/>
    <n v="340"/>
    <n v="1596"/>
    <n v="1"/>
    <n v="2.7"/>
    <n v="0.32"/>
    <n v="0.55000000000000004"/>
    <n v="5"/>
    <n v="17"/>
    <n v="13"/>
    <n v="39"/>
    <m/>
    <m/>
  </r>
  <r>
    <n v="51"/>
    <s v="RIVER CAUVERY AT PALLIPPALAYAM"/>
    <x v="29"/>
    <n v="24"/>
    <n v="30"/>
    <n v="5.9"/>
    <n v="6.7"/>
    <n v="7.2"/>
    <n v="8.3000000000000007"/>
    <n v="304"/>
    <n v="1204"/>
    <n v="1"/>
    <n v="2.7"/>
    <n v="0.32"/>
    <n v="1.22"/>
    <n v="7"/>
    <n v="33"/>
    <n v="14"/>
    <n v="140"/>
    <m/>
    <m/>
  </r>
  <r>
    <n v="1320"/>
    <s v="RIVER CAUVERY AT ERODE NEAR VIRAPALAYAM,"/>
    <x v="29"/>
    <n v="28"/>
    <n v="37"/>
    <n v="5.2"/>
    <n v="6.5"/>
    <n v="7.1"/>
    <n v="8.3000000000000007"/>
    <n v="335"/>
    <n v="1177"/>
    <n v="1"/>
    <n v="3.1"/>
    <n v="0.32"/>
    <n v="3.42"/>
    <n v="14"/>
    <n v="26"/>
    <n v="26"/>
    <n v="70"/>
    <m/>
    <m/>
  </r>
  <r>
    <n v="3015"/>
    <s v="RIVER CAUVERY AT PUGALUR, KARUR, TAMILNADU"/>
    <x v="29"/>
    <n v="26"/>
    <n v="35"/>
    <n v="5.6"/>
    <n v="7.3"/>
    <n v="7.6"/>
    <n v="8.3000000000000007"/>
    <n v="531"/>
    <n v="1085"/>
    <n v="1"/>
    <n v="2.8"/>
    <n v="0.32"/>
    <n v="0.75"/>
    <n v="2"/>
    <n v="21"/>
    <n v="8"/>
    <n v="47"/>
    <m/>
    <m/>
  </r>
  <r>
    <n v="1324"/>
    <s v="RIVER CAUVERY AT MOHANUR NEAR PATTAIPALAYAM,_x000a_TAMILNADU"/>
    <x v="29"/>
    <n v="3"/>
    <n v="33"/>
    <n v="5.5"/>
    <n v="6.7"/>
    <n v="7.6"/>
    <n v="8.6"/>
    <n v="500"/>
    <n v="1336"/>
    <n v="1"/>
    <n v="2.7"/>
    <n v="0.32"/>
    <n v="0.92"/>
    <n v="9"/>
    <n v="24"/>
    <n v="17"/>
    <n v="39"/>
    <m/>
    <m/>
  </r>
  <r>
    <n v="1451"/>
    <s v="RIVER CAUVERY AT THIRUMUKKUDAL-CONFL. PT.OF R._x000a_AMRAVATI, TAMILNADU"/>
    <x v="29"/>
    <n v="26"/>
    <n v="34"/>
    <n v="5.6"/>
    <n v="6.8"/>
    <n v="7.5"/>
    <n v="8.4"/>
    <n v="373"/>
    <n v="1260"/>
    <n v="1"/>
    <n v="2.5"/>
    <n v="0.32"/>
    <n v="1.21"/>
    <n v="2"/>
    <n v="27"/>
    <n v="5"/>
    <n v="130"/>
    <m/>
    <m/>
  </r>
  <r>
    <n v="31"/>
    <s v="RIVER CAUVERY AT MUSIRI"/>
    <x v="29"/>
    <n v="25"/>
    <n v="31"/>
    <n v="6.4"/>
    <n v="8.8000000000000007"/>
    <n v="7.1"/>
    <n v="8.4"/>
    <n v="426"/>
    <n v="978"/>
    <n v="1"/>
    <n v="3"/>
    <n v="0.32"/>
    <n v="2.12"/>
    <n v="6"/>
    <n v="78"/>
    <n v="14"/>
    <n v="400"/>
    <m/>
    <m/>
  </r>
  <r>
    <n v="3016"/>
    <s v="RIVER CAUVERY AT PETTAIVAITHALAI, TRICHY,"/>
    <x v="29"/>
    <n v="25"/>
    <n v="32"/>
    <n v="4.5"/>
    <n v="7.9"/>
    <n v="7.2"/>
    <n v="8.5"/>
    <n v="392"/>
    <n v="932"/>
    <n v="1"/>
    <n v="4"/>
    <n v="0.32"/>
    <n v="2.08"/>
    <n v="7"/>
    <n v="170"/>
    <n v="17"/>
    <n v="940"/>
    <m/>
    <m/>
  </r>
  <r>
    <n v="1202"/>
    <s v="RIVER CAUVERY AT TIRUCHIRAPPALLI U/S, TAMILNADU"/>
    <x v="29"/>
    <n v="25"/>
    <n v="32"/>
    <n v="4.2"/>
    <n v="7.9"/>
    <n v="7.1"/>
    <n v="8.3000000000000007"/>
    <n v="384"/>
    <n v="904"/>
    <n v="1"/>
    <n v="3"/>
    <n v="0.32"/>
    <n v="2.2200000000000002"/>
    <n v="7"/>
    <n v="45"/>
    <n v="24"/>
    <n v="140"/>
    <m/>
    <m/>
  </r>
  <r>
    <n v="1325"/>
    <s v="RIVER CAUVERY AT TIRUCHIRAPPALLI D/S, TAMILNADU"/>
    <x v="29"/>
    <n v="24"/>
    <n v="31"/>
    <n v="5.7"/>
    <n v="8"/>
    <n v="7.3"/>
    <n v="8.5"/>
    <n v="472"/>
    <n v="1016"/>
    <n v="1"/>
    <n v="3"/>
    <n v="0.32"/>
    <n v="18.12"/>
    <n v="7"/>
    <n v="93"/>
    <n v="21"/>
    <n v="330"/>
    <m/>
    <m/>
  </r>
  <r>
    <n v="1203"/>
    <s v="RIVER CAUVERY AT TRICHY, GRAND ANAICUT,"/>
    <x v="29"/>
    <n v="23"/>
    <n v="28"/>
    <n v="4.5"/>
    <n v="7.9"/>
    <n v="7.3"/>
    <n v="8.1"/>
    <n v="472"/>
    <n v="946"/>
    <n v="1"/>
    <n v="2.9"/>
    <n v="0.32"/>
    <n v="6.48"/>
    <n v="2"/>
    <n v="68"/>
    <n v="8"/>
    <n v="680"/>
    <m/>
    <m/>
  </r>
  <r>
    <n v="1206"/>
    <s v="RIVER CAUVERY AT KARUTHATTANUDI THANJAVUR,"/>
    <x v="29"/>
    <n v="24"/>
    <n v="32"/>
    <n v="5.6"/>
    <n v="7.9"/>
    <n v="7.3"/>
    <n v="8.4"/>
    <n v="395"/>
    <n v="890"/>
    <n v="1"/>
    <n v="2.8"/>
    <n v="0.32"/>
    <n v="2.36"/>
    <n v="2"/>
    <n v="20"/>
    <n v="4"/>
    <n v="450"/>
    <m/>
    <m/>
  </r>
  <r>
    <n v="3018"/>
    <s v="RIVER CAUVERY AT MAYILADUTHURAI, NAGAPATTINAM,"/>
    <x v="29"/>
    <n v="23"/>
    <n v="23"/>
    <n v="5.9"/>
    <n v="6.2"/>
    <n v="7.8"/>
    <n v="8"/>
    <n v="583"/>
    <n v="627"/>
    <n v="1"/>
    <n v="1"/>
    <n v="0.32"/>
    <n v="0.5"/>
    <n v="14"/>
    <n v="14"/>
    <n v="26"/>
    <n v="31"/>
    <m/>
    <m/>
  </r>
  <r>
    <n v="3012"/>
    <s v="RIVER CAUVERY AT KOMARAPALAYAM, NAMAKAL,"/>
    <x v="29"/>
    <n v="25"/>
    <n v="30"/>
    <n v="5.8"/>
    <n v="6.5"/>
    <n v="7.4"/>
    <n v="8.3000000000000007"/>
    <n v="368"/>
    <n v="839"/>
    <n v="1"/>
    <n v="2.4"/>
    <n v="0.32"/>
    <n v="1.49"/>
    <n v="11"/>
    <n v="27"/>
    <n v="17"/>
    <n v="110"/>
    <m/>
    <m/>
  </r>
  <r>
    <n v="3013"/>
    <s v="RIVER CAUVERY AT URRACHIKOTTAI, ERODE,"/>
    <x v="29"/>
    <n v="29"/>
    <n v="37"/>
    <n v="4.9000000000000004"/>
    <n v="6.7"/>
    <n v="7.7"/>
    <n v="8.6999999999999993"/>
    <n v="322"/>
    <n v="707"/>
    <n v="1"/>
    <n v="3"/>
    <n v="0.32"/>
    <n v="0.64"/>
    <n v="8"/>
    <n v="27"/>
    <n v="17"/>
    <n v="47"/>
    <m/>
    <m/>
  </r>
  <r>
    <n v="3014"/>
    <s v="RIVER CAUVERY AT SEERAPALAYAM, NAMAKAL,"/>
    <x v="29"/>
    <n v="25"/>
    <n v="30"/>
    <n v="5.9"/>
    <n v="6.5"/>
    <n v="7.5"/>
    <n v="8.4"/>
    <n v="350"/>
    <n v="903"/>
    <n v="1"/>
    <n v="2.1"/>
    <n v="0.32"/>
    <n v="0.92"/>
    <n v="7"/>
    <n v="24"/>
    <n v="14"/>
    <n v="46"/>
    <m/>
    <m/>
  </r>
  <r>
    <n v="4827"/>
    <s v="RIVER CAUVERY LOCATIONS AT KUMARAPALAYAM"/>
    <x v="29"/>
    <n v="24"/>
    <n v="31"/>
    <n v="6.1"/>
    <n v="6.5"/>
    <n v="7.4"/>
    <n v="8.3000000000000007"/>
    <n v="325"/>
    <n v="1306"/>
    <n v="1"/>
    <n v="2.4"/>
    <n v="0.32"/>
    <n v="1.46"/>
    <n v="11"/>
    <n v="40"/>
    <n v="22"/>
    <n v="220"/>
    <m/>
    <m/>
  </r>
  <r>
    <n v="3017"/>
    <s v="RIVER CAUVERY AT KUMBAKONAM, THANJAVUR,"/>
    <x v="29"/>
    <n v="27"/>
    <n v="31"/>
    <n v="5.6"/>
    <n v="6.7"/>
    <n v="7.4"/>
    <n v="7.9"/>
    <n v="340"/>
    <n v="533"/>
    <n v="2.2999999999999998"/>
    <n v="2.8"/>
    <n v="0.32"/>
    <n v="1.04"/>
    <n v="2"/>
    <n v="11"/>
    <n v="2"/>
    <n v="200"/>
    <m/>
    <m/>
  </r>
  <r>
    <n v="1326"/>
    <s v="RIVER CAUVERY AT COLEROON, TAMILNADU"/>
    <x v="29"/>
    <n v="24"/>
    <n v="34"/>
    <n v="5.2"/>
    <n v="6.5"/>
    <n v="7.7"/>
    <n v="8.6"/>
    <n v="819"/>
    <n v="37450"/>
    <n v="2.1"/>
    <n v="16"/>
    <n v="0"/>
    <n v="1.79"/>
    <n v="9"/>
    <n v="26"/>
    <n v="17"/>
    <n v="140"/>
    <m/>
    <m/>
  </r>
  <r>
    <n v="1327"/>
    <s v="RIVER CAUVERY AT PITCHAVARAM, TAMILNADU"/>
    <x v="29"/>
    <n v="22"/>
    <n v="34"/>
    <n v="5.2"/>
    <n v="6.5"/>
    <n v="7.7"/>
    <n v="8.4"/>
    <n v="777"/>
    <n v="44100"/>
    <n v="2.1"/>
    <n v="8"/>
    <n v="0"/>
    <n v="7.32"/>
    <n v="9"/>
    <n v="21"/>
    <n v="17"/>
    <n v="47"/>
    <m/>
    <m/>
  </r>
  <r>
    <n v="1322"/>
    <s v="RIVER CAUVERY AT 1KM. D/S OF BHAVANI CONFL.,R.N._x000a_PUNDUR, TAMILNADU"/>
    <x v="29"/>
    <n v="26"/>
    <n v="37"/>
    <n v="5.2"/>
    <n v="6.5"/>
    <n v="7.3"/>
    <n v="8.6999999999999993"/>
    <n v="331"/>
    <n v="959"/>
    <n v="1"/>
    <n v="3"/>
    <n v="0.32"/>
    <n v="2.92"/>
    <n v="11"/>
    <n v="26"/>
    <n v="17"/>
    <n v="70"/>
    <m/>
    <m/>
  </r>
  <r>
    <n v="10064"/>
    <s v="RIVER CAUVERY AT BHAWANI D/S"/>
    <x v="29"/>
    <n v="28"/>
    <n v="37"/>
    <n v="5.6"/>
    <n v="6.7"/>
    <n v="7.6"/>
    <n v="8.5"/>
    <n v="352"/>
    <n v="681"/>
    <n v="1"/>
    <n v="2.7"/>
    <n v="0"/>
    <n v="0.46"/>
    <n v="2"/>
    <n v="24"/>
    <n v="14"/>
    <n v="70"/>
    <m/>
    <m/>
  </r>
  <r>
    <n v="10065"/>
    <s v="RIVER CAUVERY AT ERODE U/S"/>
    <x v="29"/>
    <n v="28.9"/>
    <n v="37"/>
    <n v="5.7"/>
    <n v="6.7"/>
    <n v="7.7"/>
    <n v="8.6"/>
    <n v="366"/>
    <n v="578"/>
    <n v="1"/>
    <n v="2.8"/>
    <n v="0"/>
    <n v="1.82"/>
    <n v="11"/>
    <n v="26"/>
    <n v="21"/>
    <n v="48"/>
    <m/>
    <m/>
  </r>
  <r>
    <n v="10067"/>
    <s v="RIVER CAUVERY AT KUMARAPALAYAM U/S"/>
    <x v="29"/>
    <n v="24"/>
    <n v="29"/>
    <n v="5.7"/>
    <n v="6.5"/>
    <n v="7.3"/>
    <n v="8.5"/>
    <n v="335"/>
    <n v="665"/>
    <n v="1"/>
    <n v="2.1"/>
    <n v="0.32"/>
    <n v="0.53"/>
    <n v="11"/>
    <n v="21"/>
    <n v="17"/>
    <n v="47"/>
    <m/>
    <m/>
  </r>
  <r>
    <n v="10070"/>
    <s v="RIVER CAUVERY AT PALLIPALAYAM D/S"/>
    <x v="29"/>
    <n v="23"/>
    <n v="29"/>
    <n v="5.7"/>
    <n v="6.8"/>
    <n v="7.3"/>
    <n v="8.4"/>
    <n v="317"/>
    <n v="912"/>
    <n v="1"/>
    <n v="2.7"/>
    <n v="0.32"/>
    <n v="1.71"/>
    <n v="9"/>
    <n v="47"/>
    <n v="21"/>
    <n v="280"/>
    <m/>
    <m/>
  </r>
  <r>
    <n v="10073"/>
    <s v="RIVER CAUVERY AT KARUR U/S"/>
    <x v="29"/>
    <n v="26"/>
    <n v="34"/>
    <n v="5.6"/>
    <n v="6.8"/>
    <n v="7.5"/>
    <n v="8.8000000000000007"/>
    <n v="462"/>
    <n v="1134"/>
    <n v="1"/>
    <n v="2.6"/>
    <n v="0.32"/>
    <n v="1.1299999999999999"/>
    <n v="6"/>
    <n v="24"/>
    <n v="14"/>
    <n v="48"/>
    <m/>
    <m/>
  </r>
  <r>
    <n v="10078"/>
    <s v="RIVER CAUVERY AT MAYILADUTHURAI D/S"/>
    <x v="29"/>
    <n v="20"/>
    <n v="20"/>
    <n v="5.6"/>
    <n v="6.2"/>
    <n v="8.1"/>
    <n v="8.1999999999999993"/>
    <n v="567"/>
    <n v="583"/>
    <n v="1"/>
    <n v="1"/>
    <n v="0.54"/>
    <n v="0.54"/>
    <n v="17"/>
    <n v="20"/>
    <n v="39"/>
    <n v="47"/>
    <m/>
    <m/>
  </r>
  <r>
    <n v="3580"/>
    <s v="RIVER CAUVERY AT WATER SUPPLY INTAKE POINT AT_x000a_SHIVANSAMUDRA"/>
    <x v="26"/>
    <n v="18"/>
    <n v="28"/>
    <n v="6.1"/>
    <n v="7.3"/>
    <n v="7.6"/>
    <n v="8.6"/>
    <n v="219"/>
    <n v="482"/>
    <n v="1"/>
    <n v="3"/>
    <n v="0.88"/>
    <n v="2.6"/>
    <n v="68"/>
    <n v="120"/>
    <n v="630"/>
    <n v="1300"/>
    <m/>
    <m/>
  </r>
  <r>
    <n v="5587"/>
    <s v="RIVER CAUVERY AT BALMAVATI BRIDGE TO THANDRA_x000a_HOLE TRIBUTARY"/>
    <x v="26"/>
    <n v="17"/>
    <n v="20"/>
    <n v="6.7"/>
    <n v="7.3"/>
    <n v="7.3"/>
    <n v="8"/>
    <n v="40"/>
    <n v="91"/>
    <n v="1"/>
    <n v="2"/>
    <n v="0.3"/>
    <n v="0.64"/>
    <n v="17"/>
    <n v="41"/>
    <n v="220"/>
    <n v="350"/>
    <m/>
    <m/>
  </r>
  <r>
    <n v="1205"/>
    <s v="RIVER BHAVANI AT BHAVANI, TAMILNADU"/>
    <x v="29"/>
    <n v="28.7"/>
    <n v="37"/>
    <n v="5.3"/>
    <n v="6.7"/>
    <n v="7.6"/>
    <n v="8.5"/>
    <n v="342"/>
    <n v="968"/>
    <n v="1"/>
    <n v="2.4"/>
    <n v="0.32"/>
    <n v="3.92"/>
    <n v="7"/>
    <n v="24"/>
    <n v="12"/>
    <n v="39"/>
    <m/>
    <m/>
  </r>
  <r>
    <n v="1201"/>
    <s v="RIVER BHAVANI AT BADTHARAKALIAMMAN KOIL,_x000a_TAMILNADU"/>
    <x v="29"/>
    <n v="19"/>
    <n v="30"/>
    <n v="5.6"/>
    <n v="6.6"/>
    <n v="6.9"/>
    <n v="8"/>
    <n v="93"/>
    <n v="409"/>
    <n v="1"/>
    <n v="2.7"/>
    <n v="0.32"/>
    <n v="0.74"/>
    <n v="7"/>
    <n v="140"/>
    <n v="14"/>
    <n v="320"/>
    <m/>
    <m/>
  </r>
  <r>
    <n v="1204"/>
    <s v="RIVER BHAVANI AT SIRUMUGAI, TAMILNADU"/>
    <x v="29"/>
    <n v="20"/>
    <n v="30"/>
    <n v="5.6"/>
    <n v="6.9"/>
    <n v="7"/>
    <n v="8.4"/>
    <n v="128"/>
    <n v="391"/>
    <n v="1"/>
    <n v="2.4"/>
    <n v="0.32"/>
    <n v="1.25"/>
    <n v="8"/>
    <n v="68"/>
    <n v="14"/>
    <n v="200"/>
    <m/>
    <m/>
  </r>
  <r>
    <n v="1321"/>
    <s v="RIVER BHAVANI AT BHAVANI SAGAR, TAMILNADU"/>
    <x v="29"/>
    <n v="26"/>
    <n v="34"/>
    <n v="5.2"/>
    <n v="6.5"/>
    <n v="7.2"/>
    <n v="8.6"/>
    <n v="184"/>
    <n v="579"/>
    <n v="1"/>
    <n v="2.9"/>
    <n v="0.32"/>
    <n v="1.47"/>
    <n v="11"/>
    <n v="17"/>
    <n v="20"/>
    <n v="40"/>
    <m/>
    <m/>
  </r>
  <r>
    <n v="3019"/>
    <s v="RIVER BHAVANI AT D/S OF BHAVANISAGAR,_x000a_SATHYAMANGALAM, ERODE, TAMILNADU"/>
    <x v="29"/>
    <n v="27"/>
    <n v="34"/>
    <n v="5.8"/>
    <n v="6.9"/>
    <n v="7.3"/>
    <n v="8.1"/>
    <n v="159"/>
    <n v="436"/>
    <n v="1"/>
    <n v="2.7"/>
    <n v="0.32"/>
    <n v="2.95"/>
    <n v="9"/>
    <n v="68"/>
    <n v="14"/>
    <n v="170"/>
    <m/>
    <m/>
  </r>
  <r>
    <n v="3020"/>
    <s v="RIVER BHAVANI AT U/S OF KALINGARAYAN CANAL (B5),_x000a_ERODE, TAMILNADU"/>
    <x v="29"/>
    <n v="29"/>
    <n v="37"/>
    <n v="5.2"/>
    <n v="6.7"/>
    <n v="7.7"/>
    <n v="8.6"/>
    <n v="336"/>
    <n v="955"/>
    <n v="1"/>
    <n v="3"/>
    <n v="0.32"/>
    <n v="2.63"/>
    <n v="8"/>
    <n v="21"/>
    <n v="20"/>
    <n v="48"/>
    <m/>
    <m/>
  </r>
  <r>
    <n v="3021"/>
    <s v="RIVER BHAVANI AT D/S OF KALINGARAYAN CANAL (B10),_x000a_ERODE, TAMILNADU"/>
    <x v="29"/>
    <n v="28"/>
    <n v="37"/>
    <n v="5.7"/>
    <n v="6.7"/>
    <n v="7.8"/>
    <n v="8.8000000000000007"/>
    <n v="341"/>
    <n v="947"/>
    <n v="1"/>
    <n v="2.7"/>
    <n v="0.32"/>
    <n v="0.89"/>
    <n v="11"/>
    <n v="22"/>
    <n v="21"/>
    <n v="49"/>
    <m/>
    <m/>
  </r>
  <r>
    <n v="1893"/>
    <s v="RIVER YAGACHI NEAR PUMPING STATION, HASSAN CITY"/>
    <x v="26"/>
    <n v="23"/>
    <n v="28"/>
    <n v="5"/>
    <n v="7.1"/>
    <n v="7.4"/>
    <n v="8.3000000000000007"/>
    <n v="220"/>
    <n v="590"/>
    <n v="2"/>
    <n v="3"/>
    <n v="0.2"/>
    <n v="0.87"/>
    <n v="110"/>
    <n v="470"/>
    <n v="920"/>
    <n v="3500"/>
    <n v="11"/>
    <n v="17"/>
  </r>
  <r>
    <n v="1199"/>
    <s v="RIVER HEMAVATHI AT D/S OF HOLENARASIPURA TOWN_x000a_AT RAMADEV WEIR"/>
    <x v="26"/>
    <n v="22"/>
    <n v="27"/>
    <n v="6.4"/>
    <n v="7.7"/>
    <n v="7.4"/>
    <n v="8.1999999999999993"/>
    <n v="120"/>
    <n v="280"/>
    <n v="2"/>
    <n v="2.2000000000000002"/>
    <n v="0.3"/>
    <n v="0.63"/>
    <n v="70"/>
    <n v="120"/>
    <n v="540"/>
    <n v="1100"/>
    <m/>
    <m/>
  </r>
  <r>
    <n v="1166"/>
    <s v="RIVER SHIMSHA AT D/S OF BRIDGE, HALAGUR"/>
    <x v="26"/>
    <n v="21"/>
    <n v="27"/>
    <n v="5.3"/>
    <n v="6.5"/>
    <n v="7.8"/>
    <n v="8.6"/>
    <n v="568"/>
    <n v="737"/>
    <n v="2.5"/>
    <n v="4.5"/>
    <n v="1.2"/>
    <n v="4.8"/>
    <n v="140"/>
    <n v="390"/>
    <n v="1500"/>
    <n v="4300"/>
    <m/>
    <m/>
  </r>
  <r>
    <n v="1200"/>
    <s v="RIVER SHIMSHA AT D/S OF HIGHWAY BRIDGE, YEDIYUR"/>
    <x v="26"/>
    <n v="23"/>
    <n v="31"/>
    <n v="2.1"/>
    <n v="6.3"/>
    <n v="6.7"/>
    <n v="7.4"/>
    <n v="194"/>
    <n v="578"/>
    <n v="4"/>
    <n v="18"/>
    <n v="0.6"/>
    <n v="7"/>
    <n v="40"/>
    <n v="17000"/>
    <n v="350"/>
    <n v="160000"/>
    <n v="11"/>
    <n v="920"/>
  </r>
  <r>
    <n v="3567"/>
    <s v="RIVER SHIMSHA D/S NEAR MADDUAR TOWN"/>
    <x v="26"/>
    <n v="23"/>
    <n v="30"/>
    <n v="4.5999999999999996"/>
    <n v="6.4"/>
    <n v="7.8"/>
    <n v="8.6"/>
    <n v="622"/>
    <n v="740"/>
    <n v="2.5"/>
    <n v="5"/>
    <n v="2.2999999999999998"/>
    <n v="3.5"/>
    <n v="150"/>
    <n v="400"/>
    <n v="1500"/>
    <n v="3500"/>
    <m/>
    <m/>
  </r>
  <r>
    <n v="3022"/>
    <s v="RIVER THIRUMANIMUTHAR AT SALEM, D/S OF SAGO &amp;_x000a_TEXTILE DYING INDUSTRIES, TAMILNADU"/>
    <x v="29"/>
    <n v="25"/>
    <n v="32"/>
    <n v="0.3"/>
    <n v="5.2"/>
    <n v="7"/>
    <n v="7.9"/>
    <n v="1075"/>
    <n v="2250"/>
    <n v="2.1"/>
    <n v="27"/>
    <n v="0.32"/>
    <n v="1.36"/>
    <n v="7"/>
    <n v="21000"/>
    <n v="14"/>
    <n v="47000"/>
    <m/>
    <m/>
  </r>
  <r>
    <n v="3023"/>
    <s v="RIVER VASISTA AT THULUKANNUR AT SALEM, D/S OF_x000a_SAGO INDUSRIES EFFLUENT, TAMILNADU"/>
    <x v="29"/>
    <n v="26"/>
    <n v="31"/>
    <n v="0.3"/>
    <n v="6"/>
    <n v="6.9"/>
    <n v="8"/>
    <n v="878"/>
    <n v="2350"/>
    <n v="2.7"/>
    <n v="120"/>
    <n v="0.32"/>
    <n v="4.43"/>
    <n v="9"/>
    <n v="390000"/>
    <n v="20"/>
    <n v="470000"/>
    <m/>
    <m/>
  </r>
  <r>
    <n v="1319"/>
    <s v="RIVER AMRAVATI AT 1KM D/S FROM EFF.DIS. PT. AT_x000a_MADHUTHUKKULAM"/>
    <x v="29"/>
    <n v="22"/>
    <n v="32"/>
    <n v="5.2"/>
    <n v="7.5"/>
    <n v="7"/>
    <n v="8.1"/>
    <n v="84"/>
    <n v="395"/>
    <n v="1"/>
    <n v="2.4"/>
    <n v="0.32"/>
    <n v="0.82"/>
    <n v="2"/>
    <n v="17"/>
    <n v="11"/>
    <n v="39"/>
    <m/>
    <m/>
  </r>
  <r>
    <n v="4812"/>
    <s v="RIVER LOCATED ON THE SOUTHERN BANK OF_x000a_AMARAVATHI AND DOWNSTREAM SIDE OF KARUR_x000a_DYEING CLUSTER"/>
    <x v="29"/>
    <n v="3"/>
    <n v="31"/>
    <n v="5.2"/>
    <n v="6.7"/>
    <n v="7.3"/>
    <n v="8.1999999999999993"/>
    <n v="2612"/>
    <n v="3550"/>
    <n v="1"/>
    <n v="3"/>
    <n v="0.32"/>
    <n v="2.69"/>
    <n v="2"/>
    <n v="17"/>
    <n v="2"/>
    <n v="49"/>
    <m/>
    <m/>
  </r>
  <r>
    <n v="4813"/>
    <s v="RIVER LOCATED ADJACENT TO KARU MSW DUMP SITE_x000a_AND ON THE NORTHERN BANK OF AMARAVATHI AND_x000a_DOWNSTREAM SIDE OF KARU DYEING CLUSTER"/>
    <x v="29"/>
    <n v="25"/>
    <n v="34"/>
    <n v="5.5"/>
    <n v="6.8"/>
    <n v="7.1"/>
    <n v="7.9"/>
    <n v="1769"/>
    <n v="2850"/>
    <n v="1"/>
    <n v="2.8"/>
    <n v="0.32"/>
    <n v="3.52"/>
    <n v="4"/>
    <n v="40"/>
    <n v="17"/>
    <n v="540"/>
    <m/>
    <m/>
  </r>
  <r>
    <n v="1165"/>
    <s v="RIVER ARKAVATHI AT D/S OF KANAKAPURA TOWN"/>
    <x v="26"/>
    <n v="25"/>
    <n v="35"/>
    <n v="3.2"/>
    <n v="7"/>
    <n v="6.7"/>
    <n v="7.9"/>
    <n v="499"/>
    <n v="1520"/>
    <n v="4"/>
    <n v="18"/>
    <n v="1.9"/>
    <n v="5.8"/>
    <n v="40"/>
    <n v="15000"/>
    <n v="540"/>
    <n v="160000"/>
    <n v="70"/>
    <n v="2400"/>
  </r>
  <r>
    <n v="2778"/>
    <s v="RIVER ARKAVATHI AT TIPPAGONDANAHALLI RESERVOIR"/>
    <x v="26"/>
    <n v="25"/>
    <n v="31"/>
    <n v="1.8"/>
    <n v="6.1"/>
    <n v="6.6"/>
    <n v="8.1"/>
    <n v="664"/>
    <n v="2082"/>
    <n v="4"/>
    <n v="21"/>
    <n v="2"/>
    <n v="16"/>
    <n v="31"/>
    <n v="84000"/>
    <n v="140"/>
    <n v="920000"/>
    <n v="23"/>
    <n v="1600"/>
  </r>
  <r>
    <n v="2779"/>
    <s v="RIVER ARKAVATHI AT HESARAGHATTA RESERVOIR"/>
    <x v="26"/>
    <n v="24"/>
    <n v="27"/>
    <n v="0.3"/>
    <n v="6.1"/>
    <n v="6"/>
    <n v="7.1"/>
    <n v="280"/>
    <n v="976"/>
    <n v="4"/>
    <n v="72"/>
    <n v="0.9"/>
    <n v="3.74"/>
    <n v="14"/>
    <n v="4900"/>
    <n v="170"/>
    <n v="35000"/>
    <m/>
    <m/>
  </r>
  <r>
    <n v="4108"/>
    <s v="RIVER AKRAVATHI BEFORE CONFLUENCE AT SANGAM"/>
    <x v="26"/>
    <n v="25"/>
    <n v="36"/>
    <n v="3.1"/>
    <n v="6.3"/>
    <n v="6.7"/>
    <n v="8.1999999999999993"/>
    <n v="396"/>
    <n v="1418"/>
    <n v="4"/>
    <n v="20"/>
    <n v="1.7"/>
    <n v="5"/>
    <n v="21"/>
    <n v="11000"/>
    <n v="110"/>
    <n v="160000"/>
    <m/>
    <m/>
  </r>
  <r>
    <n v="41"/>
    <s v="RIVER KABINI AT CAUSE WAY SATTUR"/>
    <x v="26"/>
    <n v="20"/>
    <n v="29"/>
    <n v="5.0999999999999996"/>
    <n v="6.9"/>
    <n v="7.7"/>
    <n v="8.3000000000000007"/>
    <n v="197"/>
    <n v="555"/>
    <n v="2"/>
    <n v="4"/>
    <n v="0.32"/>
    <n v="3.2"/>
    <n v="110"/>
    <n v="220"/>
    <n v="1100"/>
    <n v="1700"/>
    <m/>
    <m/>
  </r>
  <r>
    <n v="1197"/>
    <s v="RIVER KABINI AT SARAGUR VILLAGE D/S"/>
    <x v="26"/>
    <n v="22"/>
    <n v="30"/>
    <n v="5.6"/>
    <n v="6.8"/>
    <n v="7.4"/>
    <n v="8.4"/>
    <n v="152"/>
    <n v="360"/>
    <n v="2"/>
    <n v="4"/>
    <n v="0.3"/>
    <n v="2.1"/>
    <n v="93"/>
    <n v="320"/>
    <n v="1100"/>
    <n v="1700"/>
    <m/>
    <m/>
  </r>
  <r>
    <n v="1207"/>
    <s v="RIVER KABANI AT MUTHANKARA, WAYANAD"/>
    <x v="30"/>
    <n v="24"/>
    <n v="32"/>
    <n v="6.1"/>
    <n v="7.7"/>
    <n v="6.5"/>
    <n v="7.3"/>
    <n v="65"/>
    <n v="169"/>
    <n v="1"/>
    <n v="1.2"/>
    <n v="0.3"/>
    <n v="0.3"/>
    <n v="8"/>
    <n v="130"/>
    <n v="22"/>
    <n v="150"/>
    <n v="2"/>
    <n v="58"/>
  </r>
  <r>
    <n v="1445"/>
    <s v="RIVER KABINI AT WATER INTAKE OF KIADB AT_x000a_NANJANGUD"/>
    <x v="26"/>
    <n v="19"/>
    <n v="29"/>
    <n v="6.3"/>
    <n v="7.3"/>
    <n v="7.8"/>
    <n v="8.4"/>
    <n v="159"/>
    <n v="358"/>
    <n v="1"/>
    <n v="3"/>
    <n v="0.32"/>
    <n v="2.2999999999999998"/>
    <n v="65"/>
    <n v="120"/>
    <n v="700"/>
    <n v="1200"/>
    <m/>
    <m/>
  </r>
  <r>
    <n v="2775"/>
    <s v="RIVER KABINI AT BATHING GHAT, NANJANAGUD"/>
    <x v="26"/>
    <n v="19"/>
    <n v="30"/>
    <n v="5"/>
    <n v="6.6"/>
    <n v="7.6"/>
    <n v="8.6"/>
    <n v="259"/>
    <n v="555"/>
    <n v="3"/>
    <n v="4.5"/>
    <n v="0.3"/>
    <n v="4.2"/>
    <n v="150"/>
    <n v="390"/>
    <n v="1500"/>
    <n v="2400"/>
    <m/>
    <m/>
  </r>
  <r>
    <n v="3575"/>
    <s v="RIVER KABINI U/S INTAKE POINT TO NANJANAGUD &amp;_x000a_GUNDLUPET AT DEBUR"/>
    <x v="26"/>
    <n v="19"/>
    <n v="30"/>
    <n v="5.8"/>
    <n v="7.2"/>
    <n v="7.7"/>
    <n v="8.4"/>
    <n v="174"/>
    <n v="460"/>
    <n v="1"/>
    <n v="3.5"/>
    <n v="0.3"/>
    <n v="2.9"/>
    <n v="93"/>
    <n v="320"/>
    <n v="1100"/>
    <n v="2300"/>
    <m/>
    <m/>
  </r>
  <r>
    <n v="3577"/>
    <s v="RIVER KABINI AT WATER SUPPLY INTAKE POINT TO T._x000a_NARASIPURA"/>
    <x v="26"/>
    <n v="21"/>
    <n v="29"/>
    <n v="4.4000000000000004"/>
    <n v="6.5"/>
    <n v="7.9"/>
    <n v="8.5"/>
    <n v="258"/>
    <n v="564"/>
    <n v="2.5"/>
    <n v="6"/>
    <n v="0.56000000000000005"/>
    <n v="4.8"/>
    <n v="130"/>
    <n v="340"/>
    <n v="1500"/>
    <n v="2400"/>
    <m/>
    <m/>
  </r>
  <r>
    <n v="1196"/>
    <s v="RIVER LAKSHMANTIRTHA AT D/S OF HUNSUR TOWN"/>
    <x v="26"/>
    <n v="22"/>
    <n v="31"/>
    <n v="2.5"/>
    <n v="6.2"/>
    <n v="7.3"/>
    <n v="8.4"/>
    <n v="319"/>
    <n v="859"/>
    <n v="3"/>
    <n v="8"/>
    <n v="1.5"/>
    <n v="5.4"/>
    <n v="140"/>
    <n v="680"/>
    <n v="2100"/>
    <n v="4100"/>
    <m/>
    <m/>
  </r>
  <r>
    <n v="2772"/>
    <s v="RIVER LAKSHMANTIRTHA AT D/S OF KATTEMALAVADI"/>
    <x v="26"/>
    <n v="22"/>
    <n v="31"/>
    <n v="3"/>
    <n v="6.4"/>
    <n v="7.2"/>
    <n v="8.5"/>
    <n v="318"/>
    <n v="767"/>
    <n v="3"/>
    <n v="8"/>
    <n v="1.4"/>
    <n v="5.6"/>
    <n v="140"/>
    <n v="480"/>
    <n v="2100"/>
    <n v="4300"/>
    <m/>
    <m/>
  </r>
  <r>
    <n v="3572"/>
    <s v="RIVER LAKSHMANTIRTHA AT WATER SUPPLY INTAKE_x000a_POINT TO HUNSUR TOWN"/>
    <x v="26"/>
    <n v="22"/>
    <n v="31"/>
    <n v="4.4000000000000004"/>
    <n v="6.4"/>
    <n v="7.6"/>
    <n v="8.5"/>
    <n v="290"/>
    <n v="660"/>
    <n v="3"/>
    <n v="6"/>
    <n v="1.2"/>
    <n v="3.9"/>
    <n v="120"/>
    <n v="410"/>
    <n v="2100"/>
    <n v="3500"/>
    <m/>
    <m/>
  </r>
  <r>
    <n v="3024"/>
    <s v="RIVER SARABANGA AT EDAPADI AT SALEM, D/S OF_x000a_TEXTILE DYEING INDUSTRIES EFFLUENT, TAMILNADU"/>
    <x v="29"/>
    <n v="23"/>
    <n v="30"/>
    <n v="0.3"/>
    <n v="5.9"/>
    <n v="6.8"/>
    <n v="8.1999999999999993"/>
    <n v="1413"/>
    <n v="3710"/>
    <n v="1.8"/>
    <n v="36"/>
    <n v="0.32"/>
    <n v="1.53"/>
    <n v="14"/>
    <n v="26000"/>
    <n v="26"/>
    <n v="220000"/>
    <m/>
    <m/>
  </r>
  <r>
    <n v="10034"/>
    <s v="RIVER ADYAR AT EKKATTUTHANGAL"/>
    <x v="29"/>
    <n v="27"/>
    <n v="31"/>
    <n v="0.3"/>
    <n v="3.6"/>
    <n v="6.8"/>
    <n v="7.8"/>
    <n v="490"/>
    <n v="2120"/>
    <n v="4.2"/>
    <n v="25"/>
    <n v="1.22"/>
    <n v="32"/>
    <n v="18"/>
    <n v="470"/>
    <n v="310"/>
    <n v="1400"/>
    <m/>
    <m/>
  </r>
  <r>
    <n v="10035"/>
    <s v="RIVER ADYAR AT JAFERKHANPET"/>
    <x v="29"/>
    <n v="27"/>
    <n v="31"/>
    <n v="0.3"/>
    <n v="2.9"/>
    <n v="6.7"/>
    <n v="7.5"/>
    <n v="476"/>
    <n v="2040"/>
    <n v="5.3"/>
    <n v="25"/>
    <n v="1.06"/>
    <n v="31"/>
    <n v="18"/>
    <n v="330"/>
    <n v="360"/>
    <n v="1400"/>
    <m/>
    <m/>
  </r>
  <r>
    <n v="10036"/>
    <s v="RIVER ADYAR AT MARAIMALAI BRIDGE"/>
    <x v="29"/>
    <n v="27"/>
    <n v="32"/>
    <n v="0.3"/>
    <n v="3.9"/>
    <n v="6.9"/>
    <n v="7.4"/>
    <n v="398"/>
    <n v="1986"/>
    <n v="4.5"/>
    <n v="20"/>
    <n v="0.32"/>
    <n v="16.02"/>
    <n v="40"/>
    <n v="270"/>
    <n v="200"/>
    <n v="1400"/>
    <m/>
    <m/>
  </r>
  <r>
    <n v="10038"/>
    <s v="RIVER ADYAR AT KOTTURPURAM BRIDGE"/>
    <x v="29"/>
    <n v="28"/>
    <n v="33"/>
    <n v="0.3"/>
    <n v="2.7"/>
    <n v="6.6"/>
    <n v="7.4"/>
    <n v="378"/>
    <n v="20600"/>
    <n v="6"/>
    <n v="40"/>
    <n v="0.32"/>
    <n v="18.02"/>
    <n v="2"/>
    <n v="320"/>
    <n v="330"/>
    <n v="1700"/>
    <m/>
    <m/>
  </r>
  <r>
    <n v="10039"/>
    <s v="RIVER ADYAR NEAR BOAT CLUB"/>
    <x v="29"/>
    <n v="28"/>
    <n v="33"/>
    <n v="0.3"/>
    <n v="4.0999999999999996"/>
    <n v="6.5"/>
    <n v="7.3"/>
    <n v="426"/>
    <n v="16410"/>
    <n v="4.5999999999999996"/>
    <n v="38"/>
    <n v="1.25"/>
    <n v="18.5"/>
    <n v="40"/>
    <n v="320"/>
    <n v="460"/>
    <n v="1500"/>
    <m/>
    <m/>
  </r>
  <r>
    <n v="10040"/>
    <s v="RIVER COOUM AT ANNA NAGAR"/>
    <x v="29"/>
    <n v="28"/>
    <n v="32"/>
    <n v="0.3"/>
    <n v="1.9"/>
    <n v="6.5"/>
    <n v="7.1"/>
    <n v="647"/>
    <n v="2270"/>
    <n v="7"/>
    <n v="33"/>
    <n v="0.32"/>
    <n v="14"/>
    <n v="68"/>
    <n v="520"/>
    <n v="680"/>
    <n v="2200"/>
    <m/>
    <m/>
  </r>
  <r>
    <n v="10041"/>
    <s v="RIVER COOUM AT ARUMBAKKAM"/>
    <x v="29"/>
    <n v="28"/>
    <n v="33"/>
    <n v="0.3"/>
    <n v="2.4"/>
    <n v="6.6"/>
    <n v="7.3"/>
    <n v="638"/>
    <n v="2290"/>
    <n v="6"/>
    <n v="83"/>
    <n v="0.32"/>
    <n v="16.02"/>
    <n v="61"/>
    <n v="390"/>
    <n v="630"/>
    <n v="2000"/>
    <m/>
    <m/>
  </r>
  <r>
    <n v="10042"/>
    <s v="RIVER COOUM AT AMANJIKARAI"/>
    <x v="29"/>
    <n v="28"/>
    <n v="32"/>
    <n v="0.3"/>
    <n v="4.4000000000000004"/>
    <n v="6.6"/>
    <n v="7.1"/>
    <n v="610"/>
    <n v="2310"/>
    <n v="5.5"/>
    <n v="131"/>
    <n v="0.32"/>
    <n v="15"/>
    <n v="81"/>
    <n v="340"/>
    <n v="490"/>
    <n v="2100"/>
    <m/>
    <m/>
  </r>
  <r>
    <n v="10043"/>
    <s v="RIVER COOUM AT POONAMALLE"/>
    <x v="29"/>
    <n v="27"/>
    <n v="33"/>
    <n v="0.3"/>
    <n v="3.4"/>
    <n v="6.7"/>
    <n v="7.3"/>
    <n v="1053"/>
    <n v="2510"/>
    <n v="4"/>
    <n v="27"/>
    <n v="0.82"/>
    <n v="61.52"/>
    <n v="2"/>
    <n v="330"/>
    <n v="310"/>
    <n v="1700"/>
    <m/>
    <m/>
  </r>
  <r>
    <n v="10044"/>
    <s v="RIVER COOUM AT COLLAGE ROAD"/>
    <x v="29"/>
    <n v="27"/>
    <n v="33"/>
    <n v="0.3"/>
    <n v="3.2"/>
    <n v="6.8"/>
    <n v="7.2"/>
    <n v="495"/>
    <n v="2460"/>
    <n v="5.6"/>
    <n v="46"/>
    <n v="0.32"/>
    <n v="23"/>
    <n v="45"/>
    <n v="380"/>
    <n v="600"/>
    <n v="2000"/>
    <m/>
    <m/>
  </r>
  <r>
    <n v="10045"/>
    <s v="RIVER COOUM NEAR CENTRAL JAIL"/>
    <x v="29"/>
    <n v="27"/>
    <n v="33"/>
    <n v="0.3"/>
    <n v="1"/>
    <n v="6.6"/>
    <n v="7"/>
    <n v="1217"/>
    <n v="3240"/>
    <n v="13"/>
    <n v="36"/>
    <n v="1.1000000000000001"/>
    <n v="13.43"/>
    <n v="45"/>
    <n v="780"/>
    <n v="460"/>
    <n v="3300"/>
    <m/>
    <m/>
  </r>
  <r>
    <n v="10046"/>
    <s v="RIVER COOUM AT NAPIER BRIDGE"/>
    <x v="29"/>
    <n v="28"/>
    <n v="33"/>
    <n v="0.3"/>
    <n v="2.5"/>
    <n v="6.7"/>
    <n v="7.1"/>
    <n v="797"/>
    <n v="36200"/>
    <n v="8.1"/>
    <n v="52"/>
    <n v="0.32"/>
    <n v="14.49"/>
    <n v="2"/>
    <n v="470"/>
    <n v="370"/>
    <n v="2500"/>
    <m/>
    <m/>
  </r>
  <r>
    <n v="10059"/>
    <s v="RIVER VAIGAI AT MADURAI U/S"/>
    <x v="29"/>
    <n v="26"/>
    <n v="29"/>
    <n v="5.3"/>
    <n v="6.8"/>
    <n v="7.3"/>
    <n v="7.7"/>
    <n v="305"/>
    <n v="655"/>
    <n v="1"/>
    <n v="3"/>
    <n v="0.32"/>
    <n v="0.71"/>
    <n v="2"/>
    <n v="17"/>
    <n v="11"/>
    <n v="49"/>
    <m/>
    <m/>
  </r>
  <r>
    <n v="10060"/>
    <s v="RIVER VAIGAI AT MADURAI D/S"/>
    <x v="29"/>
    <n v="25"/>
    <n v="29"/>
    <n v="5.4"/>
    <n v="6.6"/>
    <n v="7.2"/>
    <n v="7.8"/>
    <n v="438"/>
    <n v="1721"/>
    <n v="1"/>
    <n v="6"/>
    <n v="0.32"/>
    <n v="1.41"/>
    <n v="17"/>
    <n v="24"/>
    <n v="26"/>
    <n v="49"/>
    <m/>
    <m/>
  </r>
  <r>
    <n v="10057"/>
    <s v="RIVER VENNAR AT THANJAVUR U/S"/>
    <x v="29"/>
    <n v="24"/>
    <n v="32"/>
    <n v="5.6"/>
    <n v="7.8"/>
    <n v="7.5"/>
    <n v="8.6999999999999993"/>
    <n v="395"/>
    <n v="1042"/>
    <n v="1"/>
    <n v="2.8"/>
    <n v="0.39"/>
    <n v="2.36"/>
    <n v="2"/>
    <n v="18"/>
    <n v="4"/>
    <n v="39"/>
    <m/>
    <m/>
  </r>
  <r>
    <n v="10058"/>
    <s v="RIVER VENNAR AT THANJAVUR D/S"/>
    <x v="29"/>
    <n v="23"/>
    <n v="32"/>
    <n v="5.3"/>
    <n v="7.9"/>
    <n v="7.3"/>
    <n v="9"/>
    <n v="404"/>
    <n v="1036"/>
    <n v="1"/>
    <n v="3"/>
    <n v="0.32"/>
    <n v="1.1499999999999999"/>
    <n v="2"/>
    <n v="18"/>
    <n v="2"/>
    <n v="230"/>
    <m/>
    <m/>
  </r>
  <r>
    <n v="5578"/>
    <s v="RIVER SHIMSHA DOWNSTREAM OF MADDUR NEAR_x000a_VYDYANATHESWARA TEMPLE ROAD BRIDGE,MAYDYA"/>
    <x v="26"/>
    <n v="24"/>
    <n v="29"/>
    <n v="5.2"/>
    <n v="6.1"/>
    <n v="7.8"/>
    <n v="8.1999999999999993"/>
    <n v="637"/>
    <n v="734"/>
    <n v="3.5"/>
    <n v="6"/>
    <n v="2.9"/>
    <n v="5.0999999999999996"/>
    <n v="340"/>
    <n v="780"/>
    <n v="2400"/>
    <n v="5800"/>
    <m/>
    <m/>
  </r>
  <r>
    <n v="4501"/>
    <s v="RIVER ARKAVATHI AT MANCHANBELE RESERVOIR,_x000a_MANCHANABALE DAM"/>
    <x v="26"/>
    <n v="25"/>
    <n v="35"/>
    <n v="2.5"/>
    <n v="6.1"/>
    <n v="6.9"/>
    <n v="7.5"/>
    <n v="582"/>
    <n v="1072"/>
    <n v="4"/>
    <n v="8"/>
    <n v="2"/>
    <n v="19"/>
    <n v="23"/>
    <n v="7900"/>
    <n v="540"/>
    <n v="160000"/>
    <n v="1600"/>
    <n v="1600"/>
  </r>
  <r>
    <n v="1208"/>
    <s v="RIVER BHAVANI AT ELACHIVAZHY, PALAKKAD"/>
    <x v="30"/>
    <n v="23"/>
    <n v="30"/>
    <n v="7.1"/>
    <n v="8.3000000000000007"/>
    <n v="7.6"/>
    <n v="8.1"/>
    <n v="80"/>
    <n v="240"/>
    <n v="1"/>
    <n v="2.4"/>
    <n v="0.3"/>
    <n v="0.46"/>
    <n v="2"/>
    <n v="400"/>
    <n v="100"/>
    <n v="800"/>
    <n v="2"/>
    <n v="60"/>
  </r>
  <r>
    <n v="5228"/>
    <s v="RIVER KABANI AT MUTHANGA,WAYANAD"/>
    <x v="30"/>
    <n v="20"/>
    <n v="28"/>
    <n v="6.2"/>
    <n v="7.4"/>
    <n v="6.5"/>
    <n v="7.2"/>
    <n v="98"/>
    <n v="151"/>
    <n v="1"/>
    <n v="2"/>
    <n v="0.3"/>
    <n v="0.3"/>
    <n v="8"/>
    <n v="63"/>
    <n v="26"/>
    <n v="170"/>
    <n v="2"/>
    <n v="55"/>
  </r>
  <r>
    <n v="5229"/>
    <s v="RIVER KABANI AT BANASURA SAGAR DAM AT_x000a_KALPETTA,WAYANAD"/>
    <x v="30"/>
    <n v="23"/>
    <n v="33"/>
    <n v="5.6"/>
    <n v="8.1"/>
    <n v="6.5"/>
    <n v="7.5"/>
    <n v="23"/>
    <n v="37"/>
    <n v="1"/>
    <n v="1.6"/>
    <n v="0.3"/>
    <n v="0.3"/>
    <n v="2"/>
    <n v="79"/>
    <n v="4"/>
    <n v="140"/>
    <n v="2"/>
    <n v="46"/>
  </r>
  <r>
    <n v="5227"/>
    <s v="RIVER KALINDI AT BAVALI, WAYANAD"/>
    <x v="30"/>
    <n v="22"/>
    <n v="31"/>
    <n v="6.2"/>
    <n v="8"/>
    <n v="6.5"/>
    <n v="7.3"/>
    <n v="68"/>
    <n v="201"/>
    <n v="1"/>
    <n v="1.8"/>
    <n v="0.3"/>
    <n v="0.3"/>
    <n v="8"/>
    <n v="70"/>
    <n v="31"/>
    <n v="120"/>
    <n v="2"/>
    <n v="58"/>
  </r>
  <r>
    <n v="5226"/>
    <s v="RIVER PAPANASINI AT THIRUNELLY, WAYANAD"/>
    <x v="30"/>
    <n v="22"/>
    <n v="32"/>
    <n v="6.6"/>
    <n v="8.3000000000000007"/>
    <n v="6.5"/>
    <n v="7.2"/>
    <n v="41"/>
    <n v="111"/>
    <n v="1"/>
    <n v="1.5"/>
    <n v="0.3"/>
    <n v="0.3"/>
    <n v="4"/>
    <n v="130"/>
    <n v="12"/>
    <n v="210"/>
    <n v="2"/>
    <n v="79"/>
  </r>
  <r>
    <n v="30053"/>
    <s v="RIVER THENPENNAIYAR AT CHOKKARASANAHALLI_x000a_BRIDGE (BANGALORE)"/>
    <x v="26"/>
    <n v="24"/>
    <n v="26"/>
    <n v="0.3"/>
    <n v="0.3"/>
    <n v="7.3"/>
    <n v="7.9"/>
    <n v="1192"/>
    <n v="1474"/>
    <n v="8"/>
    <n v="89"/>
    <n v="0"/>
    <n v="66.099999999999994"/>
    <n v="130000"/>
    <n v="7000000"/>
    <n v="540000"/>
    <n v="92000000"/>
    <m/>
    <m/>
  </r>
  <r>
    <n v="24"/>
    <s v="RIVER SUBARNAREKHA AT JAMSHEDPUR"/>
    <x v="6"/>
    <n v="15"/>
    <n v="36"/>
    <n v="6.8"/>
    <n v="10.199999999999999"/>
    <n v="6.9"/>
    <n v="8.3000000000000007"/>
    <n v="189"/>
    <n v="352"/>
    <n v="1.3"/>
    <n v="2.8"/>
    <n v="0"/>
    <n v="0"/>
    <m/>
    <m/>
    <m/>
    <m/>
    <m/>
    <m/>
  </r>
  <r>
    <n v="48"/>
    <s v="RIVER SUBARNAREKHA AT CHANDIL BRIDGE"/>
    <x v="6"/>
    <n v="18.5"/>
    <n v="33"/>
    <n v="6.8"/>
    <n v="8.8000000000000007"/>
    <n v="7.1"/>
    <n v="7.8"/>
    <n v="212"/>
    <n v="388"/>
    <n v="1"/>
    <n v="2.7"/>
    <n v="0"/>
    <n v="0"/>
    <m/>
    <m/>
    <m/>
    <m/>
    <m/>
    <m/>
  </r>
  <r>
    <n v="49"/>
    <s v="RIVER SUBARNAREKHA AT D/S JAMSHEDPUR, (TATA_x000a_NAGAR)"/>
    <x v="6"/>
    <n v="16.5"/>
    <n v="35"/>
    <n v="6"/>
    <n v="7.7"/>
    <n v="6.3"/>
    <n v="8.3000000000000007"/>
    <n v="193"/>
    <n v="364"/>
    <n v="2.1"/>
    <n v="5"/>
    <n v="0"/>
    <n v="0"/>
    <m/>
    <m/>
    <m/>
    <m/>
    <m/>
    <m/>
  </r>
  <r>
    <n v="1641"/>
    <s v="RIVER SUBARNAREKHA AT RAJGHAT (THENGUDIA)"/>
    <x v="22"/>
    <n v="22"/>
    <n v="30"/>
    <n v="6"/>
    <n v="9.6"/>
    <n v="6.8"/>
    <n v="8.4"/>
    <n v="180"/>
    <n v="407"/>
    <n v="1.1000000000000001"/>
    <n v="1.8"/>
    <n v="0.32"/>
    <n v="0.92"/>
    <n v="130"/>
    <n v="2300"/>
    <n v="700"/>
    <n v="4900"/>
    <m/>
    <m/>
  </r>
  <r>
    <n v="2387"/>
    <s v="RIVER SUBARNAREKHA AT GHATISLA ROAD BRIDGE"/>
    <x v="6"/>
    <n v="15"/>
    <n v="37"/>
    <n v="6.5"/>
    <n v="8.8000000000000007"/>
    <n v="7.3"/>
    <n v="8.6"/>
    <n v="192"/>
    <n v="424"/>
    <n v="1"/>
    <n v="294"/>
    <n v="0"/>
    <n v="0"/>
    <m/>
    <m/>
    <m/>
    <m/>
    <m/>
    <m/>
  </r>
  <r>
    <n v="2399"/>
    <s v="RIVER SUBARNAREKHA AT CHANDIL DAM"/>
    <x v="6"/>
    <n v="18.399999999999999"/>
    <n v="32"/>
    <n v="7.1"/>
    <n v="9.4"/>
    <n v="7"/>
    <n v="7.6"/>
    <n v="222"/>
    <n v="343"/>
    <n v="1"/>
    <n v="2.4"/>
    <n v="0"/>
    <n v="0"/>
    <m/>
    <m/>
    <m/>
    <m/>
    <m/>
    <m/>
  </r>
  <r>
    <n v="4743"/>
    <s v="RIVER SUBARNAREKHA U/S HCL GHATSHILA, E.S"/>
    <x v="6"/>
    <n v="15.5"/>
    <n v="37"/>
    <n v="6.6"/>
    <n v="8.6"/>
    <n v="7"/>
    <n v="8.1"/>
    <n v="198"/>
    <n v="309"/>
    <n v="1.2"/>
    <n v="2.8"/>
    <n v="0"/>
    <n v="0"/>
    <m/>
    <m/>
    <m/>
    <m/>
    <m/>
    <m/>
  </r>
  <r>
    <n v="4744"/>
    <s v="RIVER SUBARNAREKHA BEFORE MEETING KHARKAI_x000a_RIVER"/>
    <x v="6"/>
    <n v="15.1"/>
    <n v="36"/>
    <n v="6.6"/>
    <n v="8.8000000000000007"/>
    <n v="7"/>
    <n v="7.8"/>
    <n v="228"/>
    <n v="349"/>
    <n v="1.3"/>
    <n v="3.3"/>
    <n v="0"/>
    <n v="0"/>
    <m/>
    <m/>
    <m/>
    <m/>
    <m/>
    <m/>
  </r>
  <r>
    <n v="4746"/>
    <s v="RIVER SUBARNAREKHA AFTER CONFLUENCE OF_x000a_KHARKAI RIVER"/>
    <x v="6"/>
    <n v="16.5"/>
    <n v="36"/>
    <n v="6.5"/>
    <n v="8.4"/>
    <n v="6.9"/>
    <n v="8.3000000000000007"/>
    <n v="214"/>
    <n v="462"/>
    <n v="1.3"/>
    <n v="4.0999999999999996"/>
    <n v="0"/>
    <n v="0"/>
    <m/>
    <m/>
    <m/>
    <m/>
    <m/>
    <m/>
  </r>
  <r>
    <n v="4748"/>
    <s v="RIVER SUBARNAREKHA AT BAHARAGORA ROAD_x000a_BRIDGE, P.O- BAHARAGORA, E.S"/>
    <x v="6"/>
    <n v="19.5"/>
    <n v="31"/>
    <n v="7.2"/>
    <n v="9.6"/>
    <n v="7.3"/>
    <n v="8.3000000000000007"/>
    <n v="216"/>
    <n v="466"/>
    <n v="1"/>
    <n v="2.4"/>
    <n v="0"/>
    <n v="0"/>
    <m/>
    <m/>
    <m/>
    <m/>
    <m/>
    <m/>
  </r>
  <r>
    <n v="30067"/>
    <s v="RIVER SUBARNAREKHA AT BEHRAGORA ODISHA-JHARKHAND"/>
    <x v="6"/>
    <n v="28"/>
    <n v="36"/>
    <n v="7"/>
    <n v="11.5"/>
    <n v="7"/>
    <n v="9.5"/>
    <n v="157"/>
    <n v="415"/>
    <n v="1"/>
    <n v="2"/>
    <n v="0.32"/>
    <n v="0.36"/>
    <n v="170"/>
    <n v="220000"/>
    <n v="1100"/>
    <n v="14000000"/>
    <n v="2"/>
    <n v="45"/>
  </r>
  <r>
    <n v="30068"/>
    <s v="RIVER SUBARNAREKHA AT GOPIBALLAVPUR (WEST_x000a_BENGAL)"/>
    <x v="7"/>
    <n v="25"/>
    <n v="35"/>
    <n v="6.8"/>
    <n v="12.5"/>
    <n v="7"/>
    <n v="8.1999999999999993"/>
    <n v="153"/>
    <n v="393"/>
    <n v="1"/>
    <n v="1"/>
    <n v="0.32"/>
    <n v="0.37"/>
    <n v="110"/>
    <n v="2200000"/>
    <n v="1400"/>
    <n v="35000000"/>
    <n v="2"/>
    <n v="78"/>
  </r>
  <r>
    <n v="30069"/>
    <s v="RIVER SUBARNAREKHA AT LAKHANNATH (ORISSA)"/>
    <x v="22"/>
    <n v="24"/>
    <n v="31"/>
    <n v="7.2"/>
    <n v="9.1999999999999993"/>
    <n v="7"/>
    <n v="8.5"/>
    <n v="152"/>
    <n v="334"/>
    <n v="1"/>
    <n v="1"/>
    <n v="0.32"/>
    <n v="0.32"/>
    <n v="170"/>
    <n v="1100000"/>
    <n v="1700"/>
    <n v="28000000"/>
    <n v="2"/>
    <n v="78"/>
  </r>
  <r>
    <n v="2423"/>
    <s v="RIVER BUDHABALANGA AT D/S OF BARIPADA TOWN"/>
    <x v="22"/>
    <n v="20"/>
    <n v="30"/>
    <n v="5.2"/>
    <n v="9.1999999999999993"/>
    <n v="7.2"/>
    <n v="8.4"/>
    <n v="146"/>
    <n v="326"/>
    <n v="1.3"/>
    <n v="2.2000000000000002"/>
    <n v="0"/>
    <n v="0.87"/>
    <n v="780"/>
    <n v="4900"/>
    <n v="2800"/>
    <n v="17000"/>
    <n v="5"/>
    <n v="49"/>
  </r>
  <r>
    <n v="3943"/>
    <s v="RIVER BUDHABALANGA AT BALASORE U/S"/>
    <x v="22"/>
    <n v="21"/>
    <n v="30"/>
    <n v="5.6"/>
    <n v="9.6"/>
    <n v="6.9"/>
    <n v="8.5"/>
    <n v="125"/>
    <n v="383"/>
    <n v="1.1000000000000001"/>
    <n v="2.4"/>
    <n v="0.32"/>
    <n v="0.86"/>
    <n v="230"/>
    <n v="2300"/>
    <n v="1300"/>
    <n v="4900"/>
    <m/>
    <m/>
  </r>
  <r>
    <n v="3942"/>
    <s v="RIVER SONO AT KANAKDURGA ROAD NEAR REMUNA,_x000a_HATOGOND"/>
    <x v="22"/>
    <n v="20"/>
    <n v="30"/>
    <n v="3.2"/>
    <n v="9.6"/>
    <n v="6.9"/>
    <n v="8.5"/>
    <n v="120"/>
    <n v="433"/>
    <n v="1.1000000000000001"/>
    <n v="1.8"/>
    <n v="0.32"/>
    <n v="0.93"/>
    <n v="78"/>
    <n v="13000"/>
    <n v="490"/>
    <n v="35000"/>
    <m/>
    <m/>
  </r>
  <r>
    <n v="2115"/>
    <s v="RIVER TAPTI AT NEPA NAGAR 100 METRE D/S AFTER_x000a_MIXING PANDHAR NALLA"/>
    <x v="10"/>
    <n v="20"/>
    <n v="22"/>
    <n v="6.6"/>
    <n v="7.7"/>
    <n v="7.7"/>
    <n v="8.6"/>
    <n v="202"/>
    <n v="572"/>
    <n v="1"/>
    <n v="1.8"/>
    <n v="0.56999999999999995"/>
    <n v="1.42"/>
    <n v="2"/>
    <n v="2"/>
    <n v="37"/>
    <n v="63"/>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28">
  <r>
    <n v="1001"/>
    <s v="RIVER BEAS AT U/S MANALI"/>
    <x v="0"/>
    <n v="2"/>
    <n v="24"/>
    <n v="7.8"/>
    <n v="9.1999999999999993"/>
    <n v="7.2"/>
    <n v="8.1999999999999993"/>
    <n v="68"/>
    <n v="380"/>
    <n v="1"/>
    <n v="2.8"/>
    <n v="0.32"/>
    <n v="1.1499999999999999"/>
    <n v="2"/>
    <n v="170"/>
    <n v="63"/>
    <n v="540"/>
    <n v="2"/>
    <n v="2"/>
    <n v="1.4"/>
  </r>
  <r>
    <n v="4444"/>
    <s v="RIVER BEAS D/S OF WASTE PROCESSING FACILITY AT_x000a_MANALI"/>
    <x v="0"/>
    <n v="2"/>
    <n v="13"/>
    <n v="7.8"/>
    <n v="8.8000000000000007"/>
    <n v="6.7"/>
    <n v="7.8"/>
    <n v="62"/>
    <n v="113"/>
    <n v="1"/>
    <n v="2.8"/>
    <n v="0.32"/>
    <n v="1.08"/>
    <n v="110"/>
    <n v="1600"/>
    <n v="350"/>
    <n v="1600"/>
    <n v="2"/>
    <n v="2"/>
    <n v="1.4"/>
  </r>
  <r>
    <n v="3866"/>
    <s v="RIVER BEAS U/S BEFORE CONF. OF MANALSU NALLAH"/>
    <x v="0"/>
    <n v="2"/>
    <n v="13"/>
    <n v="7.8"/>
    <n v="9.1"/>
    <n v="7"/>
    <n v="7.8"/>
    <n v="51"/>
    <n v="113"/>
    <n v="1"/>
    <n v="1"/>
    <n v="0.32"/>
    <n v="0.97"/>
    <n v="23"/>
    <n v="120"/>
    <n v="110"/>
    <n v="430"/>
    <n v="2"/>
    <n v="2"/>
    <n v="0.5"/>
  </r>
  <r>
    <n v="4445"/>
    <s v="RIVER BEAS D/S OF WASTE PROCESSING FACILITY AT_x000a_KULLU"/>
    <x v="0"/>
    <n v="4"/>
    <n v="16"/>
    <n v="7.6"/>
    <n v="8.4"/>
    <n v="6.6"/>
    <n v="7.7"/>
    <n v="73"/>
    <n v="170"/>
    <n v="1"/>
    <n v="1.6"/>
    <n v="0.32"/>
    <n v="0.96"/>
    <n v="47"/>
    <n v="150"/>
    <n v="280"/>
    <n v="920"/>
    <n v="2"/>
    <n v="2"/>
    <n v="0.8"/>
  </r>
  <r>
    <n v="1003"/>
    <s v="RIVER BEAS D/S AUT"/>
    <x v="0"/>
    <n v="5"/>
    <n v="16"/>
    <n v="7.5"/>
    <n v="8.1"/>
    <n v="7.2"/>
    <n v="8.1999999999999993"/>
    <n v="61"/>
    <n v="129"/>
    <n v="1"/>
    <n v="1"/>
    <n v="0.32"/>
    <n v="0.77"/>
    <n v="34"/>
    <n v="280"/>
    <n v="170"/>
    <n v="1600"/>
    <n v="2"/>
    <n v="2"/>
    <n v="0.5"/>
  </r>
  <r>
    <n v="2603"/>
    <s v="RIVER BEAS, D/S PANDOH DAM"/>
    <x v="0"/>
    <n v="8"/>
    <n v="26"/>
    <n v="8"/>
    <n v="9.3000000000000007"/>
    <n v="7.1"/>
    <n v="8.1999999999999993"/>
    <n v="61"/>
    <n v="202"/>
    <n v="1"/>
    <n v="1"/>
    <n v="0.32"/>
    <n v="1.1499999999999999"/>
    <n v="41"/>
    <n v="110"/>
    <n v="210"/>
    <n v="920"/>
    <n v="2"/>
    <n v="2"/>
    <n v="0.5"/>
  </r>
  <r>
    <n v="1550"/>
    <s v="BEAS RIVER, U/S OF MANDI TOWN"/>
    <x v="0"/>
    <n v="6"/>
    <n v="25"/>
    <n v="7.8"/>
    <n v="9.1999999999999993"/>
    <n v="7.2"/>
    <n v="8"/>
    <n v="80"/>
    <n v="190"/>
    <n v="1"/>
    <n v="1"/>
    <n v="0.32"/>
    <n v="0.98"/>
    <n v="23"/>
    <n v="94"/>
    <n v="120"/>
    <n v="430"/>
    <n v="2"/>
    <n v="2"/>
    <n v="0.5"/>
  </r>
  <r>
    <n v="2604"/>
    <s v="RIVER BEAS AT D/S JAISINGHPUR"/>
    <x v="0"/>
    <n v="13"/>
    <n v="22"/>
    <n v="8.6"/>
    <n v="9.4"/>
    <n v="7.2"/>
    <n v="8.1999999999999993"/>
    <n v="115"/>
    <n v="362"/>
    <n v="1"/>
    <n v="1"/>
    <n v="1.2"/>
    <n v="4.83"/>
    <n v="2"/>
    <n v="68"/>
    <n v="110"/>
    <n v="16000"/>
    <n v="2"/>
    <n v="2"/>
    <n v="0.5"/>
  </r>
  <r>
    <n v="3855"/>
    <s v="RIVER BEAS D/S NADAUN BRIDGE, VILL BHADOLI"/>
    <x v="0"/>
    <n v="14"/>
    <n v="22"/>
    <n v="6.8"/>
    <n v="9.3000000000000007"/>
    <n v="7.5"/>
    <n v="8.5"/>
    <n v="81"/>
    <n v="404"/>
    <n v="1"/>
    <n v="1.2"/>
    <n v="0.3"/>
    <n v="2.5299999999999998"/>
    <n v="2"/>
    <n v="93"/>
    <n v="39"/>
    <n v="5400"/>
    <n v="2"/>
    <n v="2"/>
    <n v="0.6"/>
  </r>
  <r>
    <n v="1867"/>
    <s v="RIVER SUTLEJ BEFORE CONF. WITH RIVER SPITI AT_x000a_KHAB"/>
    <x v="0"/>
    <n v="7"/>
    <n v="11.5"/>
    <n v="9.1"/>
    <n v="9.4"/>
    <n v="7.5"/>
    <n v="8.3000000000000007"/>
    <n v="141"/>
    <n v="534"/>
    <n v="1"/>
    <n v="1"/>
    <n v="0.32"/>
    <n v="1.49"/>
    <n v="2"/>
    <n v="33"/>
    <n v="9"/>
    <n v="280"/>
    <n v="2"/>
    <n v="2"/>
    <n v="0.5"/>
  </r>
  <r>
    <n v="2611"/>
    <s v="RIVER SUTLEJ AFTER CONF. WITH RIVER SPIT AT KHAB"/>
    <x v="0"/>
    <n v="7"/>
    <n v="11.5"/>
    <n v="9.1999999999999993"/>
    <n v="9.5"/>
    <n v="7.8"/>
    <n v="8.4"/>
    <n v="127"/>
    <n v="531"/>
    <n v="1"/>
    <n v="1"/>
    <n v="0.32"/>
    <n v="1.5"/>
    <n v="2"/>
    <n v="49"/>
    <n v="7"/>
    <n v="1600"/>
    <n v="2"/>
    <n v="2"/>
    <n v="0.5"/>
  </r>
  <r>
    <n v="3872"/>
    <s v="RIVER SUTLEJ D/S TIDONG HEP"/>
    <x v="0"/>
    <n v="7"/>
    <n v="11.5"/>
    <n v="9"/>
    <n v="9.3000000000000007"/>
    <n v="7.6"/>
    <n v="8.4"/>
    <n v="118"/>
    <n v="505"/>
    <n v="1"/>
    <n v="1"/>
    <n v="0.32"/>
    <n v="1.19"/>
    <n v="2"/>
    <n v="350"/>
    <n v="4"/>
    <n v="1600"/>
    <n v="2"/>
    <n v="2"/>
    <n v="0.5"/>
  </r>
  <r>
    <n v="4448"/>
    <s v="RIVER SUTLEJ BEFORE CONFLUENCES WITH RIVER_x000a_TIDONG"/>
    <x v="0"/>
    <n v="7.5"/>
    <n v="11.5"/>
    <n v="9"/>
    <n v="9.3000000000000007"/>
    <n v="7.6"/>
    <n v="8.4"/>
    <n v="118"/>
    <n v="490"/>
    <n v="1"/>
    <n v="1"/>
    <n v="0.32"/>
    <n v="1.4"/>
    <n v="7"/>
    <n v="33"/>
    <n v="17"/>
    <n v="350"/>
    <n v="2"/>
    <n v="2"/>
    <n v="0.5"/>
  </r>
  <r>
    <n v="4449"/>
    <s v="RIVER SUTLEJ AFTER CONFLUENCES WITH RIVER_x000a_TIDONG"/>
    <x v="0"/>
    <n v="7"/>
    <n v="11.5"/>
    <n v="9"/>
    <n v="9.3000000000000007"/>
    <n v="7.8"/>
    <n v="8.4"/>
    <n v="122"/>
    <n v="481"/>
    <n v="1"/>
    <n v="1"/>
    <n v="0.32"/>
    <n v="1.23"/>
    <n v="5"/>
    <n v="140"/>
    <n v="17"/>
    <n v="350"/>
    <n v="2"/>
    <n v="2"/>
    <n v="0.5"/>
  </r>
  <r>
    <n v="4452"/>
    <s v="RIVER SUTLEJ BEFORE CONFLUENCES OF RIVER_x000a_BASPA"/>
    <x v="0"/>
    <n v="7.5"/>
    <n v="12"/>
    <n v="8.6999999999999993"/>
    <n v="9.3000000000000007"/>
    <n v="7.5"/>
    <n v="8.3000000000000007"/>
    <n v="119"/>
    <n v="517"/>
    <n v="1"/>
    <n v="1"/>
    <n v="0.32"/>
    <n v="1.44"/>
    <n v="2"/>
    <n v="33"/>
    <n v="11"/>
    <n v="350"/>
    <n v="2"/>
    <n v="2"/>
    <n v="0.5"/>
  </r>
  <r>
    <n v="3871"/>
    <s v="RIVER SUTLEJ D/S POWER HOUSE KASHANG HEP"/>
    <x v="0"/>
    <n v="7"/>
    <n v="12"/>
    <n v="8.9"/>
    <n v="9.4"/>
    <n v="7.5"/>
    <n v="8.5"/>
    <n v="117"/>
    <n v="491"/>
    <n v="1"/>
    <n v="1"/>
    <n v="0.32"/>
    <n v="1.39"/>
    <n v="2"/>
    <n v="110"/>
    <n v="7"/>
    <n v="540"/>
    <n v="2"/>
    <n v="2"/>
    <n v="0.5"/>
  </r>
  <r>
    <n v="3870"/>
    <s v="RIVER SUTLEJ AFTER CONF. OF RIVER BASPA AT_x000a_KARCHAM DAM"/>
    <x v="0"/>
    <n v="7"/>
    <n v="12"/>
    <n v="8.8000000000000007"/>
    <n v="9.3000000000000007"/>
    <n v="7.8"/>
    <n v="8.4"/>
    <n v="121"/>
    <n v="460"/>
    <n v="1"/>
    <n v="1"/>
    <n v="0.32"/>
    <n v="1.39"/>
    <n v="2"/>
    <n v="27"/>
    <n v="8"/>
    <n v="540"/>
    <n v="2"/>
    <n v="2"/>
    <n v="0.5"/>
  </r>
  <r>
    <n v="1389"/>
    <s v="RIVER SUTLEJ AT WANGTOO BRIDGE"/>
    <x v="0"/>
    <n v="7.5"/>
    <n v="12"/>
    <n v="8.6999999999999993"/>
    <n v="9.3000000000000007"/>
    <n v="7.7"/>
    <n v="8.4"/>
    <n v="108"/>
    <n v="468"/>
    <n v="1"/>
    <n v="1"/>
    <n v="0.32"/>
    <n v="1.4"/>
    <n v="2"/>
    <n v="46"/>
    <n v="9"/>
    <n v="1600"/>
    <n v="2"/>
    <n v="2"/>
    <n v="0.5"/>
  </r>
  <r>
    <n v="4453"/>
    <s v="RIVER SUTLEJ AFTER CONFLUENCES OF RIVER BASPA"/>
    <x v="0"/>
    <n v="7"/>
    <n v="12"/>
    <n v="8.6999999999999993"/>
    <n v="9.3000000000000007"/>
    <n v="7.5"/>
    <n v="8.4"/>
    <n v="115"/>
    <n v="437"/>
    <n v="1"/>
    <n v="1"/>
    <n v="0.32"/>
    <n v="1.43"/>
    <n v="5"/>
    <n v="22"/>
    <n v="17"/>
    <n v="350"/>
    <n v="2"/>
    <n v="2"/>
    <n v="0.5"/>
  </r>
  <r>
    <n v="3869"/>
    <s v="RIVER SUTLEJ D/S TRT OF RAMPUR HYDEL ELECTRIC_x000a_PROJECT"/>
    <x v="0"/>
    <n v="7.5"/>
    <n v="13.5"/>
    <n v="8.6999999999999993"/>
    <n v="9.1999999999999993"/>
    <n v="7.5"/>
    <n v="8.3000000000000007"/>
    <n v="105"/>
    <n v="254"/>
    <n v="1"/>
    <n v="1"/>
    <n v="0.32"/>
    <n v="1.42"/>
    <n v="7"/>
    <n v="170"/>
    <n v="17"/>
    <n v="1600"/>
    <n v="2"/>
    <n v="2"/>
    <n v="0.5"/>
  </r>
  <r>
    <n v="1086"/>
    <s v="RIVER SUTLEJ AT U/S RAMPUR"/>
    <x v="0"/>
    <n v="7.5"/>
    <n v="13"/>
    <n v="8.5"/>
    <n v="9.3000000000000007"/>
    <n v="7.7"/>
    <n v="8.3000000000000007"/>
    <n v="107"/>
    <n v="251"/>
    <n v="1"/>
    <n v="1"/>
    <n v="0.32"/>
    <n v="0.95"/>
    <n v="2"/>
    <n v="39"/>
    <n v="17"/>
    <n v="350"/>
    <n v="2"/>
    <n v="2"/>
    <n v="0.5"/>
  </r>
  <r>
    <n v="1087"/>
    <s v="RIVER SUTLEJ AT D/S RAMPUR"/>
    <x v="0"/>
    <n v="8"/>
    <n v="13.5"/>
    <n v="8.6"/>
    <n v="9.1999999999999993"/>
    <n v="7.6"/>
    <n v="8.3000000000000007"/>
    <n v="100"/>
    <n v="249"/>
    <n v="1"/>
    <n v="1"/>
    <n v="0.32"/>
    <n v="0.95"/>
    <n v="2"/>
    <n v="280"/>
    <n v="5"/>
    <n v="1600"/>
    <n v="2"/>
    <n v="2"/>
    <n v="0.5"/>
  </r>
  <r>
    <n v="1013"/>
    <s v="RIVER SUTLEJ AT U/S TATAPANI"/>
    <x v="0"/>
    <n v="7.5"/>
    <n v="14"/>
    <n v="8.6"/>
    <n v="9.3000000000000007"/>
    <n v="6.5"/>
    <n v="8.1999999999999993"/>
    <n v="117"/>
    <n v="447"/>
    <n v="1"/>
    <n v="1"/>
    <n v="0.32"/>
    <n v="3.95"/>
    <n v="4"/>
    <n v="26"/>
    <n v="17"/>
    <n v="1600"/>
    <n v="2"/>
    <n v="2"/>
    <n v="0.5"/>
  </r>
  <r>
    <n v="4446"/>
    <s v="RIVER SUTLEJ U/S IANDFILL SITE RAMPUR"/>
    <x v="0"/>
    <n v="7"/>
    <n v="13"/>
    <n v="8.5"/>
    <n v="9.3000000000000007"/>
    <n v="7.5"/>
    <n v="8.3000000000000007"/>
    <n v="97"/>
    <n v="245"/>
    <n v="1"/>
    <n v="1"/>
    <n v="0.32"/>
    <n v="0.77"/>
    <n v="7"/>
    <n v="39"/>
    <n v="32"/>
    <n v="920"/>
    <n v="2"/>
    <n v="2"/>
    <n v="0.5"/>
  </r>
  <r>
    <n v="4447"/>
    <s v="RIVER STLUJ D/S LANDFILL SITE RAMPUR"/>
    <x v="0"/>
    <n v="7.5"/>
    <n v="13"/>
    <n v="8.6"/>
    <n v="9.1999999999999993"/>
    <n v="7.5"/>
    <n v="8.1999999999999993"/>
    <n v="104"/>
    <n v="253"/>
    <n v="1"/>
    <n v="1"/>
    <n v="0.32"/>
    <n v="0.89"/>
    <n v="2"/>
    <n v="79"/>
    <n v="7"/>
    <n v="1600"/>
    <n v="2"/>
    <n v="2"/>
    <n v="0.5"/>
  </r>
  <r>
    <n v="4032"/>
    <s v="RIVER SUTLEJ D/S ACC BARMANA"/>
    <x v="0"/>
    <n v="9"/>
    <n v="26"/>
    <n v="8.3000000000000007"/>
    <n v="9.1999999999999993"/>
    <n v="7.4"/>
    <n v="8"/>
    <n v="102"/>
    <n v="235"/>
    <n v="1"/>
    <n v="1"/>
    <n v="0.32"/>
    <n v="2.21"/>
    <n v="23"/>
    <n v="84"/>
    <n v="110"/>
    <n v="280"/>
    <n v="2"/>
    <n v="2"/>
    <n v="0.5"/>
  </r>
  <r>
    <n v="4033"/>
    <s v="RIVER SUTLEJ NEAR LUHNOO GROUND"/>
    <x v="0"/>
    <n v="10"/>
    <n v="33"/>
    <n v="8.1"/>
    <n v="8.9"/>
    <n v="6.8"/>
    <n v="8.3000000000000007"/>
    <n v="150"/>
    <n v="335"/>
    <n v="1"/>
    <n v="2.8"/>
    <n v="0.39"/>
    <n v="3.5"/>
    <n v="33"/>
    <n v="1600"/>
    <n v="240"/>
    <n v="1600"/>
    <n v="2"/>
    <n v="2"/>
    <n v="1.4"/>
  </r>
  <r>
    <n v="4450"/>
    <s v="RIVER SUTLEJ BEFORE CONFLUENCE WITH GANVI_x000a_KHAND"/>
    <x v="0"/>
    <n v="7"/>
    <n v="13"/>
    <n v="8.9"/>
    <n v="9.4"/>
    <n v="7.5"/>
    <n v="8.3000000000000007"/>
    <n v="117"/>
    <n v="258"/>
    <n v="1"/>
    <n v="1"/>
    <n v="0.32"/>
    <n v="1.01"/>
    <n v="5"/>
    <n v="26"/>
    <n v="17"/>
    <n v="350"/>
    <n v="2"/>
    <n v="2"/>
    <n v="0.5"/>
  </r>
  <r>
    <n v="4451"/>
    <s v="RIVER SUTLEJ AFTER CONFLUENCE WITH GANVI KHAD"/>
    <x v="0"/>
    <n v="7.5"/>
    <n v="13"/>
    <n v="8.9"/>
    <n v="9.4"/>
    <n v="7.6"/>
    <n v="8.1999999999999993"/>
    <n v="100"/>
    <n v="248"/>
    <n v="1"/>
    <n v="1"/>
    <n v="0.32"/>
    <n v="0.82"/>
    <n v="7"/>
    <n v="110"/>
    <n v="17"/>
    <n v="1600"/>
    <n v="2"/>
    <n v="2"/>
    <n v="0.5"/>
  </r>
  <r>
    <n v="30009"/>
    <s v="RIVER SUTLEJ AT NANGAL (H.P.)"/>
    <x v="0"/>
    <n v="16.5"/>
    <n v="23"/>
    <n v="7"/>
    <n v="9.8000000000000007"/>
    <n v="7.9"/>
    <n v="8.3000000000000007"/>
    <n v="230"/>
    <n v="356"/>
    <n v="1"/>
    <n v="1"/>
    <n v="0.42"/>
    <n v="0.71"/>
    <n v="20"/>
    <n v="4500"/>
    <n v="460"/>
    <n v="33000"/>
    <n v="17"/>
    <n v="130"/>
    <n v="0.5"/>
  </r>
  <r>
    <n v="1014"/>
    <s v="RIVER SUTLEJ U/S OF EXIT POINT OF DEHAR POWER_x000a_HOUSE"/>
    <x v="0"/>
    <n v="9"/>
    <n v="26"/>
    <n v="8.5"/>
    <n v="9.6"/>
    <n v="5.7"/>
    <n v="8"/>
    <n v="96"/>
    <n v="286"/>
    <n v="1"/>
    <n v="1"/>
    <n v="0.32"/>
    <n v="0.98"/>
    <n v="22"/>
    <n v="49"/>
    <n v="70"/>
    <n v="240"/>
    <n v="2"/>
    <n v="2"/>
    <n v="0.5"/>
  </r>
  <r>
    <n v="1015"/>
    <s v="RIVER SUTLEJ D/S OF EXIT POINT OF DEHAR POWER_x000a_HOUSE"/>
    <x v="0"/>
    <n v="9"/>
    <n v="26"/>
    <n v="8.1"/>
    <n v="9.1"/>
    <n v="7.3"/>
    <n v="8.1"/>
    <n v="94"/>
    <n v="240"/>
    <n v="1"/>
    <n v="1"/>
    <n v="0.32"/>
    <n v="2.08"/>
    <n v="32"/>
    <n v="84"/>
    <n v="110"/>
    <n v="430"/>
    <n v="2"/>
    <n v="2"/>
    <n v="0.5"/>
  </r>
  <r>
    <n v="1016"/>
    <s v="RIVER SUTLEJ D/S BHAKHRA"/>
    <x v="0"/>
    <n v="16"/>
    <n v="26"/>
    <n v="8.1999999999999993"/>
    <n v="9.3000000000000007"/>
    <n v="6.9"/>
    <n v="8.3000000000000007"/>
    <n v="203"/>
    <n v="354"/>
    <n v="1"/>
    <n v="2.2999999999999998"/>
    <n v="0.32"/>
    <n v="0.93"/>
    <n v="2"/>
    <n v="6"/>
    <n v="13"/>
    <n v="80"/>
    <n v="2"/>
    <n v="2"/>
    <n v="1.1499999999999999"/>
  </r>
  <r>
    <n v="30087"/>
    <s v="RIVER SUTLEJ U/S AT OLINDA, NEAR BHAKRA DAM, H.P."/>
    <x v="0"/>
    <n v="19"/>
    <n v="23"/>
    <n v="7"/>
    <n v="10.7"/>
    <n v="7.9"/>
    <n v="8.4"/>
    <n v="223"/>
    <n v="273"/>
    <n v="1"/>
    <n v="1"/>
    <n v="0.42"/>
    <n v="2.4700000000000002"/>
    <n v="2"/>
    <n v="2600"/>
    <n v="13"/>
    <n v="54000"/>
    <n v="2"/>
    <n v="17"/>
    <n v="0.5"/>
  </r>
  <r>
    <n v="30088"/>
    <s v="RIVER SUTLEJ D/S OLINDA, NEAR BHAKRA DAM, H.P."/>
    <x v="0"/>
    <n v="18.5"/>
    <n v="23"/>
    <n v="7.1"/>
    <n v="10.4"/>
    <n v="8"/>
    <n v="8.3000000000000007"/>
    <n v="217"/>
    <n v="272"/>
    <n v="1"/>
    <n v="1"/>
    <n v="0.47"/>
    <n v="1.1299999999999999"/>
    <n v="4"/>
    <n v="2200"/>
    <n v="14"/>
    <n v="92000"/>
    <n v="2"/>
    <n v="490"/>
    <n v="0.5"/>
  </r>
  <r>
    <n v="30010"/>
    <s v="RIVER SUTLEJ AT NOORPUR BEDI ROAD (PUNJAB)"/>
    <x v="1"/>
    <n v="19.5"/>
    <n v="24"/>
    <n v="7.1"/>
    <n v="9.8000000000000007"/>
    <n v="7.7"/>
    <n v="8.3000000000000007"/>
    <n v="257"/>
    <n v="333"/>
    <n v="1"/>
    <n v="5"/>
    <n v="0.32"/>
    <n v="1.1000000000000001"/>
    <n v="200"/>
    <n v="13000"/>
    <n v="1700"/>
    <n v="350000"/>
    <n v="130"/>
    <n v="700"/>
    <n v="2.5"/>
  </r>
  <r>
    <n v="1814"/>
    <s v="RIVER SUTLEJ AT D/S KIRATPUR SAHIB, PUNJAB"/>
    <x v="1"/>
    <n v="14"/>
    <n v="28"/>
    <n v="7.2"/>
    <n v="9.4"/>
    <n v="7"/>
    <n v="8.3000000000000007"/>
    <n v="227"/>
    <n v="290"/>
    <n v="1"/>
    <n v="1"/>
    <n v="0.7"/>
    <n v="5.9"/>
    <n v="33"/>
    <n v="250"/>
    <n v="120"/>
    <n v="580"/>
    <m/>
    <m/>
    <n v="0.5"/>
  </r>
  <r>
    <n v="1380"/>
    <s v="RIVER SUTLEJ AT D/S NFL, PUNJAB"/>
    <x v="1"/>
    <n v="16"/>
    <n v="22"/>
    <n v="7"/>
    <n v="12.1"/>
    <n v="7.4"/>
    <n v="8.3000000000000007"/>
    <n v="206"/>
    <n v="274"/>
    <n v="1"/>
    <n v="1"/>
    <n v="0.8"/>
    <n v="3.1"/>
    <n v="17"/>
    <n v="100"/>
    <n v="70"/>
    <n v="330"/>
    <m/>
    <m/>
    <n v="0.5"/>
  </r>
  <r>
    <n v="2915"/>
    <s v="RIVER SUTLEJ AT 100 MT. D/S OF PACL, NANGAL"/>
    <x v="1"/>
    <n v="16"/>
    <n v="22"/>
    <n v="7"/>
    <n v="12.2"/>
    <n v="7.6"/>
    <n v="8.4"/>
    <n v="207"/>
    <n v="275"/>
    <n v="1"/>
    <n v="1"/>
    <n v="0.8"/>
    <n v="3.1"/>
    <n v="20"/>
    <n v="110"/>
    <n v="79"/>
    <n v="330"/>
    <m/>
    <m/>
    <n v="0.5"/>
  </r>
  <r>
    <n v="10020"/>
    <s v="RIVER SUTLEJ AT ANANDPUR SAHIB"/>
    <x v="1"/>
    <n v="15"/>
    <n v="23"/>
    <n v="7.4"/>
    <n v="12.3"/>
    <n v="7.1"/>
    <n v="8.5"/>
    <n v="202"/>
    <n v="298"/>
    <n v="1"/>
    <n v="1"/>
    <n v="0.9"/>
    <n v="6"/>
    <n v="22"/>
    <n v="210"/>
    <n v="110"/>
    <n v="470"/>
    <m/>
    <m/>
    <n v="0.5"/>
  </r>
  <r>
    <n v="10021"/>
    <s v="RIVER SUTLEJ AT BUNGA SAHIB"/>
    <x v="1"/>
    <n v="13"/>
    <n v="28"/>
    <n v="7.5"/>
    <n v="10"/>
    <n v="7"/>
    <n v="8.3000000000000007"/>
    <n v="210"/>
    <n v="302"/>
    <n v="1"/>
    <n v="1"/>
    <n v="0.9"/>
    <n v="2.4"/>
    <n v="38"/>
    <n v="380"/>
    <n v="140"/>
    <n v="840"/>
    <m/>
    <m/>
    <n v="0.5"/>
  </r>
  <r>
    <n v="10022"/>
    <s v="RIVER SUTLEJ AT PHILLAUR U/S"/>
    <x v="1"/>
    <n v="15"/>
    <n v="35"/>
    <n v="4.5999999999999996"/>
    <n v="8.4"/>
    <n v="7.6"/>
    <n v="8.1"/>
    <n v="248"/>
    <n v="574"/>
    <n v="1"/>
    <n v="3"/>
    <n v="0.3"/>
    <n v="1.4"/>
    <n v="200"/>
    <n v="1700"/>
    <n v="700"/>
    <n v="3900"/>
    <m/>
    <m/>
    <n v="1.5"/>
  </r>
  <r>
    <n v="10023"/>
    <s v="RIVER SUTLEJ AT PHAGWARA U/S (CHAHERU BRIDGE)"/>
    <x v="1"/>
    <n v="15"/>
    <n v="35"/>
    <n v="0.3"/>
    <n v="5.8"/>
    <n v="7.2"/>
    <n v="8.1"/>
    <n v="518"/>
    <n v="1144"/>
    <n v="4.5"/>
    <n v="14"/>
    <n v="0.4"/>
    <n v="2.8"/>
    <n v="330"/>
    <n v="2300"/>
    <n v="1400"/>
    <n v="4300"/>
    <m/>
    <m/>
    <n v="31.5"/>
  </r>
  <r>
    <n v="10024"/>
    <s v="RIVER SUTLEJ AT PHAGWARA D/S (KANGANIWAL_x000a_BRIDGE)"/>
    <x v="1"/>
    <n v="15"/>
    <n v="32"/>
    <n v="0.3"/>
    <n v="1.9"/>
    <n v="7.3"/>
    <n v="7.8"/>
    <n v="538"/>
    <n v="1248"/>
    <n v="4.8"/>
    <n v="21"/>
    <n v="0.4"/>
    <n v="2"/>
    <n v="1100"/>
    <n v="110000"/>
    <n v="6300"/>
    <n v="340000"/>
    <m/>
    <m/>
    <n v="50.4"/>
  </r>
  <r>
    <n v="10027"/>
    <s v="RIVER SUTLEJ AT LUDHIANA U/S"/>
    <x v="1"/>
    <n v="10"/>
    <n v="29"/>
    <n v="6.3"/>
    <n v="8.8000000000000007"/>
    <n v="7.6"/>
    <n v="8.3000000000000007"/>
    <n v="257"/>
    <n v="320"/>
    <n v="1"/>
    <n v="1.8"/>
    <n v="0.8"/>
    <n v="3.1"/>
    <n v="130"/>
    <n v="780"/>
    <n v="700"/>
    <n v="2600"/>
    <m/>
    <m/>
    <n v="0.9"/>
  </r>
  <r>
    <n v="10028"/>
    <s v="RIVER SUTLEJ AT LUDHIANA D/S"/>
    <x v="1"/>
    <n v="13"/>
    <n v="30"/>
    <n v="0.3"/>
    <n v="6.6"/>
    <n v="7.2"/>
    <n v="7.9"/>
    <n v="247"/>
    <n v="1245"/>
    <n v="2.2999999999999998"/>
    <n v="75"/>
    <n v="1.4"/>
    <n v="3.8"/>
    <n v="17000"/>
    <n v="1700000"/>
    <n v="54000"/>
    <n v="6300000"/>
    <m/>
    <m/>
    <n v="86.25"/>
  </r>
  <r>
    <n v="1017"/>
    <s v="RIVER SUTLEJ AT 100M U/S OF HEADWORKS, NANGAL"/>
    <x v="1"/>
    <n v="16"/>
    <n v="21"/>
    <n v="6.7"/>
    <n v="9.6"/>
    <n v="7.5"/>
    <n v="8.1"/>
    <n v="196"/>
    <n v="264"/>
    <n v="1"/>
    <n v="1"/>
    <n v="0.4"/>
    <n v="1.8"/>
    <n v="17"/>
    <n v="78"/>
    <n v="68"/>
    <n v="270"/>
    <m/>
    <m/>
    <n v="0.5"/>
  </r>
  <r>
    <n v="1018"/>
    <s v="RIVER SUTLEJ AT 100M D/S , NANGAL"/>
    <x v="1"/>
    <n v="17"/>
    <n v="24"/>
    <n v="7.6"/>
    <n v="11.4"/>
    <n v="7.6"/>
    <n v="8.5"/>
    <n v="200"/>
    <n v="270"/>
    <n v="1"/>
    <n v="1"/>
    <n v="0.8"/>
    <n v="2.2000000000000002"/>
    <n v="20"/>
    <n v="170"/>
    <n v="70"/>
    <n v="390"/>
    <m/>
    <m/>
    <n v="0.5"/>
  </r>
  <r>
    <n v="1293"/>
    <s v="RIVER SUTLEJ AT 1 KM. D/S OF ZENITH, PUNJAB"/>
    <x v="1"/>
    <n v="14"/>
    <n v="29"/>
    <n v="7"/>
    <n v="9.8000000000000007"/>
    <n v="7.3"/>
    <n v="8.5"/>
    <n v="243"/>
    <n v="363"/>
    <n v="1"/>
    <n v="1"/>
    <n v="0.7"/>
    <n v="2.7"/>
    <n v="78"/>
    <n v="700"/>
    <n v="490"/>
    <n v="1700"/>
    <m/>
    <m/>
    <n v="0.5"/>
  </r>
  <r>
    <n v="1019"/>
    <s v="RIVER SUTLEJ AT U/S HEAD WORKS ROPAR"/>
    <x v="1"/>
    <n v="14"/>
    <n v="27"/>
    <n v="6.4"/>
    <n v="9"/>
    <n v="7.5"/>
    <n v="8.1999999999999993"/>
    <n v="240"/>
    <n v="348"/>
    <n v="1"/>
    <n v="1.2"/>
    <n v="1.1000000000000001"/>
    <n v="2.6"/>
    <n v="61"/>
    <n v="460"/>
    <n v="330"/>
    <n v="1300"/>
    <m/>
    <m/>
    <n v="0.6"/>
  </r>
  <r>
    <n v="1690"/>
    <s v="RIVER SUTLEJ AT U/S BUDHA NALLAH (UPPER), PUNJAB"/>
    <x v="1"/>
    <n v="12"/>
    <n v="28"/>
    <n v="6.5"/>
    <n v="8.1"/>
    <n v="7.4"/>
    <n v="8.1999999999999993"/>
    <n v="259"/>
    <n v="394"/>
    <n v="1"/>
    <n v="2.8"/>
    <n v="1.1000000000000001"/>
    <n v="3.3"/>
    <n v="210"/>
    <n v="1300"/>
    <n v="790"/>
    <n v="3900"/>
    <m/>
    <m/>
    <n v="1.4"/>
  </r>
  <r>
    <n v="1020"/>
    <s v="RIVER SUTLEJ AT 100M D/S BUDHA NALA CONFL.,_x000a_LUDHIANA"/>
    <x v="1"/>
    <n v="12"/>
    <n v="30"/>
    <n v="0.3"/>
    <n v="2.1"/>
    <n v="7.2"/>
    <n v="7.8"/>
    <n v="505"/>
    <n v="1250"/>
    <n v="17"/>
    <n v="105"/>
    <n v="1.1000000000000001"/>
    <n v="8"/>
    <n v="79000"/>
    <n v="2200000"/>
    <n v="220000"/>
    <n v="7900000"/>
    <m/>
    <m/>
    <n v="892.5"/>
  </r>
  <r>
    <n v="1022"/>
    <s v="RIVER SUTLEJ AT BRIDGE HARIKE, AMRITSAR"/>
    <x v="1"/>
    <n v="11"/>
    <n v="30"/>
    <n v="4.2"/>
    <n v="7.5"/>
    <n v="7.2"/>
    <n v="7.9"/>
    <n v="271"/>
    <n v="442"/>
    <n v="1"/>
    <n v="3.6"/>
    <n v="1.1000000000000001"/>
    <n v="3.2"/>
    <n v="270"/>
    <n v="2200"/>
    <n v="700"/>
    <n v="5400"/>
    <m/>
    <m/>
    <n v="1.8"/>
  </r>
  <r>
    <n v="10025"/>
    <s v="RIVER SUTLEJ AT JALANDHAR U/S (PEERU SHAH KA_x000a_DARGAH)"/>
    <x v="1"/>
    <n v="15"/>
    <n v="34"/>
    <n v="0.3"/>
    <n v="0.3"/>
    <n v="6.9"/>
    <n v="7.8"/>
    <n v="937"/>
    <n v="1165"/>
    <n v="42"/>
    <n v="100"/>
    <n v="1.1000000000000001"/>
    <n v="2.8"/>
    <n v="63000"/>
    <n v="490000"/>
    <n v="220000"/>
    <n v="790000"/>
    <m/>
    <m/>
    <n v="2100"/>
  </r>
  <r>
    <n v="10026"/>
    <s v="RIVER SUTLEJ AT JALANDHAR D/S (MALSIAN BRIDGE)"/>
    <x v="1"/>
    <n v="16"/>
    <n v="31"/>
    <n v="0.3"/>
    <n v="0.3"/>
    <n v="6.7"/>
    <n v="7.7"/>
    <n v="849"/>
    <n v="1309"/>
    <n v="35"/>
    <n v="79"/>
    <n v="0.82"/>
    <n v="5"/>
    <n v="63000"/>
    <n v="460000"/>
    <n v="210000"/>
    <n v="700000"/>
    <m/>
    <m/>
    <n v="1382.5"/>
  </r>
  <r>
    <n v="1021"/>
    <s v="RIVER SUTLEJ AT BOAT BDG. DHARMKOTNAKODAR_x000a_ROAD, JALANDHAR"/>
    <x v="1"/>
    <n v="11"/>
    <n v="28"/>
    <n v="0.3"/>
    <n v="7.6"/>
    <n v="7.1"/>
    <n v="7.8"/>
    <n v="305"/>
    <n v="733"/>
    <n v="2.2000000000000002"/>
    <n v="41"/>
    <n v="1.3"/>
    <n v="4.5999999999999996"/>
    <n v="4900"/>
    <n v="1200000"/>
    <n v="17000"/>
    <n v="2800000"/>
    <m/>
    <m/>
    <n v="45.1"/>
  </r>
  <r>
    <n v="1381"/>
    <s v="RIVER SUTLEJ AT D/S EAST BEIN, PUNJAB"/>
    <x v="1"/>
    <n v="12"/>
    <n v="29"/>
    <n v="0.3"/>
    <n v="7.8"/>
    <n v="7.1"/>
    <n v="7.8"/>
    <n v="300"/>
    <n v="808"/>
    <n v="2"/>
    <n v="50"/>
    <n v="1.7"/>
    <n v="6.3"/>
    <n v="7900"/>
    <n v="1700000"/>
    <n v="17000"/>
    <n v="3500000"/>
    <m/>
    <m/>
    <n v="50"/>
  </r>
  <r>
    <n v="1691"/>
    <s v="RIVER SUTLEJ AT U/S HUSSANIWALA - H/W FEROZEPUR,_x000a_PUNJAB"/>
    <x v="1"/>
    <n v="12"/>
    <n v="30"/>
    <n v="4.8"/>
    <n v="9.1"/>
    <n v="7"/>
    <n v="8.1"/>
    <n v="248"/>
    <n v="422"/>
    <n v="1"/>
    <n v="2"/>
    <n v="1.1000000000000001"/>
    <n v="2.6"/>
    <n v="110"/>
    <n v="780"/>
    <n v="540"/>
    <n v="2600"/>
    <m/>
    <m/>
    <n v="1"/>
  </r>
  <r>
    <n v="1692"/>
    <s v="RIVER SUTLEJ AT D/S HUSSANIWALA-H/W FEROZEPUR,_x000a_PUNJAB"/>
    <x v="1"/>
    <n v="12"/>
    <n v="30"/>
    <n v="4.7"/>
    <n v="8.9"/>
    <n v="6.9"/>
    <n v="8"/>
    <n v="251"/>
    <n v="420"/>
    <n v="1"/>
    <n v="2.4"/>
    <n v="1.2"/>
    <n v="2.8"/>
    <n v="170"/>
    <n v="1100"/>
    <n v="540"/>
    <n v="2700"/>
    <m/>
    <m/>
    <n v="1.2"/>
  </r>
  <r>
    <n v="4059"/>
    <s v="RIVER RAVI AT RANJIT SAGAR DAM, AT PANAGAR_x000a_(BASOHIL)"/>
    <x v="2"/>
    <n v="12"/>
    <n v="26"/>
    <n v="7.4"/>
    <n v="7.5"/>
    <n v="7.5"/>
    <n v="8.1999999999999993"/>
    <n v="109"/>
    <n v="230"/>
    <n v="1"/>
    <n v="1"/>
    <n v="0"/>
    <n v="0"/>
    <m/>
    <m/>
    <m/>
    <m/>
    <m/>
    <m/>
    <n v="0.5"/>
  </r>
  <r>
    <n v="4060"/>
    <s v="RIVER RAVI AT DAM-SITE AT THEIN"/>
    <x v="2"/>
    <n v="12"/>
    <n v="26"/>
    <n v="7.4"/>
    <n v="7.4"/>
    <n v="7.4"/>
    <n v="8.1999999999999993"/>
    <n v="107"/>
    <n v="185"/>
    <n v="1"/>
    <n v="1"/>
    <n v="0"/>
    <n v="0"/>
    <m/>
    <m/>
    <m/>
    <m/>
    <m/>
    <m/>
    <n v="0.5"/>
  </r>
  <r>
    <n v="4061"/>
    <s v="RIVER RAVI AT LAKHANPUR, 1 KM D/S FROM_x000a_MADHOPUR BRIDGE"/>
    <x v="2"/>
    <n v="12"/>
    <n v="26"/>
    <n v="6.3"/>
    <n v="6.5"/>
    <n v="7.6"/>
    <n v="8.6"/>
    <n v="108"/>
    <n v="560"/>
    <n v="1"/>
    <n v="1.3"/>
    <n v="0"/>
    <n v="0"/>
    <m/>
    <m/>
    <m/>
    <m/>
    <m/>
    <m/>
    <n v="0.65"/>
  </r>
  <r>
    <n v="1089"/>
    <s v="RIVER RAVI U/S CHAMBA"/>
    <x v="0"/>
    <n v="10"/>
    <n v="18"/>
    <n v="8.6999999999999993"/>
    <n v="9.1"/>
    <n v="7.5"/>
    <n v="8.4"/>
    <n v="141"/>
    <n v="276"/>
    <n v="1"/>
    <n v="1"/>
    <n v="0.3"/>
    <n v="6.43"/>
    <n v="2"/>
    <n v="68"/>
    <n v="21"/>
    <n v="16000"/>
    <n v="2"/>
    <n v="2"/>
    <n v="0.5"/>
  </r>
  <r>
    <n v="1088"/>
    <s v="RIVER RAVI AT U/S MADHOPUR"/>
    <x v="0"/>
    <n v="9"/>
    <n v="22"/>
    <n v="8.1"/>
    <n v="9"/>
    <n v="7.4"/>
    <n v="8.1999999999999993"/>
    <n v="164"/>
    <n v="467"/>
    <n v="1"/>
    <n v="1"/>
    <n v="0.3"/>
    <n v="4.58"/>
    <n v="2"/>
    <n v="20"/>
    <n v="130"/>
    <n v="1400"/>
    <n v="2"/>
    <n v="2"/>
    <n v="0.5"/>
  </r>
  <r>
    <n v="2614"/>
    <s v="RIVER RAVI CHAMERA-I RESERVOIR"/>
    <x v="0"/>
    <n v="11"/>
    <n v="17.5"/>
    <n v="8.5"/>
    <n v="9.1999999999999993"/>
    <n v="6.9"/>
    <n v="8.1999999999999993"/>
    <n v="158"/>
    <n v="286"/>
    <n v="1"/>
    <n v="1"/>
    <n v="0.31"/>
    <n v="2.1800000000000002"/>
    <n v="2"/>
    <n v="27"/>
    <n v="110"/>
    <n v="5400"/>
    <n v="2"/>
    <n v="2"/>
    <n v="0.5"/>
  </r>
  <r>
    <n v="2615"/>
    <s v="RIVER RAVI D/S CHAMERA- III HEP DAM"/>
    <x v="0"/>
    <n v="9"/>
    <n v="17"/>
    <n v="8.9"/>
    <n v="9.1999999999999993"/>
    <n v="7.1"/>
    <n v="8.3000000000000007"/>
    <n v="136"/>
    <n v="274"/>
    <n v="1"/>
    <n v="1"/>
    <n v="0.41"/>
    <n v="3.61"/>
    <n v="2"/>
    <n v="40"/>
    <n v="27"/>
    <n v="3500"/>
    <n v="2"/>
    <n v="2"/>
    <n v="0.5"/>
  </r>
  <r>
    <n v="2613"/>
    <s v="RIVER RAVI AT D/S OF CHAMBA TOWN"/>
    <x v="0"/>
    <n v="10"/>
    <n v="17"/>
    <n v="8"/>
    <n v="9"/>
    <n v="7.5"/>
    <n v="8.1"/>
    <n v="130"/>
    <n v="266"/>
    <n v="1"/>
    <n v="1"/>
    <n v="0.3"/>
    <n v="3.23"/>
    <n v="2"/>
    <n v="78"/>
    <n v="26"/>
    <n v="16000"/>
    <n v="2"/>
    <n v="2"/>
    <n v="0.5"/>
  </r>
  <r>
    <n v="3873"/>
    <s v="RIVER RAVI U/S STP AT BHARGA"/>
    <x v="0"/>
    <n v="10"/>
    <n v="17.5"/>
    <n v="8.8000000000000007"/>
    <n v="9.1"/>
    <n v="7.5"/>
    <n v="8.4"/>
    <n v="142"/>
    <n v="281"/>
    <n v="1"/>
    <n v="1"/>
    <n v="0.59"/>
    <n v="4.71"/>
    <n v="2"/>
    <n v="40"/>
    <n v="21"/>
    <n v="9200"/>
    <n v="2"/>
    <n v="2"/>
    <n v="0.5"/>
  </r>
  <r>
    <n v="3874"/>
    <s v="RIVER RAVI D/S STP AT BHAGOT"/>
    <x v="0"/>
    <n v="10"/>
    <n v="18.5"/>
    <n v="8.3000000000000007"/>
    <n v="9"/>
    <n v="7.5"/>
    <n v="8.3000000000000007"/>
    <n v="140"/>
    <n v="264"/>
    <n v="1"/>
    <n v="1"/>
    <n v="0.3"/>
    <n v="3.06"/>
    <n v="2"/>
    <n v="110"/>
    <n v="32"/>
    <n v="9200"/>
    <n v="2"/>
    <n v="2"/>
    <n v="0.5"/>
  </r>
  <r>
    <n v="30089"/>
    <s v="RIVER RAVI AT LAKHANPUR,"/>
    <x v="2"/>
    <n v="19"/>
    <n v="31"/>
    <n v="8.6999999999999993"/>
    <n v="10.8"/>
    <n v="8"/>
    <n v="8.6999999999999993"/>
    <n v="175"/>
    <n v="351"/>
    <n v="1"/>
    <n v="3"/>
    <n v="0.32"/>
    <n v="0.83"/>
    <n v="2200"/>
    <n v="24000000"/>
    <n v="7000"/>
    <n v="160000000"/>
    <n v="11"/>
    <n v="540000"/>
    <n v="1.5"/>
  </r>
  <r>
    <n v="30085"/>
    <s v="RIVER RAVI AT MADHOPUR"/>
    <x v="1"/>
    <n v="18"/>
    <n v="24"/>
    <n v="9"/>
    <n v="10"/>
    <n v="7.9"/>
    <n v="8.4"/>
    <n v="172"/>
    <n v="237"/>
    <n v="1"/>
    <n v="1.3"/>
    <n v="0.39"/>
    <n v="1.79"/>
    <n v="37"/>
    <n v="28000"/>
    <n v="400"/>
    <n v="28000"/>
    <n v="13"/>
    <n v="790"/>
    <n v="0.65"/>
  </r>
  <r>
    <n v="1097"/>
    <s v="RIVER RAVI AT U/S OF MADHOPUR HEADWORKS,_x000a_GURDASPUR, PUNJAB"/>
    <x v="1"/>
    <n v="11"/>
    <n v="34"/>
    <n v="8.1"/>
    <n v="10.199999999999999"/>
    <n v="7.5"/>
    <n v="8.1999999999999993"/>
    <n v="152"/>
    <n v="207"/>
    <n v="1"/>
    <n v="1.1000000000000001"/>
    <n v="0.4"/>
    <n v="1.2"/>
    <n v="18"/>
    <n v="40"/>
    <n v="70"/>
    <n v="140"/>
    <m/>
    <m/>
    <n v="0.55000000000000004"/>
  </r>
  <r>
    <n v="1290"/>
    <s v="RIVER PARVATI BEFORE CONF. TO RIVER BEAS AT_x000a_BHUNTER"/>
    <x v="0"/>
    <n v="4"/>
    <n v="16"/>
    <n v="7"/>
    <n v="8.6"/>
    <n v="6.5"/>
    <n v="8.1"/>
    <n v="42"/>
    <n v="100"/>
    <n v="1"/>
    <n v="1"/>
    <n v="0.32"/>
    <n v="0.85"/>
    <n v="43"/>
    <n v="170"/>
    <n v="220"/>
    <n v="920"/>
    <n v="2"/>
    <n v="2"/>
    <n v="0.5"/>
  </r>
  <r>
    <n v="1090"/>
    <s v="RIVER SAINJ D/S LARJI"/>
    <x v="0"/>
    <n v="6"/>
    <n v="15"/>
    <n v="7.4"/>
    <n v="8.1999999999999993"/>
    <n v="7"/>
    <n v="8"/>
    <n v="60"/>
    <n v="145"/>
    <n v="1"/>
    <n v="1"/>
    <n v="0.32"/>
    <n v="0.84"/>
    <n v="22"/>
    <n v="110"/>
    <n v="94"/>
    <n v="920"/>
    <n v="2"/>
    <n v="2"/>
    <n v="0.5"/>
  </r>
  <r>
    <n v="2605"/>
    <s v="RIVER PARVATI AT U/S MANIKARAN"/>
    <x v="0"/>
    <n v="3"/>
    <n v="15"/>
    <n v="7.2"/>
    <n v="8.8000000000000007"/>
    <n v="6.8"/>
    <n v="8.3000000000000007"/>
    <n v="40"/>
    <n v="94"/>
    <n v="1"/>
    <n v="1"/>
    <n v="0.32"/>
    <n v="1.06"/>
    <n v="17"/>
    <n v="47"/>
    <n v="63"/>
    <n v="220"/>
    <n v="2"/>
    <n v="2"/>
    <n v="0.5"/>
  </r>
  <r>
    <n v="2606"/>
    <s v="RIVER PARVATI AT D/S MANIKARAN"/>
    <x v="0"/>
    <n v="3"/>
    <n v="16"/>
    <n v="7.1"/>
    <n v="8.6999999999999993"/>
    <n v="6.8"/>
    <n v="8"/>
    <n v="42"/>
    <n v="100"/>
    <n v="1"/>
    <n v="1"/>
    <n v="0.32"/>
    <n v="1.23"/>
    <n v="22"/>
    <n v="94"/>
    <n v="70"/>
    <n v="350"/>
    <n v="2"/>
    <n v="2"/>
    <n v="0.5"/>
  </r>
  <r>
    <n v="1551"/>
    <s v="RIVER SIRSA U/S SITOMAJRI NALLAH"/>
    <x v="0"/>
    <n v="12"/>
    <n v="23"/>
    <n v="5.8"/>
    <n v="7.1"/>
    <n v="7.4"/>
    <n v="8.1999999999999993"/>
    <n v="331"/>
    <n v="766"/>
    <n v="1"/>
    <n v="7.2"/>
    <n v="1.73"/>
    <n v="15.8"/>
    <n v="2"/>
    <n v="920"/>
    <n v="26"/>
    <n v="1600"/>
    <n v="2"/>
    <n v="2"/>
    <n v="3.6"/>
  </r>
  <r>
    <n v="1552"/>
    <s v="RIVER SIRSA D/S NALAGARH BRIDGE"/>
    <x v="0"/>
    <n v="12"/>
    <n v="26"/>
    <n v="5.5"/>
    <n v="7.1"/>
    <n v="7.3"/>
    <n v="8.1"/>
    <n v="408"/>
    <n v="1436"/>
    <n v="1"/>
    <n v="6"/>
    <n v="2.62"/>
    <n v="15.54"/>
    <n v="4"/>
    <n v="920"/>
    <n v="21"/>
    <n v="1600"/>
    <n v="2"/>
    <n v="2"/>
    <n v="3"/>
  </r>
  <r>
    <n v="1868"/>
    <s v="RIVER SIRSA D/S NALAGARH TOWN"/>
    <x v="0"/>
    <n v="11"/>
    <n v="26"/>
    <n v="3.4"/>
    <n v="7.1"/>
    <n v="7.1"/>
    <n v="8.1"/>
    <n v="403"/>
    <n v="1611"/>
    <n v="1"/>
    <n v="3.9"/>
    <n v="3.05"/>
    <n v="15.31"/>
    <n v="2"/>
    <n v="540"/>
    <n v="26"/>
    <n v="1600"/>
    <n v="2"/>
    <n v="2"/>
    <n v="1.95"/>
  </r>
  <r>
    <n v="4485"/>
    <s v="RIVER SIRSA U/S SANDHOLI NALLAH"/>
    <x v="0"/>
    <n v="11"/>
    <n v="24"/>
    <n v="6"/>
    <n v="7.1"/>
    <n v="7.5"/>
    <n v="8.1999999999999993"/>
    <n v="329"/>
    <n v="768"/>
    <n v="1"/>
    <n v="3.8"/>
    <n v="1.86"/>
    <n v="11.86"/>
    <n v="4"/>
    <n v="46"/>
    <n v="34"/>
    <n v="920"/>
    <n v="2"/>
    <n v="2"/>
    <n v="1.9"/>
  </r>
  <r>
    <n v="4486"/>
    <s v="RIVER BALD D/S LANDFILLSITE AT BADDI"/>
    <x v="0"/>
    <n v="12"/>
    <n v="24"/>
    <n v="4"/>
    <n v="7.6"/>
    <n v="7.2"/>
    <n v="8.1"/>
    <n v="302"/>
    <n v="1754"/>
    <n v="1"/>
    <n v="24"/>
    <n v="1.4"/>
    <n v="9.23"/>
    <n v="2"/>
    <n v="1600"/>
    <n v="12"/>
    <n v="1600"/>
    <n v="2"/>
    <n v="2"/>
    <n v="12"/>
  </r>
  <r>
    <n v="4487"/>
    <s v="RIVER SIRSA D/S HOUSING BOARD NALLAH"/>
    <x v="0"/>
    <n v="11"/>
    <n v="25"/>
    <n v="3"/>
    <n v="6.9"/>
    <n v="7.6"/>
    <n v="8.1999999999999993"/>
    <n v="360"/>
    <n v="1913"/>
    <n v="1"/>
    <n v="16"/>
    <n v="1.48"/>
    <n v="14.24"/>
    <n v="7"/>
    <n v="1600"/>
    <n v="39"/>
    <n v="1600"/>
    <n v="2"/>
    <n v="9"/>
    <n v="8"/>
  </r>
  <r>
    <n v="4489"/>
    <s v="RIVER SIRSA AFTER CONF. TO RIVER RATTA"/>
    <x v="0"/>
    <n v="12"/>
    <n v="24"/>
    <n v="5.2"/>
    <n v="7.1"/>
    <n v="7.7"/>
    <n v="8.3000000000000007"/>
    <n v="418"/>
    <n v="1385"/>
    <n v="1"/>
    <n v="5.6"/>
    <n v="1.93"/>
    <n v="12.83"/>
    <n v="4"/>
    <n v="540"/>
    <n v="33"/>
    <n v="1600"/>
    <n v="2"/>
    <n v="2"/>
    <n v="2.8"/>
  </r>
  <r>
    <n v="30012"/>
    <s v="RIVER SARSA AT BADDI , ,GHANOLI VILLAGE) PUNJAB"/>
    <x v="1"/>
    <n v="19"/>
    <n v="27"/>
    <n v="6"/>
    <n v="6.8"/>
    <n v="7.6"/>
    <n v="8.1"/>
    <n v="330"/>
    <n v="1269"/>
    <n v="3"/>
    <n v="45"/>
    <n v="1.27"/>
    <n v="5.52"/>
    <n v="3400"/>
    <n v="490000"/>
    <n v="28000"/>
    <n v="1600000"/>
    <n v="1700"/>
    <n v="4900"/>
    <n v="67.5"/>
  </r>
  <r>
    <n v="4161"/>
    <s v="RIVER CONFLUENCE POINT OF SARSA NADI WITH_x000a_SUTLEJ, NR VILL ASPUR, ROOPNAGAR"/>
    <x v="1"/>
    <n v="12"/>
    <n v="29"/>
    <n v="6.5"/>
    <n v="12.2"/>
    <n v="7.2"/>
    <n v="8.3000000000000007"/>
    <n v="262"/>
    <n v="554"/>
    <n v="1"/>
    <n v="1.2"/>
    <n v="0.9"/>
    <n v="4.7"/>
    <n v="78"/>
    <n v="460"/>
    <n v="210"/>
    <n v="1100"/>
    <m/>
    <m/>
    <n v="0.6"/>
  </r>
  <r>
    <n v="2616"/>
    <s v="RIVER BAIRA SIUL D/S SURGANI"/>
    <x v="0"/>
    <n v="10"/>
    <n v="16"/>
    <n v="8.6999999999999993"/>
    <n v="9.1999999999999993"/>
    <n v="6.7"/>
    <n v="8.1"/>
    <n v="64"/>
    <n v="283"/>
    <n v="1"/>
    <n v="1"/>
    <n v="0.37"/>
    <n v="3.32"/>
    <n v="2"/>
    <n v="14"/>
    <n v="70"/>
    <n v="1700"/>
    <n v="2"/>
    <n v="2"/>
    <n v="0.5"/>
  </r>
  <r>
    <n v="2607"/>
    <s v="SUKETI KHAD BEFORE CONF. WITH RIVER BEAS"/>
    <x v="0"/>
    <n v="10"/>
    <n v="27"/>
    <n v="8"/>
    <n v="8.9"/>
    <n v="7.1"/>
    <n v="8.3000000000000007"/>
    <n v="210"/>
    <n v="385"/>
    <n v="1"/>
    <n v="2"/>
    <n v="0.32"/>
    <n v="3.22"/>
    <n v="63"/>
    <n v="1600"/>
    <n v="350"/>
    <n v="1600"/>
    <n v="2"/>
    <n v="2"/>
    <n v="1"/>
  </r>
  <r>
    <n v="2608"/>
    <s v="RIVER BINWA AT D/S PAPROLA/BAIJNATH"/>
    <x v="0"/>
    <n v="15"/>
    <n v="20"/>
    <n v="8.6"/>
    <n v="9.1999999999999993"/>
    <n v="7.3"/>
    <n v="8.1999999999999993"/>
    <n v="57"/>
    <n v="294"/>
    <n v="1"/>
    <n v="1"/>
    <n v="0.59"/>
    <n v="3.1"/>
    <n v="2"/>
    <n v="40"/>
    <n v="49"/>
    <n v="9200"/>
    <n v="2"/>
    <n v="2"/>
    <n v="0.5"/>
  </r>
  <r>
    <n v="2609"/>
    <s v="NEUGAL KHAD D/S THURAL"/>
    <x v="0"/>
    <n v="12"/>
    <n v="22"/>
    <n v="8.5"/>
    <n v="9.1"/>
    <n v="7.1"/>
    <n v="8.5"/>
    <n v="88"/>
    <n v="283"/>
    <n v="1"/>
    <n v="1"/>
    <n v="0.95"/>
    <n v="4.18"/>
    <n v="2"/>
    <n v="45"/>
    <n v="70"/>
    <n v="16000"/>
    <n v="2"/>
    <n v="2"/>
    <n v="0.5"/>
  </r>
  <r>
    <n v="2610"/>
    <s v="RIVER SPITI BEFORE CONF.WITH RIVER SUTLEJ AT_x000a_KHAB"/>
    <x v="0"/>
    <n v="7"/>
    <n v="11.5"/>
    <n v="9.1999999999999993"/>
    <n v="9.6999999999999993"/>
    <n v="7.6"/>
    <n v="8.4"/>
    <n v="129"/>
    <n v="509"/>
    <n v="1"/>
    <n v="1"/>
    <n v="0.32"/>
    <n v="0.82"/>
    <n v="2"/>
    <n v="70"/>
    <n v="2"/>
    <n v="280"/>
    <n v="2"/>
    <n v="2"/>
    <n v="0.5"/>
  </r>
  <r>
    <n v="2612"/>
    <s v="RIVER BASPA U/S RESERVOIR BASPA HEP AT KUPPA"/>
    <x v="0"/>
    <n v="7"/>
    <n v="12"/>
    <n v="9.3000000000000007"/>
    <n v="9.8000000000000007"/>
    <n v="7.5"/>
    <n v="8.4"/>
    <n v="104"/>
    <n v="304"/>
    <n v="1"/>
    <n v="1"/>
    <n v="0.32"/>
    <n v="1.45"/>
    <n v="2"/>
    <n v="39"/>
    <n v="9"/>
    <n v="280"/>
    <n v="2"/>
    <n v="2"/>
    <n v="0.5"/>
  </r>
  <r>
    <n v="5767"/>
    <s v="RIVER ANDHRA B/C TO RIVER PABBAR AT CHIRGAON"/>
    <x v="0"/>
    <n v="6"/>
    <n v="10.4"/>
    <n v="7.6"/>
    <n v="8.6999999999999993"/>
    <n v="7"/>
    <n v="8.4"/>
    <n v="42"/>
    <n v="136"/>
    <n v="1"/>
    <n v="1"/>
    <n v="0.32"/>
    <n v="0.66"/>
    <n v="2"/>
    <n v="20"/>
    <n v="2"/>
    <n v="280"/>
    <n v="2"/>
    <n v="2"/>
    <n v="0.5"/>
  </r>
  <r>
    <n v="5769"/>
    <s v="BANOI KHAD AT KALAPUL ON CANT ROAD_x000a_DHARAMSHALA"/>
    <x v="0"/>
    <n v="12"/>
    <n v="19"/>
    <n v="9"/>
    <n v="9.1"/>
    <n v="7.5"/>
    <n v="8.1999999999999993"/>
    <n v="79"/>
    <n v="213"/>
    <n v="1"/>
    <n v="1"/>
    <n v="0.69"/>
    <n v="3.12"/>
    <n v="2"/>
    <n v="93"/>
    <n v="26"/>
    <n v="5400"/>
    <n v="2"/>
    <n v="2"/>
    <n v="0.5"/>
  </r>
  <r>
    <n v="2755"/>
    <s v="RIVER BANGANGA (BATHING GHAT), KATRA,"/>
    <x v="2"/>
    <n v="11"/>
    <n v="22"/>
    <n v="2.6"/>
    <n v="7.8"/>
    <n v="8.1"/>
    <n v="8.8000000000000007"/>
    <n v="280"/>
    <n v="487"/>
    <n v="1"/>
    <n v="2.7"/>
    <n v="0"/>
    <n v="0.77"/>
    <m/>
    <m/>
    <n v="500"/>
    <n v="3000"/>
    <m/>
    <m/>
    <n v="1.35"/>
  </r>
  <r>
    <n v="2756"/>
    <s v="RIVER BANGANGA (IN FRONT OF PONY SHED NEAR_x000a_REASI BRIDGE)KATRA"/>
    <x v="2"/>
    <n v="11"/>
    <n v="22"/>
    <n v="2.4"/>
    <n v="6.2"/>
    <n v="8"/>
    <n v="8.5"/>
    <n v="264"/>
    <n v="589"/>
    <n v="1.3"/>
    <n v="3"/>
    <n v="0"/>
    <n v="1.1000000000000001"/>
    <m/>
    <m/>
    <n v="700"/>
    <n v="3000"/>
    <m/>
    <m/>
    <n v="1.9500000000000002"/>
  </r>
  <r>
    <n v="2752"/>
    <s v="RIVER BASANTER U/S (R.H.S) SAMBA (BELOW NH-1A_x000a_BRIDGE),"/>
    <x v="2"/>
    <n v="7.8"/>
    <n v="24"/>
    <n v="4.7"/>
    <n v="7.2"/>
    <n v="7.3"/>
    <n v="8"/>
    <n v="234"/>
    <n v="386"/>
    <n v="1"/>
    <n v="2.2999999999999998"/>
    <n v="0"/>
    <n v="0.32"/>
    <m/>
    <m/>
    <n v="700"/>
    <n v="700"/>
    <m/>
    <m/>
    <n v="1.1499999999999999"/>
  </r>
  <r>
    <n v="2753"/>
    <s v="RIVER BASANTER D/S(R.H.S.) SAMBA (AT CHAK MANGA_x000a_GUJJAR"/>
    <x v="2"/>
    <n v="14"/>
    <n v="26"/>
    <n v="3.1"/>
    <n v="6.5"/>
    <n v="7.5"/>
    <n v="8.1999999999999993"/>
    <n v="224"/>
    <n v="446"/>
    <n v="1"/>
    <n v="3.7"/>
    <n v="0"/>
    <n v="0.79"/>
    <m/>
    <m/>
    <n v="600"/>
    <n v="1000"/>
    <m/>
    <m/>
    <n v="1.85"/>
  </r>
  <r>
    <n v="2747"/>
    <s v="RIVER TAWI AT SURAJPUR CHATHA(10 KM D/S TAWI_x000a_BRIDGE)BELOW BRIDGE NEAR CHATHA MSW DUMPING_x000a_SITE, J&amp;K"/>
    <x v="2"/>
    <n v="17"/>
    <n v="26"/>
    <n v="6.7"/>
    <n v="7.2"/>
    <n v="7.6"/>
    <n v="8.4"/>
    <n v="160"/>
    <n v="324"/>
    <n v="1"/>
    <n v="1"/>
    <n v="0"/>
    <n v="0.32"/>
    <m/>
    <m/>
    <n v="600"/>
    <n v="1300"/>
    <m/>
    <m/>
    <n v="0.5"/>
  </r>
  <r>
    <n v="2748"/>
    <s v="RIVER CHENAB AT L.H.S.(BELOW BRIDGE CHENAB)"/>
    <x v="2"/>
    <n v="9"/>
    <n v="16"/>
    <n v="7.2"/>
    <n v="7.6"/>
    <n v="7.1"/>
    <n v="7.5"/>
    <n v="110"/>
    <n v="224"/>
    <n v="1"/>
    <n v="1.1000000000000001"/>
    <n v="0"/>
    <n v="0.32"/>
    <m/>
    <m/>
    <m/>
    <m/>
    <m/>
    <m/>
    <n v="0.55000000000000004"/>
  </r>
  <r>
    <n v="2749"/>
    <s v="RIVER CHENAB AT BLIND CURVE SHAMSHAN GHAT (1.5_x000a_KM U/S FROM SPOT)"/>
    <x v="2"/>
    <n v="9"/>
    <n v="16"/>
    <n v="7.2"/>
    <n v="7.6"/>
    <n v="7.2"/>
    <n v="7.5"/>
    <n v="110"/>
    <n v="206"/>
    <n v="1"/>
    <n v="1.1000000000000001"/>
    <n v="0"/>
    <n v="0.32"/>
    <m/>
    <m/>
    <m/>
    <m/>
    <m/>
    <m/>
    <n v="0.55000000000000004"/>
  </r>
  <r>
    <n v="2750"/>
    <s v="RIVER CHENAB AT CHADRA GAON VIEW POINT(4 KM U/S_x000a_FROM SPOT)"/>
    <x v="2"/>
    <n v="9"/>
    <n v="16"/>
    <n v="7.3"/>
    <n v="7.5"/>
    <n v="7.2"/>
    <n v="7.5"/>
    <n v="110"/>
    <n v="204"/>
    <n v="1"/>
    <n v="1.1000000000000001"/>
    <n v="0"/>
    <n v="0.32"/>
    <m/>
    <m/>
    <m/>
    <m/>
    <m/>
    <m/>
    <n v="0.55000000000000004"/>
  </r>
  <r>
    <n v="2751"/>
    <s v="RIVER CHENAB AT JAL PATAN MANDIR AFTER MEETING_x000a_WITH MAIN DRAIN OF AKHNOOR CITY(1.5 KMD/S FROM_x000a_SPOT)"/>
    <x v="2"/>
    <n v="9"/>
    <n v="16"/>
    <n v="6.8"/>
    <n v="7"/>
    <n v="7.3"/>
    <n v="7.9"/>
    <n v="114"/>
    <n v="227"/>
    <n v="1.1000000000000001"/>
    <n v="1.6"/>
    <n v="0"/>
    <n v="1.19"/>
    <m/>
    <m/>
    <n v="600"/>
    <n v="1000"/>
    <m/>
    <m/>
    <n v="0.88000000000000012"/>
  </r>
  <r>
    <n v="2754"/>
    <s v="RIVER DEVAK UDHAMPUR(NEAR SHIV MANDIR_x000a_D/S)L.H.S."/>
    <x v="2"/>
    <n v="16"/>
    <n v="26"/>
    <n v="3.1"/>
    <n v="5.3"/>
    <n v="7.9"/>
    <n v="8.1999999999999993"/>
    <n v="312"/>
    <n v="627"/>
    <n v="2.2999999999999998"/>
    <n v="4.4000000000000004"/>
    <n v="0"/>
    <n v="4.32"/>
    <m/>
    <m/>
    <n v="800"/>
    <n v="2000"/>
    <m/>
    <m/>
    <n v="5.0599999999999996"/>
  </r>
  <r>
    <n v="2757"/>
    <s v="RIVER DEVAK AT UTTERBEHNI"/>
    <x v="2"/>
    <n v="17"/>
    <n v="22"/>
    <n v="6.4"/>
    <n v="7.3"/>
    <n v="7.6"/>
    <n v="8.6"/>
    <n v="164"/>
    <n v="314"/>
    <n v="1"/>
    <n v="1"/>
    <n v="0"/>
    <n v="0.32"/>
    <m/>
    <m/>
    <m/>
    <m/>
    <m/>
    <m/>
    <n v="0.5"/>
  </r>
  <r>
    <n v="4058"/>
    <s v="RIVER DEVAK AT PURMANDAL, NEAR TEMPLE"/>
    <x v="2"/>
    <n v="17"/>
    <n v="24"/>
    <n v="5"/>
    <n v="7.3"/>
    <n v="8.3000000000000007"/>
    <n v="8.6999999999999993"/>
    <n v="412"/>
    <n v="589"/>
    <n v="1"/>
    <n v="1.3"/>
    <n v="0"/>
    <n v="0.32"/>
    <m/>
    <m/>
    <m/>
    <m/>
    <m/>
    <m/>
    <n v="0.65"/>
  </r>
  <r>
    <n v="4062"/>
    <s v="RIVER DEVAK 2 KM D/S FROM SHIV MANDIR AT_x000a_UDHAMPUR,"/>
    <x v="2"/>
    <n v="16"/>
    <n v="26"/>
    <n v="5.8"/>
    <n v="7.8"/>
    <n v="7.6"/>
    <n v="8.3000000000000007"/>
    <n v="300"/>
    <n v="542"/>
    <n v="1"/>
    <n v="1.9"/>
    <n v="0"/>
    <n v="1.55"/>
    <m/>
    <m/>
    <n v="700"/>
    <n v="3000"/>
    <m/>
    <m/>
    <n v="0.95"/>
  </r>
  <r>
    <n v="4063"/>
    <s v="RIVER DEVAK ABOUT 10 KM D/S FROM SHIV MANDIR,_x000a_BELOW RAILWAY BRIDGE, UDHAMPUR"/>
    <x v="2"/>
    <n v="16"/>
    <n v="26"/>
    <n v="5.6"/>
    <n v="8"/>
    <n v="7.3"/>
    <n v="8.5"/>
    <n v="286"/>
    <n v="420"/>
    <n v="1"/>
    <n v="2"/>
    <n v="0"/>
    <n v="0.32"/>
    <m/>
    <m/>
    <n v="700"/>
    <n v="2000"/>
    <m/>
    <m/>
    <n v="1"/>
  </r>
  <r>
    <n v="4081"/>
    <s v="SURAN RIVER BELOW SHER-E-KASHMIR BRIDGE AT_x000a_POONCH"/>
    <x v="2"/>
    <n v="17"/>
    <n v="24"/>
    <n v="7.4"/>
    <n v="7.6"/>
    <n v="7.5"/>
    <n v="7.6"/>
    <n v="110"/>
    <n v="165"/>
    <n v="1"/>
    <n v="1"/>
    <n v="0.32"/>
    <n v="0.32"/>
    <m/>
    <m/>
    <m/>
    <m/>
    <m/>
    <m/>
    <n v="0.5"/>
  </r>
  <r>
    <n v="3277"/>
    <s v="RIVER JHELUM AT BARAMULLA D/S"/>
    <x v="2"/>
    <n v="5.5"/>
    <n v="23"/>
    <n v="5.8"/>
    <n v="9.8000000000000007"/>
    <n v="7.4"/>
    <n v="8.1999999999999993"/>
    <n v="160"/>
    <n v="325"/>
    <n v="2.5"/>
    <n v="3.8"/>
    <n v="0"/>
    <n v="0"/>
    <m/>
    <m/>
    <m/>
    <m/>
    <m/>
    <m/>
    <n v="4.75"/>
  </r>
  <r>
    <n v="1410"/>
    <s v="RIVER JHELAM AT DALAGATE (INLET), SRINAGAR"/>
    <x v="2"/>
    <n v="6.1"/>
    <n v="25.1"/>
    <n v="4.5999999999999996"/>
    <n v="8.9"/>
    <n v="7.3"/>
    <n v="8"/>
    <n v="155"/>
    <n v="366"/>
    <n v="1.9"/>
    <n v="5.9"/>
    <n v="0"/>
    <n v="0"/>
    <m/>
    <m/>
    <m/>
    <m/>
    <m/>
    <m/>
    <n v="5.6050000000000004"/>
  </r>
  <r>
    <n v="1411"/>
    <s v="RIVER JHELAM AT CHATTABAL WEIR (OUTLET"/>
    <x v="2"/>
    <n v="7.3"/>
    <n v="25.1"/>
    <n v="4.0999999999999996"/>
    <n v="8.1999999999999993"/>
    <n v="7.3"/>
    <n v="8.1"/>
    <n v="154"/>
    <n v="371"/>
    <n v="2.9"/>
    <n v="7.8"/>
    <n v="0"/>
    <n v="0"/>
    <m/>
    <m/>
    <m/>
    <m/>
    <m/>
    <m/>
    <n v="11.309999999999999"/>
  </r>
  <r>
    <n v="3272"/>
    <s v="RIVER JHELUM AT VERINAG"/>
    <x v="2"/>
    <n v="7"/>
    <n v="19.5"/>
    <n v="6"/>
    <n v="9.6999999999999993"/>
    <n v="7.1"/>
    <n v="7.9"/>
    <n v="152"/>
    <n v="351"/>
    <n v="1"/>
    <n v="4.2"/>
    <n v="0"/>
    <n v="0"/>
    <m/>
    <m/>
    <m/>
    <m/>
    <m/>
    <m/>
    <n v="2.1"/>
  </r>
  <r>
    <n v="3273"/>
    <s v="RIVER JHELUM AT SANGAM, CONFLUENCE POINT OF_x000a_VISHAV NALLAH"/>
    <x v="2"/>
    <n v="8"/>
    <n v="22"/>
    <n v="5.9"/>
    <n v="9"/>
    <n v="7.7"/>
    <n v="8"/>
    <n v="120"/>
    <n v="281"/>
    <n v="1.8"/>
    <n v="4.4000000000000004"/>
    <n v="0"/>
    <n v="0"/>
    <m/>
    <m/>
    <m/>
    <m/>
    <m/>
    <m/>
    <n v="3.9600000000000004"/>
  </r>
  <r>
    <n v="3274"/>
    <s v="RIVER JHELUM AT AWANTIPORA"/>
    <x v="2"/>
    <n v="7.5"/>
    <n v="22.2"/>
    <n v="6"/>
    <n v="9.9"/>
    <n v="7.5"/>
    <n v="8.1"/>
    <n v="118"/>
    <n v="297"/>
    <n v="2"/>
    <n v="3.2"/>
    <n v="0"/>
    <n v="0"/>
    <m/>
    <m/>
    <m/>
    <m/>
    <m/>
    <m/>
    <n v="3.2"/>
  </r>
  <r>
    <n v="3275"/>
    <s v="RIVER JHELUM AT PAMPORE"/>
    <x v="2"/>
    <n v="7.6"/>
    <n v="22.1"/>
    <n v="5.9"/>
    <n v="9.8000000000000007"/>
    <n v="7.3"/>
    <n v="8.1"/>
    <n v="114"/>
    <n v="312"/>
    <n v="2.1"/>
    <n v="4.2"/>
    <n v="0"/>
    <n v="0"/>
    <m/>
    <m/>
    <m/>
    <m/>
    <m/>
    <m/>
    <n v="4.41"/>
  </r>
  <r>
    <n v="3276"/>
    <s v="RIVER JHELUM AT SOPORE, CONFLUENCE POINT OF_x000a_WULAR LAKE"/>
    <x v="2"/>
    <n v="5"/>
    <n v="23.4"/>
    <n v="6"/>
    <n v="10.8"/>
    <n v="7.3"/>
    <n v="8.1999999999999993"/>
    <n v="153"/>
    <n v="354"/>
    <n v="1.6"/>
    <n v="3.2"/>
    <n v="0"/>
    <n v="0"/>
    <m/>
    <m/>
    <m/>
    <m/>
    <m/>
    <m/>
    <n v="2.5600000000000005"/>
  </r>
  <r>
    <n v="4053"/>
    <s v="RIVER JHELUM AT BIJEHARA"/>
    <x v="2"/>
    <n v="8.4"/>
    <n v="22.8"/>
    <n v="5.3"/>
    <n v="9.4"/>
    <n v="7.6"/>
    <n v="7.9"/>
    <n v="121"/>
    <n v="310"/>
    <n v="2"/>
    <n v="3.8"/>
    <n v="0"/>
    <n v="0"/>
    <m/>
    <m/>
    <m/>
    <m/>
    <m/>
    <m/>
    <n v="3.8"/>
  </r>
  <r>
    <n v="4054"/>
    <s v="RIVER JHELUM AT PANTHACHOWK"/>
    <x v="2"/>
    <n v="7.5"/>
    <n v="22.3"/>
    <n v="5.5"/>
    <n v="9.9"/>
    <n v="7.5"/>
    <n v="8"/>
    <n v="114"/>
    <n v="316"/>
    <n v="2"/>
    <n v="32"/>
    <n v="0"/>
    <n v="0"/>
    <m/>
    <m/>
    <m/>
    <m/>
    <m/>
    <m/>
    <n v="32"/>
  </r>
  <r>
    <n v="2742"/>
    <s v="RIVER TAWI AT SHETALI LIFTING POINT NAGROTA(5KM_x000a_U/S TAWI BRIDGE)"/>
    <x v="2"/>
    <n v="16"/>
    <n v="26"/>
    <n v="7.2"/>
    <n v="7.6"/>
    <n v="7.3"/>
    <n v="8.1999999999999993"/>
    <n v="166"/>
    <n v="455"/>
    <n v="1"/>
    <n v="1"/>
    <n v="0"/>
    <n v="0.32"/>
    <m/>
    <m/>
    <m/>
    <m/>
    <m/>
    <m/>
    <n v="0.5"/>
  </r>
  <r>
    <n v="2743"/>
    <s v="RIVER TAWI AT BAGH-E-BAHU LIFTING POINT(1 KM U/S_x000a_TAWI BRIDGE)"/>
    <x v="2"/>
    <n v="17"/>
    <n v="26"/>
    <n v="6.8"/>
    <n v="7.5"/>
    <n v="7.5"/>
    <n v="8.5"/>
    <n v="176"/>
    <n v="370"/>
    <n v="1"/>
    <n v="1"/>
    <n v="0"/>
    <n v="0.32"/>
    <m/>
    <m/>
    <m/>
    <m/>
    <m/>
    <m/>
    <n v="0.5"/>
  </r>
  <r>
    <n v="1412"/>
    <s v="RIVER TAWI AT JAMMU U/S, (TAWI BRIDGE )"/>
    <x v="2"/>
    <n v="14"/>
    <n v="28"/>
    <n v="4.8"/>
    <n v="6"/>
    <n v="7.9"/>
    <n v="8.4"/>
    <n v="420"/>
    <n v="442"/>
    <n v="2"/>
    <n v="3.6"/>
    <n v="0"/>
    <n v="0.26"/>
    <m/>
    <m/>
    <m/>
    <m/>
    <m/>
    <m/>
    <n v="3.6"/>
  </r>
  <r>
    <n v="2744"/>
    <s v="RIVER TAWI BELOW TAWI BRIDGE"/>
    <x v="2"/>
    <n v="17"/>
    <n v="26"/>
    <n v="3"/>
    <n v="7.5"/>
    <n v="7.9"/>
    <n v="8.9"/>
    <n v="185"/>
    <n v="372"/>
    <n v="1.1000000000000001"/>
    <n v="4"/>
    <n v="0"/>
    <n v="1.42"/>
    <m/>
    <m/>
    <n v="700"/>
    <n v="800"/>
    <m/>
    <m/>
    <n v="2.2000000000000002"/>
  </r>
  <r>
    <n v="2745"/>
    <s v="RIVER TAWI BAGHWATI NAGAR (2KM D/S TAWI BRIDGE"/>
    <x v="2"/>
    <n v="17"/>
    <n v="17"/>
    <n v="3"/>
    <n v="3"/>
    <n v="9"/>
    <n v="9"/>
    <n v="176"/>
    <n v="176"/>
    <n v="9"/>
    <n v="9"/>
    <n v="0"/>
    <n v="0"/>
    <m/>
    <m/>
    <m/>
    <m/>
    <m/>
    <m/>
    <n v="40.5"/>
  </r>
  <r>
    <n v="2746"/>
    <s v="RIVER TAWI AT BELICHARANA(4KM D/S TAWI BRIDGE)"/>
    <x v="2"/>
    <n v="17"/>
    <n v="26"/>
    <n v="6.5"/>
    <n v="7.2"/>
    <n v="7.9"/>
    <n v="8.5"/>
    <n v="156"/>
    <n v="360"/>
    <n v="1"/>
    <n v="1"/>
    <n v="0"/>
    <n v="0.32"/>
    <m/>
    <m/>
    <n v="500"/>
    <n v="1500"/>
    <m/>
    <m/>
    <n v="0.5"/>
  </r>
  <r>
    <n v="4055"/>
    <s v="RIVER TAWI AT 1 KM D/S BELOW STP DISCHARGE POINT_x000a_AT BHAGWATI NAGAR"/>
    <x v="2"/>
    <n v="18"/>
    <n v="18"/>
    <n v="2.2999999999999998"/>
    <n v="2.2999999999999998"/>
    <n v="8.9"/>
    <n v="8.9"/>
    <n v="172"/>
    <n v="172"/>
    <n v="9.5"/>
    <n v="9.5"/>
    <n v="0"/>
    <n v="0"/>
    <m/>
    <m/>
    <m/>
    <m/>
    <m/>
    <m/>
    <n v="45.125"/>
  </r>
  <r>
    <n v="4056"/>
    <s v="RIVER TAWI AT BALOL NALLAH, NEAR NIT COLLEGE,_x000a_MIRAN SAHIB, BEFORE MIXING"/>
    <x v="2"/>
    <n v="16"/>
    <n v="28"/>
    <n v="2.9"/>
    <n v="6"/>
    <n v="7.7"/>
    <n v="8.1999999999999993"/>
    <n v="326"/>
    <n v="612"/>
    <n v="1"/>
    <n v="4.9000000000000004"/>
    <n v="0"/>
    <n v="0.31"/>
    <m/>
    <m/>
    <m/>
    <m/>
    <m/>
    <m/>
    <n v="2.4500000000000002"/>
  </r>
  <r>
    <n v="3284"/>
    <s v="RIVER SINDH AT SONAMARG D/S"/>
    <x v="2"/>
    <n v="4.0999999999999996"/>
    <n v="10.8"/>
    <n v="7.3"/>
    <n v="10.199999999999999"/>
    <n v="7.3"/>
    <n v="8.4"/>
    <n v="203"/>
    <n v="454"/>
    <n v="1"/>
    <n v="1.8"/>
    <n v="0"/>
    <n v="0"/>
    <m/>
    <m/>
    <m/>
    <m/>
    <m/>
    <m/>
    <n v="0.9"/>
  </r>
  <r>
    <n v="3285"/>
    <s v="RIVER SINDH AT WAIL BRIDGE"/>
    <x v="2"/>
    <n v="3.5"/>
    <n v="16"/>
    <n v="7.2"/>
    <n v="10.9"/>
    <n v="7.6"/>
    <n v="8.3000000000000007"/>
    <n v="143"/>
    <n v="340"/>
    <n v="1"/>
    <n v="2"/>
    <n v="0"/>
    <n v="0"/>
    <m/>
    <m/>
    <m/>
    <m/>
    <m/>
    <m/>
    <n v="1"/>
  </r>
  <r>
    <n v="3286"/>
    <s v="RIVER SINDH AT DUDERHAMA"/>
    <x v="2"/>
    <n v="4.0999999999999996"/>
    <n v="17.2"/>
    <n v="7.4"/>
    <n v="9.6999999999999993"/>
    <n v="7.4"/>
    <n v="8.1999999999999993"/>
    <n v="146"/>
    <n v="344"/>
    <n v="1"/>
    <n v="2.6"/>
    <n v="0"/>
    <n v="0"/>
    <m/>
    <m/>
    <m/>
    <m/>
    <m/>
    <m/>
    <n v="1.3"/>
  </r>
  <r>
    <n v="3287"/>
    <s v="RIVER SINDH AT RANGIL, SRINAGAR"/>
    <x v="2"/>
    <n v="4"/>
    <n v="18.8"/>
    <n v="7.5"/>
    <n v="10.8"/>
    <n v="7.5"/>
    <n v="8.1999999999999993"/>
    <n v="156"/>
    <n v="359"/>
    <n v="1"/>
    <n v="2.6"/>
    <n v="0"/>
    <n v="0"/>
    <m/>
    <m/>
    <m/>
    <m/>
    <m/>
    <m/>
    <n v="1.3"/>
  </r>
  <r>
    <n v="4023"/>
    <s v="MANJHI KHAD U/S DHARAMSHALA OF KHANIYARA"/>
    <x v="0"/>
    <n v="11"/>
    <n v="20"/>
    <n v="8.1999999999999993"/>
    <n v="9.1"/>
    <n v="7.5"/>
    <n v="8.4"/>
    <n v="59"/>
    <n v="228"/>
    <n v="1"/>
    <n v="1"/>
    <n v="0.41"/>
    <n v="2.76"/>
    <n v="2"/>
    <n v="20"/>
    <n v="22"/>
    <n v="3500"/>
    <n v="2"/>
    <n v="2"/>
    <n v="0.5"/>
  </r>
  <r>
    <n v="4024"/>
    <s v="MANJHI KHAD D/S DHARAMSHALA AT CHETRU"/>
    <x v="0"/>
    <n v="12"/>
    <n v="20"/>
    <n v="8.1999999999999993"/>
    <n v="9.1999999999999993"/>
    <n v="7.6"/>
    <n v="8.5"/>
    <n v="59"/>
    <n v="242"/>
    <n v="1"/>
    <n v="1"/>
    <n v="0.49"/>
    <n v="2.67"/>
    <n v="2"/>
    <n v="20"/>
    <n v="39"/>
    <n v="5400"/>
    <n v="2"/>
    <n v="2"/>
    <n v="0.5"/>
  </r>
  <r>
    <n v="4025"/>
    <s v="MOL KHAD U/S PALAMPUR"/>
    <x v="0"/>
    <n v="12"/>
    <n v="21"/>
    <n v="8.6"/>
    <n v="9.1999999999999993"/>
    <n v="7.3"/>
    <n v="8"/>
    <n v="74"/>
    <n v="329"/>
    <n v="1"/>
    <n v="1"/>
    <n v="0.3"/>
    <n v="2.04"/>
    <n v="2"/>
    <n v="45"/>
    <n v="13"/>
    <n v="9200"/>
    <n v="2"/>
    <n v="2"/>
    <n v="0.5"/>
  </r>
  <r>
    <n v="4026"/>
    <s v="MOL KHAD D/S PALAMPUR"/>
    <x v="0"/>
    <n v="10"/>
    <n v="21"/>
    <n v="8.4"/>
    <n v="9.3000000000000007"/>
    <n v="7"/>
    <n v="8.1999999999999993"/>
    <n v="74"/>
    <n v="368"/>
    <n v="1"/>
    <n v="1"/>
    <n v="0.3"/>
    <n v="2.62"/>
    <n v="2"/>
    <n v="45"/>
    <n v="22"/>
    <n v="16000"/>
    <n v="2"/>
    <n v="2"/>
    <n v="0.5"/>
  </r>
  <r>
    <n v="4038"/>
    <s v="RIVER TIRTHAN BEFORE CONF. TO RIVER SUTLEJ"/>
    <x v="0"/>
    <n v="7"/>
    <n v="19"/>
    <n v="7.8"/>
    <n v="8.5"/>
    <n v="7.2"/>
    <n v="8"/>
    <n v="61"/>
    <n v="280"/>
    <n v="1"/>
    <n v="1"/>
    <n v="0.32"/>
    <n v="4.93"/>
    <n v="21"/>
    <n v="79"/>
    <n v="79"/>
    <n v="430"/>
    <n v="2"/>
    <n v="2"/>
    <n v="0.5"/>
  </r>
  <r>
    <n v="4424"/>
    <s v="RAW WATER FOR LWSS OF NAUTI KHAD AT GUMMA_x000a_(BASANTPUR)"/>
    <x v="0"/>
    <n v="8"/>
    <n v="18"/>
    <n v="7.2"/>
    <n v="8.1"/>
    <n v="7.2"/>
    <n v="8.3000000000000007"/>
    <n v="105"/>
    <n v="800"/>
    <n v="1"/>
    <n v="1"/>
    <n v="0.32"/>
    <n v="2.34"/>
    <n v="4"/>
    <n v="220"/>
    <n v="17"/>
    <n v="920"/>
    <n v="2"/>
    <n v="7"/>
    <n v="0.5"/>
  </r>
  <r>
    <n v="4432"/>
    <s v="DHAULI KHAD AT CHARAN GANGA MEDI"/>
    <x v="0"/>
    <n v="17"/>
    <n v="33.4"/>
    <n v="6.9"/>
    <n v="8"/>
    <n v="7.4"/>
    <n v="8.3000000000000007"/>
    <n v="344"/>
    <n v="517"/>
    <n v="1"/>
    <n v="3"/>
    <n v="0.32"/>
    <n v="5.94"/>
    <n v="2"/>
    <n v="6"/>
    <n v="14"/>
    <n v="170"/>
    <n v="2"/>
    <n v="2"/>
    <n v="1.5"/>
  </r>
  <r>
    <n v="4457"/>
    <s v="BANER KHAD U/S CHAMUNDA TEMPLE"/>
    <x v="0"/>
    <n v="16"/>
    <n v="20"/>
    <n v="8.8000000000000007"/>
    <n v="9.4"/>
    <n v="7.1"/>
    <n v="8.1"/>
    <n v="97"/>
    <n v="201"/>
    <n v="1"/>
    <n v="1"/>
    <n v="0.48"/>
    <n v="3.68"/>
    <n v="2"/>
    <n v="40"/>
    <n v="33"/>
    <n v="16000"/>
    <n v="2"/>
    <n v="2"/>
    <n v="0.5"/>
  </r>
  <r>
    <n v="4458"/>
    <s v="BANER KHAD D/S CHAMUNDA TEMPLE"/>
    <x v="0"/>
    <n v="16"/>
    <n v="21"/>
    <n v="8.8000000000000007"/>
    <n v="9.1999999999999993"/>
    <n v="7.3"/>
    <n v="8.3000000000000007"/>
    <n v="95"/>
    <n v="187"/>
    <n v="1"/>
    <n v="1"/>
    <n v="0.56999999999999995"/>
    <n v="3.26"/>
    <n v="2"/>
    <n v="78"/>
    <n v="79"/>
    <n v="16000"/>
    <n v="2"/>
    <n v="2"/>
    <n v="0.5"/>
  </r>
  <r>
    <n v="4460"/>
    <s v="CHARAN KHAND U/S BHAGSUNAG"/>
    <x v="0"/>
    <n v="12"/>
    <n v="19"/>
    <n v="9.1"/>
    <n v="9.1999999999999993"/>
    <n v="7.6"/>
    <n v="8.1999999999999993"/>
    <n v="74"/>
    <n v="197"/>
    <n v="1"/>
    <n v="1"/>
    <n v="0.3"/>
    <n v="5.53"/>
    <n v="2"/>
    <n v="20"/>
    <n v="13"/>
    <n v="3500"/>
    <n v="2"/>
    <n v="2"/>
    <n v="0.5"/>
  </r>
  <r>
    <n v="4469"/>
    <s v="GAJ KHAD NEAR WATER SUPPLY SCHEME_x000a_DHARAMSHALA CANTT."/>
    <x v="0"/>
    <n v="11"/>
    <n v="18"/>
    <n v="8.8000000000000007"/>
    <n v="9.1"/>
    <n v="7.7"/>
    <n v="8.6"/>
    <n v="67"/>
    <n v="237"/>
    <n v="1"/>
    <n v="1"/>
    <n v="0.3"/>
    <n v="6.43"/>
    <n v="2"/>
    <n v="7"/>
    <n v="11"/>
    <n v="790"/>
    <n v="2"/>
    <n v="2"/>
    <n v="0.5"/>
  </r>
  <r>
    <n v="4470"/>
    <s v="BATHER KHAD WATER SUPPLY SCHEME AT DAL LAKE"/>
    <x v="0"/>
    <n v="10"/>
    <n v="18"/>
    <n v="9"/>
    <n v="9.1999999999999993"/>
    <n v="7.4"/>
    <n v="8.4"/>
    <n v="70"/>
    <n v="196"/>
    <n v="1"/>
    <n v="1"/>
    <n v="0.3"/>
    <n v="5.96"/>
    <n v="2"/>
    <n v="20"/>
    <n v="11"/>
    <n v="1300"/>
    <n v="2"/>
    <n v="2"/>
    <n v="0.5"/>
  </r>
  <r>
    <n v="4471"/>
    <s v="NEUGAL KHAD NEAR WATER SUPPLY SCHEME AT_x000a_BANDLA, PALAMPUR"/>
    <x v="0"/>
    <n v="9"/>
    <n v="17"/>
    <n v="8.9"/>
    <n v="9.6"/>
    <n v="7.2"/>
    <n v="8"/>
    <n v="77"/>
    <n v="480"/>
    <n v="1"/>
    <n v="1"/>
    <n v="0.3"/>
    <n v="4.12"/>
    <n v="2"/>
    <n v="20"/>
    <n v="8"/>
    <n v="5400"/>
    <n v="2"/>
    <n v="2"/>
    <n v="0.5"/>
  </r>
  <r>
    <n v="4488"/>
    <s v="RIVER RATTA BEFORE CONF. TO RIVER SIRSA"/>
    <x v="0"/>
    <n v="14"/>
    <n v="23"/>
    <n v="5.8"/>
    <n v="7.1"/>
    <n v="7.5"/>
    <n v="8"/>
    <n v="615"/>
    <n v="1384"/>
    <n v="1"/>
    <n v="5.4"/>
    <n v="1.69"/>
    <n v="17.260000000000002"/>
    <n v="5"/>
    <n v="220"/>
    <n v="34"/>
    <n v="1600"/>
    <n v="2"/>
    <n v="2"/>
    <n v="2.7"/>
  </r>
  <r>
    <n v="5489"/>
    <s v="RIVER BHAWA KHAD AT RESERVIOR SITE OF ALLIAN_x000a_DUHANGAN HEP,PRINI,MANALI"/>
    <x v="0"/>
    <n v="9"/>
    <n v="9"/>
    <n v="9.6"/>
    <n v="9.6"/>
    <n v="8.3000000000000007"/>
    <n v="8.3000000000000007"/>
    <n v="87"/>
    <n v="87"/>
    <n v="1"/>
    <n v="1"/>
    <n v="0.61"/>
    <n v="0.61"/>
    <n v="11"/>
    <n v="11"/>
    <n v="26"/>
    <n v="26"/>
    <n v="2"/>
    <n v="2"/>
    <n v="0.5"/>
  </r>
  <r>
    <n v="5766"/>
    <s v="CHAKKI KHAD AT LAHROO D/S OF PHINNA SINGH_x000a_IRRIGATION SCHEME"/>
    <x v="0"/>
    <n v="10"/>
    <n v="16"/>
    <n v="8.8000000000000007"/>
    <n v="9"/>
    <n v="7.3"/>
    <n v="8"/>
    <n v="125"/>
    <n v="259"/>
    <n v="1"/>
    <n v="1"/>
    <n v="0.73"/>
    <n v="2.68"/>
    <n v="4"/>
    <n v="45"/>
    <n v="350"/>
    <n v="5400"/>
    <n v="2"/>
    <n v="2"/>
    <n v="0.5"/>
  </r>
  <r>
    <n v="1306"/>
    <s v="RIVER GAWKADAL, SRG (SHERGHARI, SRG)"/>
    <x v="2"/>
    <n v="6.6"/>
    <n v="25.2"/>
    <n v="4.7"/>
    <n v="7.8"/>
    <n v="7.4"/>
    <n v="8.1"/>
    <n v="149"/>
    <n v="357"/>
    <n v="2.2999999999999998"/>
    <n v="5"/>
    <n v="0"/>
    <n v="0"/>
    <m/>
    <m/>
    <m/>
    <m/>
    <m/>
    <m/>
    <n v="5.75"/>
  </r>
  <r>
    <n v="5248"/>
    <s v="RIVER UHL D/S OF IIT, MANDI"/>
    <x v="0"/>
    <n v="4"/>
    <n v="23"/>
    <n v="8.5"/>
    <n v="9.6"/>
    <n v="7.1"/>
    <n v="8.1"/>
    <n v="62"/>
    <n v="205"/>
    <n v="1"/>
    <n v="1"/>
    <n v="0.32"/>
    <n v="1.01"/>
    <n v="23"/>
    <n v="79"/>
    <n v="170"/>
    <n v="350"/>
    <n v="2"/>
    <n v="2"/>
    <n v="0.5"/>
  </r>
  <r>
    <n v="5251"/>
    <s v="SUKETI KHAD D/S SWM SITE AT SUNDER NAGAR"/>
    <x v="0"/>
    <n v="12"/>
    <n v="27"/>
    <n v="7"/>
    <n v="8.8000000000000007"/>
    <n v="7.1"/>
    <n v="8.1999999999999993"/>
    <n v="210"/>
    <n v="414"/>
    <n v="1"/>
    <n v="2.8"/>
    <n v="0.49"/>
    <n v="3.25"/>
    <n v="58"/>
    <n v="920"/>
    <n v="280"/>
    <n v="1600"/>
    <n v="2"/>
    <n v="2"/>
    <n v="1.4"/>
  </r>
  <r>
    <n v="5252"/>
    <s v="SEER KHAD U/S INTAKE POINT OF WSS GHUMARWIN_x000a_TOWN"/>
    <x v="0"/>
    <n v="5"/>
    <n v="32"/>
    <n v="8.1999999999999993"/>
    <n v="9.3000000000000007"/>
    <n v="7.2"/>
    <n v="8.1999999999999993"/>
    <n v="185"/>
    <n v="285"/>
    <n v="1"/>
    <n v="1"/>
    <n v="0.32"/>
    <n v="1.83"/>
    <n v="11"/>
    <n v="79"/>
    <n v="33"/>
    <n v="350"/>
    <n v="2"/>
    <n v="2"/>
    <n v="0.5"/>
  </r>
  <r>
    <n v="5254"/>
    <s v="RIVER BHAGGA U/S BEFORE CONFLUENCE TO RIVER_x000a_CHENAB"/>
    <x v="0"/>
    <n v="3"/>
    <n v="12"/>
    <n v="7.5"/>
    <n v="8.9"/>
    <n v="7.2"/>
    <n v="8.1"/>
    <n v="92"/>
    <n v="225"/>
    <n v="1"/>
    <n v="1"/>
    <n v="0.32"/>
    <n v="0.55000000000000004"/>
    <n v="23"/>
    <n v="39"/>
    <n v="140"/>
    <n v="280"/>
    <n v="2"/>
    <n v="2"/>
    <n v="0.5"/>
  </r>
  <r>
    <n v="5255"/>
    <s v="RIVER CHANDRA U/S BEFORE CONFLUENCE TO RIVER_x000a_CHENAB"/>
    <x v="0"/>
    <n v="3"/>
    <n v="10"/>
    <n v="7.6"/>
    <n v="8.5"/>
    <n v="7.2"/>
    <n v="8.1"/>
    <n v="88"/>
    <n v="221"/>
    <n v="1"/>
    <n v="1"/>
    <n v="0.32"/>
    <n v="0.64"/>
    <n v="2"/>
    <n v="39"/>
    <n v="45"/>
    <n v="210"/>
    <n v="2"/>
    <n v="2"/>
    <n v="0.5"/>
  </r>
  <r>
    <n v="5256"/>
    <s v="RIVER CHENAB D/S AT TANDI (L &amp; S)"/>
    <x v="0"/>
    <n v="4"/>
    <n v="12"/>
    <n v="7.6"/>
    <n v="9.1"/>
    <n v="7.2"/>
    <n v="8.1999999999999993"/>
    <n v="87"/>
    <n v="218"/>
    <n v="1"/>
    <n v="1"/>
    <n v="0.32"/>
    <n v="0.95"/>
    <n v="26"/>
    <n v="47"/>
    <n v="170"/>
    <n v="240"/>
    <n v="2"/>
    <n v="2"/>
    <n v="0.5"/>
  </r>
  <r>
    <n v="1491"/>
    <s v="RIVER BHAGIRATHI AT GANGOTRI,"/>
    <x v="3"/>
    <n v="7"/>
    <n v="7"/>
    <n v="11"/>
    <n v="11"/>
    <n v="8.4"/>
    <n v="8.4"/>
    <n v="84"/>
    <n v="84"/>
    <n v="1"/>
    <n v="1"/>
    <n v="0.32"/>
    <n v="0.32"/>
    <n v="2"/>
    <n v="2"/>
    <n v="2"/>
    <n v="2"/>
    <n v="2"/>
    <n v="2"/>
    <n v="0.5"/>
  </r>
  <r>
    <n v="5451"/>
    <s v="RIVER MANDAKINI AT KEDARNATH"/>
    <x v="3"/>
    <n v="10"/>
    <n v="10"/>
    <n v="11.4"/>
    <n v="11.4"/>
    <n v="8"/>
    <n v="8"/>
    <n v="50"/>
    <n v="50"/>
    <n v="1"/>
    <n v="1"/>
    <n v="0.32"/>
    <n v="0.32"/>
    <n v="2"/>
    <n v="2"/>
    <n v="2"/>
    <n v="2"/>
    <n v="2"/>
    <n v="2"/>
    <n v="0.5"/>
  </r>
  <r>
    <n v="5452"/>
    <s v="RIVER ALAKNANDA AT BADRINATH"/>
    <x v="3"/>
    <n v="13.5"/>
    <n v="13.5"/>
    <n v="11.2"/>
    <n v="11.2"/>
    <n v="7.3"/>
    <n v="7.3"/>
    <n v="43"/>
    <n v="43"/>
    <n v="1"/>
    <n v="1"/>
    <n v="0.32"/>
    <n v="0.32"/>
    <n v="2"/>
    <n v="2"/>
    <n v="2"/>
    <n v="2"/>
    <n v="2"/>
    <n v="2"/>
    <n v="0.5"/>
  </r>
  <r>
    <n v="1484"/>
    <s v="RIVER ALAKNANDA B/C TO RIVER MANDAKINI AT RUDRA_x000a_PRAYAG"/>
    <x v="3"/>
    <n v="15"/>
    <n v="17"/>
    <n v="10"/>
    <n v="10.6"/>
    <n v="7.6"/>
    <n v="8.3000000000000007"/>
    <n v="47"/>
    <n v="137"/>
    <n v="1"/>
    <n v="1"/>
    <n v="0.32"/>
    <n v="0.35"/>
    <n v="2"/>
    <n v="2"/>
    <n v="2"/>
    <n v="4"/>
    <n v="2"/>
    <n v="2"/>
    <n v="0.5"/>
  </r>
  <r>
    <n v="1485"/>
    <s v="RIVER MANDAKINI B/C TO RIVER ALKALNADA AT_x000a_RUDRAPRAYAG,"/>
    <x v="3"/>
    <n v="14"/>
    <n v="17"/>
    <n v="9.8000000000000007"/>
    <n v="10.8"/>
    <n v="7.6"/>
    <n v="7.8"/>
    <n v="61"/>
    <n v="80"/>
    <n v="1"/>
    <n v="1"/>
    <n v="0.32"/>
    <n v="0.33"/>
    <n v="2"/>
    <n v="2"/>
    <n v="2"/>
    <n v="4"/>
    <n v="2"/>
    <n v="2"/>
    <n v="0.5"/>
  </r>
  <r>
    <n v="1486"/>
    <s v="RIVER ALAKNANDA A/C OF RIVER MANDAKINI AND_x000a_RIVER ALAKNANDA AT RUDRAPRAYAG"/>
    <x v="3"/>
    <n v="14"/>
    <n v="17"/>
    <n v="10.199999999999999"/>
    <n v="10.8"/>
    <n v="7.4"/>
    <n v="8.1999999999999993"/>
    <n v="58"/>
    <n v="122"/>
    <n v="1"/>
    <n v="1"/>
    <n v="0.32"/>
    <n v="0.33"/>
    <n v="2"/>
    <n v="2"/>
    <n v="2"/>
    <n v="4"/>
    <n v="2"/>
    <n v="2"/>
    <n v="0.5"/>
  </r>
  <r>
    <n v="1487"/>
    <s v="RIVER ALAKNANDA B/C TORIVER BHAGIRATHI AT_x000a_DEVPRAYAG,"/>
    <x v="3"/>
    <n v="15"/>
    <n v="19"/>
    <n v="10"/>
    <n v="10.6"/>
    <n v="7.8"/>
    <n v="8.3000000000000007"/>
    <n v="89"/>
    <n v="128"/>
    <n v="1"/>
    <n v="1"/>
    <n v="0.32"/>
    <n v="0.33"/>
    <n v="2"/>
    <n v="2"/>
    <n v="2"/>
    <n v="4"/>
    <n v="2"/>
    <n v="2"/>
    <n v="0.5"/>
  </r>
  <r>
    <n v="1488"/>
    <s v="RIVER BHAGIRATHI B/C TO RIVER ALAKNANDA AT_x000a_DEVPRAYAG,DIST-TEHRI GARHWAL"/>
    <x v="3"/>
    <n v="16"/>
    <n v="20"/>
    <n v="9.8000000000000007"/>
    <n v="10.8"/>
    <n v="7.8"/>
    <n v="8.1"/>
    <n v="76"/>
    <n v="117"/>
    <n v="1"/>
    <n v="1"/>
    <n v="0.32"/>
    <n v="0.36"/>
    <n v="2"/>
    <n v="2"/>
    <n v="2"/>
    <n v="2"/>
    <n v="2"/>
    <n v="2"/>
    <n v="0.5"/>
  </r>
  <r>
    <n v="1489"/>
    <s v="RIVER GANGA AFTER CONFLUENCE OF RIVER_x000a_BHAGIRATHI AND RIVER ALAKNANDA AT DEVPRAYAG_x000a_,DIST-TEFRI GARHWAL"/>
    <x v="3"/>
    <n v="15"/>
    <n v="20"/>
    <n v="10"/>
    <n v="10.8"/>
    <n v="7.5"/>
    <n v="8.1999999999999993"/>
    <n v="87"/>
    <n v="110"/>
    <n v="1"/>
    <n v="1"/>
    <n v="0.32"/>
    <n v="0.33"/>
    <n v="2"/>
    <n v="2"/>
    <n v="2"/>
    <n v="4"/>
    <n v="2"/>
    <n v="2"/>
    <n v="0.5"/>
  </r>
  <r>
    <n v="5776"/>
    <s v="RIVER GANGA AT SWARG ASHRAM ,RISHIKESH"/>
    <x v="3"/>
    <n v="13"/>
    <n v="24"/>
    <n v="9"/>
    <n v="10.6"/>
    <n v="7.2"/>
    <n v="8.4"/>
    <n v="84"/>
    <n v="265"/>
    <n v="1"/>
    <n v="1"/>
    <n v="0.32"/>
    <n v="0.43"/>
    <n v="31"/>
    <n v="48"/>
    <n v="39"/>
    <n v="49"/>
    <n v="2"/>
    <n v="2"/>
    <n v="0.5"/>
  </r>
  <r>
    <n v="1060"/>
    <s v="RIVER GANGA U/S AT LAXMANJHULA,RISHIKESH"/>
    <x v="3"/>
    <n v="12"/>
    <n v="23"/>
    <n v="9.6"/>
    <n v="11"/>
    <n v="7.1"/>
    <n v="8.3000000000000007"/>
    <n v="70"/>
    <n v="154"/>
    <n v="1"/>
    <n v="1"/>
    <n v="0"/>
    <n v="0.37"/>
    <n v="21"/>
    <n v="43"/>
    <n v="26"/>
    <n v="48"/>
    <n v="2"/>
    <n v="2"/>
    <n v="0.5"/>
  </r>
  <r>
    <n v="5777"/>
    <s v="RIVER GANGA NEAR VISTHAPHIT COLONY, RISHIKESH"/>
    <x v="3"/>
    <n v="14"/>
    <n v="28"/>
    <n v="8.1999999999999993"/>
    <n v="10.199999999999999"/>
    <n v="7"/>
    <n v="8.1999999999999993"/>
    <n v="90"/>
    <n v="431"/>
    <n v="1"/>
    <n v="1.7"/>
    <n v="0.32"/>
    <n v="0.48"/>
    <n v="27"/>
    <n v="84"/>
    <n v="34"/>
    <n v="94"/>
    <n v="2"/>
    <n v="26"/>
    <n v="0.85"/>
  </r>
  <r>
    <n v="10147"/>
    <s v="RIVER GANGA D/S AT BAIRAAJ,RISHIKESH"/>
    <x v="3"/>
    <n v="14"/>
    <n v="22"/>
    <n v="9.1999999999999993"/>
    <n v="10.8"/>
    <n v="7.1"/>
    <n v="8.5"/>
    <n v="67"/>
    <n v="141"/>
    <n v="1"/>
    <n v="1.2"/>
    <n v="0.32"/>
    <n v="0.39"/>
    <n v="2"/>
    <n v="43"/>
    <n v="2"/>
    <n v="49"/>
    <n v="2"/>
    <n v="2"/>
    <n v="0.6"/>
  </r>
  <r>
    <n v="2725"/>
    <s v="RIVER GANGA AFTER CONFLUENCE OF SONG NEAR_x000a_SATYANARAYAN TEMPLE D/S RAIWALA, DEHRADUN"/>
    <x v="3"/>
    <n v="13"/>
    <n v="29"/>
    <n v="8.1999999999999993"/>
    <n v="10"/>
    <n v="7.1"/>
    <n v="8.5"/>
    <n v="157"/>
    <n v="325"/>
    <n v="1.1000000000000001"/>
    <n v="1.7"/>
    <n v="0.32"/>
    <n v="0.38"/>
    <n v="33"/>
    <n v="63"/>
    <n v="58"/>
    <n v="94"/>
    <n v="2"/>
    <n v="6"/>
    <n v="0.93500000000000005"/>
  </r>
  <r>
    <n v="10148"/>
    <s v="RIVER GANGA AT HAR-KI-PAURI GHAT"/>
    <x v="3"/>
    <n v="14.8"/>
    <n v="26.2"/>
    <n v="8"/>
    <n v="10.3"/>
    <n v="7.3"/>
    <n v="8.3000000000000007"/>
    <n v="166"/>
    <n v="351"/>
    <n v="1"/>
    <n v="2"/>
    <n v="0.32"/>
    <n v="1.65"/>
    <n v="21"/>
    <n v="79"/>
    <n v="63"/>
    <n v="170"/>
    <n v="9"/>
    <n v="43"/>
    <n v="1"/>
  </r>
  <r>
    <n v="3997"/>
    <s v="RIVER GANGA U/S AT ABINDUGHAT, DUDHIYABAD,_x000a_HARIDWAR"/>
    <x v="3"/>
    <n v="16.8"/>
    <n v="25.3"/>
    <n v="7.6"/>
    <n v="9.8000000000000007"/>
    <n v="7.3"/>
    <n v="8.3000000000000007"/>
    <n v="219"/>
    <n v="421"/>
    <n v="1.2"/>
    <n v="2.6"/>
    <n v="0.32"/>
    <n v="1.5"/>
    <n v="31"/>
    <n v="94"/>
    <n v="79"/>
    <n v="170"/>
    <n v="6"/>
    <n v="46"/>
    <n v="1.56"/>
  </r>
  <r>
    <n v="1061"/>
    <s v="RIVER GANGA D/S AT BALKUMARI MANDIR, AJEETPUR,_x000a_HARIDWAR"/>
    <x v="3"/>
    <n v="17.899999999999999"/>
    <n v="26.3"/>
    <n v="7.1"/>
    <n v="9.9"/>
    <n v="7.2"/>
    <n v="8.5"/>
    <n v="146"/>
    <n v="648"/>
    <n v="1"/>
    <n v="2.6"/>
    <n v="0.34"/>
    <n v="1.49"/>
    <n v="32"/>
    <n v="94"/>
    <n v="70"/>
    <n v="210"/>
    <n v="9"/>
    <n v="63"/>
    <n v="1.3"/>
  </r>
  <r>
    <n v="5778"/>
    <s v="RIVER GANGA NEAR BISHANPUR KUNDI, HARIDWAR"/>
    <x v="3"/>
    <n v="18.2"/>
    <n v="26.4"/>
    <n v="7.6"/>
    <n v="9.8000000000000007"/>
    <n v="7.2"/>
    <n v="8.4"/>
    <n v="178"/>
    <n v="3203"/>
    <n v="1"/>
    <n v="2.4"/>
    <n v="0.33"/>
    <n v="1.57"/>
    <n v="24"/>
    <n v="94"/>
    <n v="79"/>
    <n v="220"/>
    <n v="11"/>
    <n v="43"/>
    <n v="1.2"/>
  </r>
  <r>
    <n v="2727"/>
    <s v="UPPER GANGA CANAL D/S AT ROORKEE, HARIDWAR"/>
    <x v="3"/>
    <n v="14.7"/>
    <n v="27"/>
    <n v="7.4"/>
    <n v="9.6999999999999993"/>
    <n v="7.4"/>
    <n v="8.3000000000000007"/>
    <n v="219"/>
    <n v="435"/>
    <n v="1.2"/>
    <n v="2.4"/>
    <n v="0.32"/>
    <n v="1.85"/>
    <n v="21"/>
    <n v="94"/>
    <n v="79"/>
    <n v="170"/>
    <n v="10"/>
    <n v="63"/>
    <n v="1.44"/>
  </r>
  <r>
    <n v="30005"/>
    <s v="RIVER GANGA AT SULTANPUR (UTTARAKHAND)"/>
    <x v="3"/>
    <n v="21.5"/>
    <n v="30.7"/>
    <n v="7"/>
    <n v="8.6"/>
    <n v="7.3"/>
    <n v="8"/>
    <n v="165"/>
    <n v="273"/>
    <n v="1.2"/>
    <n v="2.7"/>
    <n v="0.32"/>
    <n v="0.41"/>
    <n v="2"/>
    <n v="490000"/>
    <n v="2000"/>
    <n v="1100000"/>
    <m/>
    <m/>
    <n v="1.62"/>
  </r>
  <r>
    <n v="30006"/>
    <s v="RIVER GANGA AT BIJNOR (U.P.)"/>
    <x v="4"/>
    <n v="16"/>
    <n v="16"/>
    <n v="7.2"/>
    <n v="8.5"/>
    <n v="7.6"/>
    <n v="8.1"/>
    <n v="180"/>
    <n v="289"/>
    <n v="1"/>
    <n v="2"/>
    <n v="0.32"/>
    <n v="0.72"/>
    <n v="330"/>
    <n v="93000"/>
    <n v="780"/>
    <n v="1400000"/>
    <n v="13"/>
    <n v="1300"/>
    <n v="1"/>
  </r>
  <r>
    <n v="10149"/>
    <s v="RIVER GANGA AT U/S BRIJ GHAT ,GHARMUKTESHWAR"/>
    <x v="4"/>
    <n v="12"/>
    <n v="30"/>
    <n v="8.5"/>
    <n v="12"/>
    <n v="7"/>
    <n v="7.6"/>
    <n v="170"/>
    <n v="252"/>
    <n v="1"/>
    <n v="2.6"/>
    <n v="0"/>
    <n v="0.49"/>
    <n v="170"/>
    <n v="920"/>
    <n v="350"/>
    <n v="1600"/>
    <n v="94"/>
    <n v="280"/>
    <n v="1.3"/>
  </r>
  <r>
    <n v="1062"/>
    <s v="RIVER GANGA AT D/S GARHMUKTESHWAR, U.P"/>
    <x v="4"/>
    <n v="12"/>
    <n v="30"/>
    <n v="8.1999999999999993"/>
    <n v="11.7"/>
    <n v="7.3"/>
    <n v="7.6"/>
    <n v="174"/>
    <n v="255"/>
    <n v="1"/>
    <n v="2.9"/>
    <n v="0.3"/>
    <n v="0.5"/>
    <n v="240"/>
    <n v="1300"/>
    <n v="540"/>
    <n v="2200"/>
    <n v="130"/>
    <n v="540"/>
    <n v="1.45"/>
  </r>
  <r>
    <n v="2488"/>
    <s v="RIVER GANGA U/S, ANOOPSHAHAR"/>
    <x v="4"/>
    <n v="16"/>
    <n v="32"/>
    <n v="7.1"/>
    <n v="11"/>
    <n v="7.1"/>
    <n v="7.3"/>
    <n v="94"/>
    <n v="198"/>
    <n v="1"/>
    <n v="2.7"/>
    <n v="0"/>
    <n v="0"/>
    <n v="170"/>
    <n v="920"/>
    <n v="350"/>
    <n v="1600"/>
    <m/>
    <m/>
    <n v="1.35"/>
  </r>
  <r>
    <n v="2489"/>
    <s v="RIVER GANGA D/S, ANOOPSHAHAR"/>
    <x v="4"/>
    <n v="16"/>
    <n v="31"/>
    <n v="7.2"/>
    <n v="10.6"/>
    <n v="7.1"/>
    <n v="7.4"/>
    <n v="101"/>
    <n v="179"/>
    <n v="1"/>
    <n v="2.6"/>
    <n v="0"/>
    <n v="0"/>
    <n v="170"/>
    <n v="1100"/>
    <n v="350"/>
    <n v="1700"/>
    <m/>
    <m/>
    <n v="1.3"/>
  </r>
  <r>
    <n v="1145"/>
    <s v="RIVER GANGA AT NARORA (BULANDSAHAR), U.P."/>
    <x v="4"/>
    <n v="17"/>
    <n v="32"/>
    <n v="7.3"/>
    <n v="10.4"/>
    <n v="7"/>
    <n v="7.4"/>
    <n v="106"/>
    <n v="177"/>
    <n v="1"/>
    <n v="2.8"/>
    <n v="0"/>
    <n v="0"/>
    <n v="170"/>
    <n v="930"/>
    <n v="350"/>
    <n v="1700"/>
    <m/>
    <m/>
    <n v="1.4"/>
  </r>
  <r>
    <n v="2490"/>
    <s v="RIVER GANGA AT KACHHLA GHAT, ALIGARH"/>
    <x v="4"/>
    <n v="18"/>
    <n v="38"/>
    <n v="8.4"/>
    <n v="10.9"/>
    <n v="7.4"/>
    <n v="7.7"/>
    <n v="143"/>
    <n v="16350"/>
    <n v="1.1000000000000001"/>
    <n v="1.6"/>
    <n v="0.3"/>
    <n v="4.2"/>
    <n v="2"/>
    <n v="480"/>
    <n v="260"/>
    <n v="630"/>
    <n v="2"/>
    <n v="350"/>
    <n v="0.88000000000000012"/>
  </r>
  <r>
    <n v="10151"/>
    <s v="RIVER GANGA AT GHATIYAGHAT FARRUKABAD"/>
    <x v="4"/>
    <n v="14"/>
    <n v="31"/>
    <n v="6.5"/>
    <n v="10.9"/>
    <n v="8"/>
    <n v="8.5"/>
    <n v="181"/>
    <n v="346"/>
    <n v="2.6"/>
    <n v="3.7"/>
    <n v="0"/>
    <n v="0"/>
    <n v="1100"/>
    <n v="2600"/>
    <n v="1600"/>
    <n v="3300"/>
    <n v="2"/>
    <n v="2"/>
    <n v="4.8100000000000005"/>
  </r>
  <r>
    <n v="1063"/>
    <s v="RIVER GANGA AT KANNAUJ U/S (NEAR MEHNDIGHAT_x000a_BRIDGE), U.P"/>
    <x v="4"/>
    <n v="14"/>
    <n v="30"/>
    <n v="6.1"/>
    <n v="10.9"/>
    <n v="8.1"/>
    <n v="8.6"/>
    <n v="199"/>
    <n v="366"/>
    <n v="3"/>
    <n v="3.9"/>
    <n v="0"/>
    <n v="0"/>
    <n v="900"/>
    <n v="2700"/>
    <n v="1600"/>
    <n v="4300"/>
    <n v="2"/>
    <n v="2"/>
    <n v="5.85"/>
  </r>
  <r>
    <n v="1066"/>
    <s v="RIVER GANGA AT DURJANPUR, KANNAUJ D/S, U.P"/>
    <x v="4"/>
    <n v="14"/>
    <n v="31"/>
    <n v="6.3"/>
    <n v="11.6"/>
    <n v="8"/>
    <n v="8.5"/>
    <n v="218"/>
    <n v="388"/>
    <n v="3.2"/>
    <n v="6.3"/>
    <n v="0"/>
    <n v="0"/>
    <n v="252"/>
    <n v="3400"/>
    <n v="2700"/>
    <n v="4900"/>
    <n v="2"/>
    <n v="2"/>
    <n v="10.08"/>
  </r>
  <r>
    <n v="5709"/>
    <s v="RIVER GANGAÂ NANAMAU GANGA BRIDGE, LUCKNOW_x000a_MOHAN-HASANGANJ- RASULABAD MARG, KARTI_x000a_AKBERPUR SENG"/>
    <x v="4"/>
    <n v="18"/>
    <n v="23"/>
    <n v="6.6"/>
    <n v="10.1"/>
    <n v="8.1"/>
    <n v="8.5"/>
    <n v="274"/>
    <n v="376"/>
    <n v="3"/>
    <n v="3.3"/>
    <n v="0"/>
    <n v="0"/>
    <n v="2300"/>
    <n v="2700"/>
    <n v="3100"/>
    <n v="4600"/>
    <m/>
    <m/>
    <n v="4.9499999999999993"/>
  </r>
  <r>
    <n v="1146"/>
    <s v="RIVER GANGA AT BITHOOR (KANPUR), U.P."/>
    <x v="4"/>
    <n v="14"/>
    <n v="31"/>
    <n v="6.2"/>
    <n v="11.2"/>
    <n v="7.8"/>
    <n v="8.5"/>
    <n v="224"/>
    <n v="356"/>
    <n v="3"/>
    <n v="11.6"/>
    <n v="0"/>
    <n v="0"/>
    <n v="1700"/>
    <n v="2700"/>
    <n v="3100"/>
    <n v="4300"/>
    <n v="2"/>
    <n v="45"/>
    <n v="17.399999999999999"/>
  </r>
  <r>
    <n v="10154"/>
    <s v="RIVER GANGA AT BATHING GHAT (BHARAOGHAT)"/>
    <x v="4"/>
    <n v="14"/>
    <n v="31"/>
    <n v="6.1"/>
    <n v="10.8"/>
    <n v="7.8"/>
    <n v="8.5"/>
    <n v="226"/>
    <n v="441"/>
    <n v="3"/>
    <n v="4.3"/>
    <n v="0"/>
    <n v="0"/>
    <n v="2100"/>
    <n v="4900"/>
    <n v="3100"/>
    <n v="7900"/>
    <n v="2"/>
    <n v="78"/>
    <n v="6.4499999999999993"/>
  </r>
  <r>
    <n v="1067"/>
    <s v="RIVER GANGA AT KANPUR U/S (SHUKLAGANJ U/S), U.P"/>
    <x v="4"/>
    <n v="14"/>
    <n v="31"/>
    <n v="6.1"/>
    <n v="11.1"/>
    <n v="7.5"/>
    <n v="8.6999999999999993"/>
    <n v="214"/>
    <n v="443"/>
    <n v="3"/>
    <n v="4.4000000000000004"/>
    <n v="0"/>
    <n v="0"/>
    <n v="2000"/>
    <n v="3100"/>
    <n v="3100"/>
    <n v="5000"/>
    <n v="2"/>
    <n v="20"/>
    <n v="6.6000000000000005"/>
  </r>
  <r>
    <n v="10155"/>
    <s v="RIVER GANGA AT D/S (SHUKLAGANJ)"/>
    <x v="4"/>
    <n v="14"/>
    <n v="31"/>
    <n v="6"/>
    <n v="10.9"/>
    <n v="7.5"/>
    <n v="8.9"/>
    <n v="232"/>
    <n v="465"/>
    <n v="3.2"/>
    <n v="4.5999999999999996"/>
    <n v="0"/>
    <n v="0"/>
    <n v="2100"/>
    <n v="3400"/>
    <n v="3800"/>
    <n v="6300"/>
    <n v="2"/>
    <n v="20"/>
    <n v="7.3599999999999994"/>
  </r>
  <r>
    <n v="10156"/>
    <s v="RIVER GANGA AT BATHING GHAT (GOLA GHAT)"/>
    <x v="4"/>
    <n v="14"/>
    <n v="31"/>
    <n v="5.9"/>
    <n v="10.6"/>
    <n v="7.8"/>
    <n v="8.8000000000000007"/>
    <n v="223"/>
    <n v="431"/>
    <n v="3.4"/>
    <n v="13.2"/>
    <n v="0"/>
    <n v="0"/>
    <n v="2200"/>
    <n v="4600"/>
    <n v="3100"/>
    <n v="7000"/>
    <n v="2"/>
    <n v="2"/>
    <n v="22.439999999999998"/>
  </r>
  <r>
    <n v="10157"/>
    <s v="RIVER GANGA AT BATHING GHAT (JAJMAU BRIDGE)"/>
    <x v="4"/>
    <n v="14"/>
    <n v="30"/>
    <n v="6"/>
    <n v="10.4"/>
    <n v="7.7"/>
    <n v="8.5"/>
    <n v="266"/>
    <n v="630"/>
    <n v="3.4"/>
    <n v="4.9000000000000004"/>
    <n v="0"/>
    <n v="0"/>
    <n v="2100"/>
    <n v="7900"/>
    <n v="3400"/>
    <n v="13000"/>
    <n v="20"/>
    <n v="20"/>
    <n v="8.33"/>
  </r>
  <r>
    <n v="1068"/>
    <s v="RIVER GANGA AT KANPUR D/S (JANA VILLAGE), U.P"/>
    <x v="4"/>
    <n v="14"/>
    <n v="31"/>
    <n v="5.6"/>
    <n v="10.199999999999999"/>
    <n v="7.4"/>
    <n v="8.6"/>
    <n v="269"/>
    <n v="645"/>
    <n v="3.7"/>
    <n v="14.8"/>
    <n v="0"/>
    <n v="0"/>
    <n v="4100"/>
    <n v="17000"/>
    <n v="7800"/>
    <n v="20000"/>
    <n v="2"/>
    <n v="2"/>
    <n v="27.380000000000003"/>
  </r>
  <r>
    <n v="5710"/>
    <s v="RIVER GANGA PURANA RAJAPUR, RAJAPUR, KANPUR"/>
    <x v="4"/>
    <n v="15"/>
    <n v="23"/>
    <n v="6.1"/>
    <n v="10.4"/>
    <n v="7.8"/>
    <n v="8.4"/>
    <n v="232"/>
    <n v="560"/>
    <n v="3.4"/>
    <n v="3.8"/>
    <n v="0"/>
    <n v="0"/>
    <n v="2300"/>
    <n v="4300"/>
    <n v="4100"/>
    <n v="7000"/>
    <m/>
    <m/>
    <n v="6.46"/>
  </r>
  <r>
    <n v="5711"/>
    <s v="RIVER GANGA A/C PANDU RIVER AT MADEVESHWAR_x000a_BABA TAMPLE DEOMAI AHT."/>
    <x v="4"/>
    <n v="26.9"/>
    <n v="29.8"/>
    <n v="7.5"/>
    <n v="8.6"/>
    <n v="7.8"/>
    <n v="8.3000000000000007"/>
    <n v="253"/>
    <n v="269"/>
    <n v="2.4"/>
    <n v="2.7"/>
    <n v="0.62"/>
    <n v="0.67"/>
    <n v="610"/>
    <n v="680"/>
    <n v="1500"/>
    <n v="2000"/>
    <m/>
    <m/>
    <n v="3.24"/>
  </r>
  <r>
    <n v="1147"/>
    <s v="RIVER GANGA AT DALMAU (RAI BAREILLY), U.P."/>
    <x v="4"/>
    <n v="21"/>
    <n v="26"/>
    <n v="3"/>
    <n v="10.5"/>
    <n v="7.7"/>
    <n v="8"/>
    <n v="268"/>
    <n v="377"/>
    <n v="2.5"/>
    <n v="3.9"/>
    <n v="0.78"/>
    <n v="0.98"/>
    <n v="1300"/>
    <n v="2400"/>
    <n v="2200"/>
    <n v="3900"/>
    <n v="8"/>
    <n v="22"/>
    <n v="4.875"/>
  </r>
  <r>
    <n v="2498"/>
    <s v="RIVER GANGA AT KALA KANKAR, RAEBARELI"/>
    <x v="4"/>
    <n v="21"/>
    <n v="26"/>
    <n v="0.3"/>
    <n v="10.6"/>
    <n v="7.8"/>
    <n v="8"/>
    <n v="265"/>
    <n v="373"/>
    <n v="2.4"/>
    <n v="3.8"/>
    <n v="0.76"/>
    <n v="0.88"/>
    <n v="1100"/>
    <n v="2300"/>
    <n v="2200"/>
    <n v="3400"/>
    <n v="7"/>
    <n v="22"/>
    <n v="4.5599999999999996"/>
  </r>
  <r>
    <n v="2487"/>
    <s v="RIVER GANGA AT KADAGHAT, KAUSHAMABI"/>
    <x v="4"/>
    <n v="20.5"/>
    <n v="30.7"/>
    <n v="6.9"/>
    <n v="9.3000000000000007"/>
    <n v="7.7"/>
    <n v="8.4"/>
    <n v="246"/>
    <n v="286"/>
    <n v="2.6"/>
    <n v="2.9"/>
    <n v="0.64"/>
    <n v="0.74"/>
    <n v="400"/>
    <n v="680"/>
    <n v="1300"/>
    <n v="2000"/>
    <m/>
    <m/>
    <n v="3.77"/>
  </r>
  <r>
    <n v="5713"/>
    <s v="RIVER GANGA AT GANGA BRIDGE .NH19, DHEEMI"/>
    <x v="4"/>
    <n v="24"/>
    <n v="25"/>
    <n v="7.8"/>
    <n v="8.6"/>
    <n v="7.8"/>
    <n v="7.9"/>
    <n v="271"/>
    <n v="334"/>
    <n v="3.1"/>
    <n v="3.2"/>
    <n v="0.76"/>
    <n v="0.78"/>
    <n v="1700"/>
    <n v="2200"/>
    <n v="2700"/>
    <n v="3200"/>
    <n v="14"/>
    <n v="20"/>
    <n v="4.9600000000000009"/>
  </r>
  <r>
    <n v="1046"/>
    <s v="RIVER GANGA AT PRAYAGRAJ (RASOOLABAD), U.P."/>
    <x v="4"/>
    <n v="20.399999999999999"/>
    <n v="30.8"/>
    <n v="7.2"/>
    <n v="9.1999999999999993"/>
    <n v="7.8"/>
    <n v="8.4"/>
    <n v="220"/>
    <n v="273"/>
    <n v="2.7"/>
    <n v="2.9"/>
    <n v="0.6"/>
    <n v="0.76"/>
    <n v="450"/>
    <n v="920"/>
    <n v="1700"/>
    <n v="2400"/>
    <m/>
    <m/>
    <n v="3.915"/>
  </r>
  <r>
    <n v="1049"/>
    <s v="RIVER GANGA AT PRAYAGRAJ D/S (SANGAM), U.P."/>
    <x v="4"/>
    <n v="20.399999999999999"/>
    <n v="30.8"/>
    <n v="7.1"/>
    <n v="9.1"/>
    <n v="7.8"/>
    <n v="8.4"/>
    <n v="258"/>
    <n v="292"/>
    <n v="2.6"/>
    <n v="3"/>
    <n v="0.53"/>
    <n v="0.73"/>
    <n v="680"/>
    <n v="930"/>
    <n v="2200"/>
    <n v="2700"/>
    <m/>
    <m/>
    <n v="3.9000000000000004"/>
  </r>
  <r>
    <n v="5714"/>
    <s v="RIVER GANGA B/CÂ TAMSA RIVER AT PRACHIN_x000a_SHIVALAYA DUMDUMA GHAT"/>
    <x v="4"/>
    <n v="25.8"/>
    <n v="29.7"/>
    <n v="7.5"/>
    <n v="8.6999999999999993"/>
    <n v="7.7"/>
    <n v="8.1"/>
    <n v="260"/>
    <n v="284"/>
    <n v="2.5"/>
    <n v="2.9"/>
    <n v="0.56999999999999995"/>
    <n v="0.7"/>
    <n v="610"/>
    <n v="780"/>
    <n v="1500"/>
    <n v="2100"/>
    <m/>
    <m/>
    <n v="3.625"/>
  </r>
  <r>
    <n v="10158"/>
    <s v="RIVER GANGA A/C TAMSA RIVER, SIRSA, SON BARSA"/>
    <x v="4"/>
    <n v="20.5"/>
    <n v="30.7"/>
    <n v="7.2"/>
    <n v="8.9"/>
    <n v="7.4"/>
    <n v="8.4"/>
    <n v="260"/>
    <n v="297"/>
    <n v="2.6"/>
    <n v="3"/>
    <n v="0.61"/>
    <n v="0.72"/>
    <n v="610"/>
    <n v="920"/>
    <n v="1500"/>
    <n v="2500"/>
    <m/>
    <m/>
    <n v="3.9000000000000004"/>
  </r>
  <r>
    <n v="2485"/>
    <s v="RIVER GANGA U/S, VINDHYACHAL, MIRZAPUR"/>
    <x v="4"/>
    <n v="22.5"/>
    <n v="31"/>
    <n v="7.3"/>
    <n v="9.4"/>
    <n v="7.9"/>
    <n v="8.4"/>
    <n v="324"/>
    <n v="542"/>
    <n v="2.2000000000000002"/>
    <n v="2.9"/>
    <n v="0.62"/>
    <n v="124"/>
    <n v="700"/>
    <n v="1300"/>
    <n v="1200"/>
    <n v="2000"/>
    <n v="380"/>
    <n v="700"/>
    <n v="3.19"/>
  </r>
  <r>
    <n v="2486"/>
    <s v="RIVER GANGA D/S, MIRZAPUR"/>
    <x v="4"/>
    <n v="22.5"/>
    <n v="31"/>
    <n v="6.6"/>
    <n v="8.5"/>
    <n v="7.6"/>
    <n v="8"/>
    <n v="332"/>
    <n v="552"/>
    <n v="3.3"/>
    <n v="4.5"/>
    <n v="0"/>
    <n v="1.96"/>
    <n v="7900"/>
    <n v="14000"/>
    <n v="13000"/>
    <n v="22000"/>
    <n v="3400"/>
    <n v="9400"/>
    <n v="7.4249999999999998"/>
  </r>
  <r>
    <n v="10153"/>
    <s v="RIVER GANGA AT CHUNAR"/>
    <x v="4"/>
    <n v="23"/>
    <n v="31.5"/>
    <n v="7"/>
    <n v="9"/>
    <n v="7.7"/>
    <n v="8.1999999999999993"/>
    <n v="328"/>
    <n v="548"/>
    <n v="2.8"/>
    <n v="3.8"/>
    <n v="0.68"/>
    <n v="1.88"/>
    <n v="5800"/>
    <n v="11000"/>
    <n v="8400"/>
    <n v="17000"/>
    <n v="630"/>
    <n v="6300"/>
    <n v="5.3199999999999994"/>
  </r>
  <r>
    <n v="1070"/>
    <s v="RIVER GANGA AT VARANASI U/S NEAR VISHWASUNDARI_x000a_BRIDGE B/C DRAINS( NAGWA NALA, SAMNE GHAT_x000a_NALA,NAKHHI NALA)"/>
    <x v="4"/>
    <n v="22.5"/>
    <n v="31"/>
    <n v="7.2"/>
    <n v="9.6"/>
    <n v="7.8"/>
    <n v="8.4"/>
    <n v="320"/>
    <n v="542"/>
    <n v="2.1"/>
    <n v="2.8"/>
    <n v="0.57999999999999996"/>
    <n v="1.56"/>
    <n v="680"/>
    <n v="1100"/>
    <n v="1100"/>
    <n v="2000"/>
    <n v="310"/>
    <n v="550"/>
    <n v="2.94"/>
  </r>
  <r>
    <n v="1071"/>
    <s v="RIVER GANGA AT VARANASI D/S , A/C RIVER VARUNA ,_x000a_U.P"/>
    <x v="4"/>
    <n v="22.5"/>
    <n v="31"/>
    <n v="6.7"/>
    <n v="8.5"/>
    <n v="7.6"/>
    <n v="8.1"/>
    <n v="332"/>
    <n v="550"/>
    <n v="3.3"/>
    <n v="4.5"/>
    <n v="0.72"/>
    <n v="2.25"/>
    <n v="7900"/>
    <n v="17000"/>
    <n v="14000"/>
    <n v="23000"/>
    <n v="4900"/>
    <n v="9200"/>
    <n v="7.4249999999999998"/>
  </r>
  <r>
    <n v="5715"/>
    <s v="RIVER GANGAÂ B/C GOMTI RIVER AT BALUA GHAT_x000a_BRIDGE, VARANASI"/>
    <x v="4"/>
    <n v="27"/>
    <n v="29"/>
    <n v="7"/>
    <n v="7.8"/>
    <n v="7.7"/>
    <n v="8"/>
    <n v="328"/>
    <n v="540"/>
    <n v="3.2"/>
    <n v="4.2"/>
    <n v="0.68"/>
    <n v="1.86"/>
    <n v="6300"/>
    <n v="11000"/>
    <n v="9400"/>
    <n v="17000"/>
    <n v="4600"/>
    <n v="6300"/>
    <n v="6.7200000000000006"/>
  </r>
  <r>
    <n v="10152"/>
    <s v="RIVER GANGA A/C GOMTI RIVER, BHUSAULA"/>
    <x v="4"/>
    <n v="23"/>
    <n v="33.5"/>
    <n v="7"/>
    <n v="8.8000000000000007"/>
    <n v="7.8"/>
    <n v="8.1999999999999993"/>
    <n v="324"/>
    <n v="546"/>
    <n v="2.8"/>
    <n v="3.8"/>
    <n v="0.65"/>
    <n v="1.98"/>
    <n v="4600"/>
    <n v="11000"/>
    <n v="8400"/>
    <n v="17000"/>
    <n v="4100"/>
    <n v="9800"/>
    <n v="5.3199999999999994"/>
  </r>
  <r>
    <n v="5716"/>
    <s v="RIVER GANGAÂ ZAMANIA GANGA BRIDGE , ZAMANIZ,_x000a_UP"/>
    <x v="4"/>
    <n v="27"/>
    <n v="29"/>
    <n v="7.4"/>
    <n v="8.4"/>
    <n v="7.3"/>
    <n v="8.1999999999999993"/>
    <n v="320"/>
    <n v="536"/>
    <n v="2.8"/>
    <n v="3.6"/>
    <n v="0.6"/>
    <n v="1.76"/>
    <n v="4600"/>
    <n v="7000"/>
    <n v="6300"/>
    <n v="11000"/>
    <n v="2700"/>
    <n v="4900"/>
    <n v="5.04"/>
  </r>
  <r>
    <n v="1073"/>
    <s v="RIVER GANGA AT TARIGHAT (GHAZIPUR), U.P"/>
    <x v="4"/>
    <n v="23"/>
    <n v="31.5"/>
    <n v="6.5"/>
    <n v="8.1999999999999993"/>
    <n v="7.7"/>
    <n v="8"/>
    <n v="336"/>
    <n v="768"/>
    <n v="3.5"/>
    <n v="4.7"/>
    <n v="0.78"/>
    <n v="2.3199999999999998"/>
    <n v="9400"/>
    <n v="17000"/>
    <n v="15000"/>
    <n v="26000"/>
    <n v="6300"/>
    <n v="13000"/>
    <n v="8.2249999999999996"/>
  </r>
  <r>
    <n v="10113"/>
    <s v="RIVER GANGA AT U/S JAIL GHAT, BUXAR"/>
    <x v="5"/>
    <n v="16"/>
    <n v="33"/>
    <n v="6.9"/>
    <n v="8.8000000000000007"/>
    <n v="7.2"/>
    <n v="8.1999999999999993"/>
    <n v="225"/>
    <n v="617"/>
    <n v="1"/>
    <n v="2.5"/>
    <n v="0.3"/>
    <n v="0.3"/>
    <n v="780"/>
    <n v="92000"/>
    <n v="2300"/>
    <n v="160000"/>
    <n v="2"/>
    <n v="490"/>
    <n v="1.25"/>
  </r>
  <r>
    <n v="1074"/>
    <s v="RIVER GANGA CHUSA AT BUXAR"/>
    <x v="5"/>
    <n v="17"/>
    <n v="32"/>
    <n v="7"/>
    <n v="9"/>
    <n v="7.1"/>
    <n v="8.3000000000000007"/>
    <n v="247"/>
    <n v="646"/>
    <n v="1"/>
    <n v="2.1"/>
    <n v="0.3"/>
    <n v="0.34"/>
    <n v="2200"/>
    <n v="54000"/>
    <n v="3300"/>
    <n v="92000"/>
    <n v="2"/>
    <n v="330"/>
    <n v="1.05"/>
  </r>
  <r>
    <n v="2551"/>
    <s v="RIVER GANGA AT BUXAR, RAMREKHAGHAT"/>
    <x v="5"/>
    <n v="16"/>
    <n v="33"/>
    <n v="6.7"/>
    <n v="8.5"/>
    <n v="7.3"/>
    <n v="8.4"/>
    <n v="243"/>
    <n v="635"/>
    <n v="1"/>
    <n v="2.6"/>
    <n v="0.3"/>
    <n v="0.3"/>
    <n v="1300"/>
    <n v="92000"/>
    <n v="2300"/>
    <n v="160000"/>
    <n v="2"/>
    <n v="1100"/>
    <n v="1.3"/>
  </r>
  <r>
    <n v="3113"/>
    <s v="RIVER GANGA AT D/S BUXAR NEAR VEER KUNWAR_x000a_SINGH ROAD BRIDGE"/>
    <x v="5"/>
    <n v="16"/>
    <n v="31"/>
    <n v="6.5"/>
    <n v="8.9"/>
    <n v="7.3"/>
    <n v="8.1999999999999993"/>
    <n v="249"/>
    <n v="610"/>
    <n v="1"/>
    <n v="2.6"/>
    <n v="0.3"/>
    <n v="0.33"/>
    <n v="1300"/>
    <n v="54000"/>
    <n v="2300"/>
    <n v="92000"/>
    <n v="2"/>
    <n v="220"/>
    <n v="1.3"/>
  </r>
  <r>
    <n v="10162"/>
    <s v="RIVER GANGA AT ARA- CHAPRA ROAD BRIDGE_x000a_(KOIILWAR BARHARA-CHAPRA ROAD)"/>
    <x v="5"/>
    <n v="17"/>
    <n v="32"/>
    <n v="7.3"/>
    <n v="8.9"/>
    <n v="7.2"/>
    <n v="8.3000000000000007"/>
    <n v="219"/>
    <n v="432"/>
    <n v="1"/>
    <n v="2.5"/>
    <n v="0.3"/>
    <n v="0.35"/>
    <n v="130"/>
    <n v="35000"/>
    <n v="230"/>
    <n v="54000"/>
    <n v="2"/>
    <n v="540"/>
    <n v="1.25"/>
  </r>
  <r>
    <n v="2564"/>
    <s v="RIVER GANGA AT THE BALUGHAT, DORIGANJ, SARAN"/>
    <x v="5"/>
    <n v="16"/>
    <n v="32"/>
    <n v="6.6"/>
    <n v="9"/>
    <n v="7.4"/>
    <n v="8.4"/>
    <n v="211"/>
    <n v="483"/>
    <n v="1"/>
    <n v="2.8"/>
    <n v="0.3"/>
    <n v="0.32"/>
    <n v="780"/>
    <n v="92000"/>
    <n v="2300"/>
    <n v="160000"/>
    <n v="2"/>
    <n v="1300"/>
    <n v="1.4"/>
  </r>
  <r>
    <n v="10114"/>
    <s v="RIVER GANGA AT MAA AMBIKA ASTHAN, AAMI, SARAN"/>
    <x v="5"/>
    <n v="15"/>
    <n v="32"/>
    <n v="6.9"/>
    <n v="8.8000000000000007"/>
    <n v="7.4"/>
    <n v="8"/>
    <n v="209"/>
    <n v="409"/>
    <n v="1.2"/>
    <n v="2.6"/>
    <n v="0.3"/>
    <n v="0.3"/>
    <n v="780"/>
    <n v="92000"/>
    <n v="2300"/>
    <n v="160000"/>
    <n v="2"/>
    <n v="790"/>
    <n v="1.56"/>
  </r>
  <r>
    <n v="3114"/>
    <s v="RIVER GANGA NEAR DANAPUR (NEAR PIPA PUL) ,PATNA"/>
    <x v="5"/>
    <n v="13"/>
    <n v="33"/>
    <n v="6.8"/>
    <n v="9.9"/>
    <n v="7.2"/>
    <n v="8.4"/>
    <n v="268"/>
    <n v="542"/>
    <n v="1"/>
    <n v="2.2000000000000002"/>
    <n v="0.3"/>
    <n v="0.34"/>
    <n v="1100"/>
    <n v="54000"/>
    <n v="1400"/>
    <n v="92000"/>
    <n v="2"/>
    <n v="490"/>
    <n v="1.1000000000000001"/>
  </r>
  <r>
    <n v="1077"/>
    <s v="RIVER GANGA AT DIGHA, NEAR J P SETU, PATNA U/S"/>
    <x v="5"/>
    <n v="13"/>
    <n v="32"/>
    <n v="6.9"/>
    <n v="9.8000000000000007"/>
    <n v="7.2"/>
    <n v="8.4"/>
    <n v="251"/>
    <n v="417"/>
    <n v="1"/>
    <n v="2.2000000000000002"/>
    <n v="0.3"/>
    <n v="0.3"/>
    <n v="2300"/>
    <n v="92000"/>
    <n v="3300"/>
    <n v="160000"/>
    <n v="2"/>
    <n v="490"/>
    <n v="1.1000000000000001"/>
  </r>
  <r>
    <n v="2552"/>
    <s v="RIVER GANGA AT GANDHIGHAT, NIT PATNA"/>
    <x v="5"/>
    <n v="13"/>
    <n v="32"/>
    <n v="6.1"/>
    <n v="9.5"/>
    <n v="7.1"/>
    <n v="8.3000000000000007"/>
    <n v="242"/>
    <n v="415"/>
    <n v="1"/>
    <n v="2.5"/>
    <n v="0.3"/>
    <n v="0.3"/>
    <n v="17000"/>
    <n v="92000"/>
    <n v="28000"/>
    <n v="160000"/>
    <n v="2"/>
    <n v="5400"/>
    <n v="1.25"/>
  </r>
  <r>
    <n v="10115"/>
    <s v="RIVER GANGA AT GULABI GHAT, PATNA"/>
    <x v="5"/>
    <n v="13"/>
    <n v="31"/>
    <n v="6.3"/>
    <n v="9"/>
    <n v="7.2"/>
    <n v="8.4"/>
    <n v="251"/>
    <n v="398"/>
    <n v="1.2"/>
    <n v="2.5"/>
    <n v="0.3"/>
    <n v="0.3"/>
    <n v="13000"/>
    <n v="92000"/>
    <n v="22000"/>
    <n v="160000"/>
    <n v="2"/>
    <n v="35000"/>
    <n v="1.5"/>
  </r>
  <r>
    <n v="1079"/>
    <s v="RIVER GANGA AT PATNA D/S (GANGA BRIDGE),_x000a_GAIGHAT, PATNA"/>
    <x v="5"/>
    <n v="13"/>
    <n v="33"/>
    <n v="6.1"/>
    <n v="9.4"/>
    <n v="7.22"/>
    <n v="8.3800000000000008"/>
    <n v="240"/>
    <n v="418"/>
    <n v="1.1000000000000001"/>
    <n v="2.6"/>
    <n v="0.3"/>
    <n v="0.32"/>
    <n v="2300"/>
    <n v="92000"/>
    <n v="3300"/>
    <n v="160000"/>
    <n v="2"/>
    <n v="2400"/>
    <n v="1.4300000000000002"/>
  </r>
  <r>
    <n v="3122"/>
    <s v="RIVER GANGA AT MALSALAMI, PATNA CITY, PATNA"/>
    <x v="5"/>
    <n v="13"/>
    <n v="33"/>
    <n v="6.5"/>
    <n v="9.3000000000000007"/>
    <n v="7.2"/>
    <n v="8.3000000000000007"/>
    <n v="238"/>
    <n v="406"/>
    <n v="1"/>
    <n v="2.9"/>
    <n v="0.3"/>
    <n v="0.3"/>
    <n v="1300"/>
    <n v="92000"/>
    <n v="2300"/>
    <n v="160000"/>
    <n v="2"/>
    <n v="1300"/>
    <n v="1.45"/>
  </r>
  <r>
    <n v="4297"/>
    <s v="RIVER GANGA AT KACHCHI-DARGAH-BIDUPUR NEAR_x000a_ROAD BRIDGE, PATNA"/>
    <x v="5"/>
    <n v="13"/>
    <n v="32"/>
    <n v="6.3"/>
    <n v="9.5"/>
    <n v="7.1"/>
    <n v="8.4"/>
    <n v="240"/>
    <n v="410"/>
    <n v="1"/>
    <n v="2.2999999999999998"/>
    <n v="0.3"/>
    <n v="0.3"/>
    <n v="2300"/>
    <n v="54000"/>
    <n v="4600"/>
    <n v="92000"/>
    <n v="2"/>
    <n v="1300"/>
    <n v="1.1499999999999999"/>
  </r>
  <r>
    <n v="10122"/>
    <s v="RIVER GANGA AT TRIVENI GHAT, PATNA"/>
    <x v="5"/>
    <n v="14"/>
    <n v="33"/>
    <n v="6.1"/>
    <n v="8.8000000000000007"/>
    <n v="7.2"/>
    <n v="8.4"/>
    <n v="232"/>
    <n v="417"/>
    <n v="1.2"/>
    <n v="2.6"/>
    <n v="0.3"/>
    <n v="0.3"/>
    <n v="2300"/>
    <n v="35000"/>
    <n v="3300"/>
    <n v="92000"/>
    <n v="2"/>
    <n v="490"/>
    <n v="1.56"/>
  </r>
  <r>
    <n v="2553"/>
    <s v="RIVER GANGA AT KEWALA GHAT,FATUHA, PATNA"/>
    <x v="5"/>
    <n v="14"/>
    <n v="33"/>
    <n v="6"/>
    <n v="8.5"/>
    <n v="7"/>
    <n v="8.3000000000000007"/>
    <n v="238"/>
    <n v="502"/>
    <n v="1.3"/>
    <n v="2.5"/>
    <n v="0.3"/>
    <n v="0.31"/>
    <n v="2300"/>
    <n v="92000"/>
    <n v="3300"/>
    <n v="160000"/>
    <n v="2"/>
    <n v="3500"/>
    <n v="1.625"/>
  </r>
  <r>
    <n v="4301"/>
    <s v="RIVER GANGA AT BAKHTIYARPUR-TAJPUR BRIDGE ON_x000a_GANGA, ATHMALGOLA, PATNA"/>
    <x v="5"/>
    <n v="15"/>
    <n v="31"/>
    <n v="7.2"/>
    <n v="9.4"/>
    <n v="7.4"/>
    <n v="8.1999999999999993"/>
    <n v="199"/>
    <n v="439"/>
    <n v="1"/>
    <n v="2.2999999999999998"/>
    <n v="0.3"/>
    <n v="0.3"/>
    <n v="130"/>
    <n v="54000"/>
    <n v="230"/>
    <n v="160000"/>
    <n v="2"/>
    <n v="110"/>
    <n v="1.1499999999999999"/>
  </r>
  <r>
    <n v="3115"/>
    <s v="RIVER GANGA AT UMA NATH MANDIR,BARH"/>
    <x v="5"/>
    <n v="16"/>
    <n v="32"/>
    <n v="7.2"/>
    <n v="9.1"/>
    <n v="7.4"/>
    <n v="8.1999999999999993"/>
    <n v="188"/>
    <n v="436"/>
    <n v="1.1000000000000001"/>
    <n v="2.5"/>
    <n v="0.3"/>
    <n v="0.31"/>
    <n v="490"/>
    <n v="92000"/>
    <n v="790"/>
    <n v="160000"/>
    <n v="2"/>
    <n v="1300"/>
    <n v="1.375"/>
  </r>
  <r>
    <n v="10130"/>
    <s v="RIVER GANGA U/S OF M/S NTPC, BARH WATER INTAKE_x000a_POINT, BARH"/>
    <x v="5"/>
    <n v="16"/>
    <n v="32"/>
    <n v="7.3"/>
    <n v="9.5"/>
    <n v="7.3"/>
    <n v="8.1999999999999993"/>
    <n v="184"/>
    <n v="457"/>
    <n v="1"/>
    <n v="2.7"/>
    <n v="0.3"/>
    <n v="0.3"/>
    <n v="490"/>
    <n v="92000"/>
    <n v="700"/>
    <n v="160000"/>
    <n v="2"/>
    <n v="490"/>
    <n v="1.35"/>
  </r>
  <r>
    <n v="10131"/>
    <s v="RIVER GANGA D/S OF M/S NTPC, BARH WATER INTAKE_x000a_POINT,PATHANICHAK, BINDTOLA BARH"/>
    <x v="5"/>
    <n v="17"/>
    <n v="32"/>
    <n v="7"/>
    <n v="8.1999999999999993"/>
    <n v="7.4"/>
    <n v="8.1"/>
    <n v="179"/>
    <n v="380"/>
    <n v="1.5"/>
    <n v="2.2000000000000002"/>
    <n v="0.3"/>
    <n v="0.3"/>
    <n v="2300"/>
    <n v="17000"/>
    <n v="3300"/>
    <n v="22000"/>
    <n v="2"/>
    <n v="170"/>
    <n v="1.6500000000000001"/>
  </r>
  <r>
    <n v="1817"/>
    <s v="RIVER GANGA AT MOKAMA (U/S), MAHADEO ASTHAN,_x000a_PATNA"/>
    <x v="5"/>
    <n v="16"/>
    <n v="33"/>
    <n v="7.2"/>
    <n v="9.5"/>
    <n v="7.2"/>
    <n v="8.4"/>
    <n v="190"/>
    <n v="435"/>
    <n v="1"/>
    <n v="2.8"/>
    <n v="0.3"/>
    <n v="0.3"/>
    <n v="2300"/>
    <n v="92000"/>
    <n v="3300"/>
    <n v="160000"/>
    <n v="2"/>
    <n v="330"/>
    <n v="1.4"/>
  </r>
  <r>
    <n v="1815"/>
    <s v="RIVER GANGA AT MOKAMA (D/S), NEAR RAJENDRA_x000a_BRIDGE , SIMIRIYA GHAT"/>
    <x v="5"/>
    <n v="12"/>
    <n v="34"/>
    <n v="7"/>
    <n v="9.9"/>
    <n v="7.1"/>
    <n v="8.3000000000000007"/>
    <n v="226"/>
    <n v="440"/>
    <n v="1"/>
    <n v="2.8"/>
    <n v="0.3"/>
    <n v="0.3"/>
    <n v="1700"/>
    <n v="92000"/>
    <n v="3300"/>
    <n v="160000"/>
    <n v="2"/>
    <n v="330"/>
    <n v="1.4"/>
  </r>
  <r>
    <n v="3123"/>
    <s v="RIVER GANGA AT BARAHIYA, NEPALITOLA, MARANCHI,_x000a_HATHIDAH AT MOKAMA, PATNA"/>
    <x v="5"/>
    <n v="15"/>
    <n v="33"/>
    <n v="6.9"/>
    <n v="9.4"/>
    <n v="7.2"/>
    <n v="8.3000000000000007"/>
    <n v="198"/>
    <n v="482"/>
    <n v="1"/>
    <n v="2.6"/>
    <n v="0.3"/>
    <n v="0.3"/>
    <n v="1300"/>
    <n v="92000"/>
    <n v="2300"/>
    <n v="160000"/>
    <n v="2"/>
    <n v="330"/>
    <n v="1.3"/>
  </r>
  <r>
    <n v="3116"/>
    <s v="RIVER GANGA AT U/S MUNGER KASHATHARNI GHAT"/>
    <x v="5"/>
    <n v="13"/>
    <n v="34"/>
    <n v="6.7"/>
    <n v="10"/>
    <n v="7.4"/>
    <n v="8.3000000000000007"/>
    <n v="229"/>
    <n v="413"/>
    <n v="1"/>
    <n v="3"/>
    <n v="0.3"/>
    <n v="0.3"/>
    <n v="3300"/>
    <n v="92000"/>
    <n v="7000"/>
    <n v="160000"/>
    <n v="2"/>
    <n v="1300"/>
    <n v="1.5"/>
  </r>
  <r>
    <n v="1818"/>
    <s v="RIVER GANGA AT MUNGER D/S, CREAMINATION GHAT"/>
    <x v="5"/>
    <n v="13"/>
    <n v="34"/>
    <n v="6.6"/>
    <n v="9.9"/>
    <n v="7.4"/>
    <n v="8.3000000000000007"/>
    <n v="227"/>
    <n v="433"/>
    <n v="1"/>
    <n v="2.7"/>
    <n v="0.3"/>
    <n v="0.3"/>
    <n v="2300"/>
    <n v="92000"/>
    <n v="3300"/>
    <n v="160000"/>
    <n v="2"/>
    <n v="1300"/>
    <n v="1.35"/>
  </r>
  <r>
    <n v="3117"/>
    <s v="RIVER GANGA AT U/S AJGABINATH MANDIR_x000a_SULTANGANJ, BHAGALPUR"/>
    <x v="5"/>
    <n v="14"/>
    <n v="38"/>
    <n v="6.7"/>
    <n v="9.8000000000000007"/>
    <n v="7.2"/>
    <n v="8.3000000000000007"/>
    <n v="225"/>
    <n v="440"/>
    <n v="1"/>
    <n v="2.5"/>
    <n v="0.3"/>
    <n v="0.3"/>
    <n v="1300"/>
    <n v="92000"/>
    <n v="2300"/>
    <n v="160000"/>
    <n v="2"/>
    <n v="790"/>
    <n v="1.25"/>
  </r>
  <r>
    <n v="2554"/>
    <s v="RIVER GANGA D/S CREMINATION GHAT AT_x000a_SULTANGANJ, BHAGALPUR"/>
    <x v="5"/>
    <n v="14"/>
    <n v="37"/>
    <n v="6.3"/>
    <n v="9.6"/>
    <n v="7.3"/>
    <n v="8.3000000000000007"/>
    <n v="222"/>
    <n v="414"/>
    <n v="1"/>
    <n v="2.4"/>
    <n v="0.3"/>
    <n v="0.31"/>
    <n v="2300"/>
    <n v="92000"/>
    <n v="3300"/>
    <n v="160000"/>
    <n v="2"/>
    <n v="1300"/>
    <n v="1.2"/>
  </r>
  <r>
    <n v="10138"/>
    <s v="RIVER GANGA AT CHAMPANAGAR, RASIDPUR,_x000a_BHAGALPUR"/>
    <x v="5"/>
    <n v="15"/>
    <n v="30"/>
    <n v="6.4"/>
    <n v="10"/>
    <n v="7.2"/>
    <n v="8.1999999999999993"/>
    <n v="187"/>
    <n v="479"/>
    <n v="1"/>
    <n v="2.1"/>
    <n v="0.3"/>
    <n v="0.3"/>
    <n v="2300"/>
    <n v="92000"/>
    <n v="3300"/>
    <n v="160000"/>
    <n v="2"/>
    <n v="3500"/>
    <n v="1.05"/>
  </r>
  <r>
    <n v="1819"/>
    <s v="RIVER GANGA AT BHAGALPUR, OPP. KUPPA GHAT"/>
    <x v="5"/>
    <n v="10"/>
    <n v="33"/>
    <n v="6.3"/>
    <n v="9"/>
    <n v="7.2"/>
    <n v="8.3000000000000007"/>
    <n v="219"/>
    <n v="463"/>
    <n v="1"/>
    <n v="2.9"/>
    <n v="0.3"/>
    <n v="0.33"/>
    <n v="1300"/>
    <n v="54000"/>
    <n v="2300"/>
    <n v="92000"/>
    <n v="2"/>
    <n v="230"/>
    <n v="1.45"/>
  </r>
  <r>
    <n v="4398"/>
    <s v="RIVER GANGA AT WATER INTAKE POINT, BHAGALPUR"/>
    <x v="5"/>
    <n v="12"/>
    <n v="29"/>
    <n v="5.5"/>
    <n v="9.6999999999999993"/>
    <n v="7.2"/>
    <n v="8.1"/>
    <n v="212"/>
    <n v="1240"/>
    <n v="1"/>
    <n v="2.7"/>
    <n v="0.3"/>
    <n v="0.31"/>
    <n v="450"/>
    <n v="54000"/>
    <n v="1300"/>
    <n v="92000"/>
    <n v="2"/>
    <n v="1700"/>
    <n v="1.35"/>
  </r>
  <r>
    <n v="3118"/>
    <s v="RIVER GANGA AT D/S BHAGALPUR NEAR BARARIGHAT"/>
    <x v="5"/>
    <n v="12"/>
    <n v="29"/>
    <n v="5.9"/>
    <n v="12.1"/>
    <n v="7.2"/>
    <n v="8.1999999999999993"/>
    <n v="211"/>
    <n v="522"/>
    <n v="1.1000000000000001"/>
    <n v="5.5"/>
    <n v="0.3"/>
    <n v="0.39"/>
    <n v="1300"/>
    <n v="92000"/>
    <n v="2300"/>
    <n v="160000"/>
    <n v="2"/>
    <n v="3500"/>
    <n v="3.0250000000000004"/>
  </r>
  <r>
    <n v="1816"/>
    <s v="RIVER GANGA, JHAJGHAT AT KAHALGAON"/>
    <x v="5"/>
    <n v="16"/>
    <n v="34"/>
    <n v="6.5"/>
    <n v="9.1999999999999993"/>
    <n v="7"/>
    <n v="8.3000000000000007"/>
    <n v="214"/>
    <n v="434"/>
    <n v="1"/>
    <n v="2.6"/>
    <n v="0.3"/>
    <n v="0.3"/>
    <n v="1300"/>
    <n v="92000"/>
    <n v="2300"/>
    <n v="160000"/>
    <n v="2"/>
    <n v="920"/>
    <n v="1.3"/>
  </r>
  <r>
    <n v="10143"/>
    <s v="RIVER GANGA D/S NEAR CREMATION GHAT, KHALGOAN"/>
    <x v="5"/>
    <n v="16"/>
    <n v="34"/>
    <n v="6.7"/>
    <n v="9.1"/>
    <n v="7.4"/>
    <n v="8.3000000000000007"/>
    <n v="218"/>
    <n v="441"/>
    <n v="1"/>
    <n v="2.5"/>
    <n v="0.3"/>
    <n v="0.3"/>
    <n v="2300"/>
    <n v="92000"/>
    <n v="3300"/>
    <n v="160000"/>
    <n v="2"/>
    <n v="490"/>
    <n v="1.25"/>
  </r>
  <r>
    <n v="30076"/>
    <s v="RIVER GANGA AT MANJHIGHAT DIST. CHHAPRA(BIHAR)"/>
    <x v="5"/>
    <n v="22"/>
    <n v="28.2"/>
    <n v="7.9"/>
    <n v="8.4"/>
    <n v="7.8"/>
    <n v="8.5"/>
    <n v="296"/>
    <n v="700"/>
    <n v="2.1"/>
    <n v="5.8"/>
    <n v="0.32"/>
    <n v="0.69"/>
    <n v="200"/>
    <n v="13000"/>
    <n v="450"/>
    <n v="3500000"/>
    <m/>
    <m/>
    <n v="6.09"/>
  </r>
  <r>
    <n v="10144"/>
    <s v="RIVER GANGA U/S NEAR LCT GHAT"/>
    <x v="6"/>
    <n v="16"/>
    <n v="39"/>
    <n v="7"/>
    <n v="7.5"/>
    <n v="7.4"/>
    <n v="7.8"/>
    <n v="94"/>
    <n v="236"/>
    <n v="1.1000000000000001"/>
    <n v="1.3"/>
    <n v="0"/>
    <n v="0"/>
    <m/>
    <m/>
    <m/>
    <m/>
    <m/>
    <m/>
    <n v="0.71500000000000008"/>
  </r>
  <r>
    <n v="10145"/>
    <s v="RIVER GANGA D/S NEAR JANTA GHAT"/>
    <x v="6"/>
    <n v="15"/>
    <n v="38"/>
    <n v="7.1"/>
    <n v="7.5"/>
    <n v="7.5"/>
    <n v="7.7"/>
    <n v="98"/>
    <n v="258"/>
    <n v="1.1000000000000001"/>
    <n v="1.4"/>
    <n v="0"/>
    <n v="0"/>
    <m/>
    <m/>
    <m/>
    <m/>
    <m/>
    <m/>
    <n v="0.77"/>
  </r>
  <r>
    <n v="1059"/>
    <s v="RIVER GANGA AT RAJMAHAL, BIHAR"/>
    <x v="6"/>
    <n v="15"/>
    <n v="38"/>
    <n v="6.7"/>
    <n v="7.3"/>
    <n v="7.3"/>
    <n v="7.7"/>
    <n v="102"/>
    <n v="159"/>
    <n v="1.1000000000000001"/>
    <n v="1.4"/>
    <n v="0"/>
    <n v="0"/>
    <m/>
    <m/>
    <m/>
    <m/>
    <m/>
    <m/>
    <n v="0.77"/>
  </r>
  <r>
    <n v="10146"/>
    <s v="RIVER GANGA AT SANGI DALAN"/>
    <x v="6"/>
    <n v="16"/>
    <n v="37"/>
    <n v="6.9"/>
    <n v="7.4"/>
    <n v="7.4"/>
    <n v="7.8"/>
    <n v="102"/>
    <n v="245"/>
    <n v="1.1000000000000001"/>
    <n v="1.3"/>
    <n v="0"/>
    <n v="0"/>
    <m/>
    <m/>
    <m/>
    <m/>
    <m/>
    <m/>
    <n v="0.71500000000000008"/>
  </r>
  <r>
    <n v="5162"/>
    <s v="RIVER GANGA AT FARAKKA, MUSHIDABAD"/>
    <x v="7"/>
    <n v="17"/>
    <n v="35"/>
    <n v="5.5"/>
    <n v="9.8000000000000007"/>
    <n v="6.7"/>
    <n v="9"/>
    <n v="223"/>
    <n v="436"/>
    <n v="1.3"/>
    <n v="2.9"/>
    <n v="0.32"/>
    <n v="0.96"/>
    <n v="130"/>
    <n v="1700"/>
    <n v="220"/>
    <n v="5400"/>
    <n v="23"/>
    <n v="79"/>
    <n v="1.885"/>
  </r>
  <r>
    <n v="10160"/>
    <s v="RIVER GANGA AT BEHRAMPORE, (GORA_x000a_BAZAR),MURSHIDABAD"/>
    <x v="7"/>
    <n v="16"/>
    <n v="36"/>
    <n v="6.4"/>
    <n v="9.5"/>
    <n v="6.8"/>
    <n v="8.6999999999999993"/>
    <n v="227"/>
    <n v="429"/>
    <n v="1.4"/>
    <n v="2.9"/>
    <n v="0.32"/>
    <n v="0.71"/>
    <n v="790"/>
    <n v="17000"/>
    <n v="3300"/>
    <n v="24000"/>
    <n v="110"/>
    <n v="790"/>
    <n v="2.0299999999999998"/>
  </r>
  <r>
    <n v="1080"/>
    <s v="RIVER GANGA AT BAHARAMPORE, MURSHIDABAD,_x000a_WEST BENGAL"/>
    <x v="7"/>
    <n v="16"/>
    <n v="36"/>
    <n v="5.9"/>
    <n v="9.9"/>
    <n v="6.7"/>
    <n v="9"/>
    <n v="219"/>
    <n v="439"/>
    <n v="1.3"/>
    <n v="2.8"/>
    <n v="0.32"/>
    <n v="0.89"/>
    <n v="1700"/>
    <n v="24000"/>
    <n v="3300"/>
    <n v="49000"/>
    <n v="130"/>
    <n v="1300"/>
    <n v="1.8199999999999998"/>
  </r>
  <r>
    <n v="10159"/>
    <s v="RIVER GANGA AT BEHRAMPORE(KHAGRA),_x000a_MURSHIDABAD"/>
    <x v="7"/>
    <n v="16"/>
    <n v="36"/>
    <n v="6"/>
    <n v="9.8000000000000007"/>
    <n v="6.8"/>
    <n v="8.4"/>
    <n v="229"/>
    <n v="424"/>
    <n v="1.4"/>
    <n v="2.9"/>
    <n v="0.32"/>
    <n v="0.57999999999999996"/>
    <n v="130"/>
    <n v="3500"/>
    <n v="790"/>
    <n v="9200"/>
    <n v="23"/>
    <n v="170"/>
    <n v="2.0299999999999998"/>
  </r>
  <r>
    <n v="2511"/>
    <s v="RIVER NABADIP ON GANGA, GHOSHPARA NEAR_x000a_MONIPURGHAT,NADIA"/>
    <x v="7"/>
    <n v="16"/>
    <n v="36"/>
    <n v="5.4"/>
    <n v="9.4"/>
    <n v="7"/>
    <n v="8.6"/>
    <n v="246"/>
    <n v="468"/>
    <n v="1"/>
    <n v="2.9"/>
    <n v="0.32"/>
    <n v="1.2"/>
    <n v="210"/>
    <n v="3500"/>
    <n v="1100"/>
    <n v="11000"/>
    <n v="49"/>
    <n v="240"/>
    <n v="1.45"/>
  </r>
  <r>
    <n v="2506"/>
    <s v="RIVER TRIBENI ON GANGA, NEAR BURNING GHAT,_x000a_HOOGHLY"/>
    <x v="7"/>
    <n v="15"/>
    <n v="36"/>
    <n v="5.0999999999999996"/>
    <n v="9.6999999999999993"/>
    <n v="6.7"/>
    <n v="8.5"/>
    <n v="224"/>
    <n v="427"/>
    <n v="1"/>
    <n v="3"/>
    <n v="0.32"/>
    <n v="0.62"/>
    <n v="240"/>
    <n v="5400"/>
    <n v="1100"/>
    <n v="14000"/>
    <n v="23"/>
    <n v="790"/>
    <n v="1.5"/>
  </r>
  <r>
    <n v="1054"/>
    <s v="RIVER GANGA AT PALTA WEST BENGAL"/>
    <x v="7"/>
    <n v="15"/>
    <n v="36"/>
    <n v="5.2"/>
    <n v="9.9"/>
    <n v="7.1"/>
    <n v="8.4"/>
    <n v="232"/>
    <n v="444"/>
    <n v="1.4"/>
    <n v="2.9"/>
    <n v="0.32"/>
    <n v="0.83"/>
    <n v="3500"/>
    <n v="49000"/>
    <n v="13000"/>
    <n v="79000"/>
    <n v="330"/>
    <n v="1400"/>
    <n v="2.0299999999999998"/>
  </r>
  <r>
    <n v="10161"/>
    <s v="RIVER GANGA AT PALTA, SHITALTALA,"/>
    <x v="7"/>
    <n v="14"/>
    <n v="36"/>
    <n v="5.0999999999999996"/>
    <n v="9.6"/>
    <n v="7.1"/>
    <n v="8.6999999999999993"/>
    <n v="240"/>
    <n v="484"/>
    <n v="1.4"/>
    <n v="2.9"/>
    <n v="0.32"/>
    <n v="0.73"/>
    <n v="1700"/>
    <n v="49000"/>
    <n v="6300"/>
    <n v="110000"/>
    <n v="130"/>
    <n v="1400"/>
    <n v="2.0299999999999998"/>
  </r>
  <r>
    <n v="1472"/>
    <s v="RIVER GANGA AT SERAMPORE, HOOGHLY,WEST_x000a_BENGAL"/>
    <x v="7"/>
    <n v="16"/>
    <n v="36"/>
    <n v="5.3"/>
    <n v="9.6999999999999993"/>
    <n v="7.1"/>
    <n v="8.4"/>
    <n v="268"/>
    <n v="4223"/>
    <n v="1.4"/>
    <n v="2.9"/>
    <n v="0.32"/>
    <n v="0.99"/>
    <n v="5400"/>
    <n v="54000"/>
    <n v="14000"/>
    <n v="79000"/>
    <n v="330"/>
    <n v="9400"/>
    <n v="2.0299999999999998"/>
  </r>
  <r>
    <n v="1053"/>
    <s v="RIVER GANGA AT DAKSHMINESHWAR, KOLKATA, WEST_x000a_BENGAL"/>
    <x v="7"/>
    <n v="18"/>
    <n v="35"/>
    <n v="5"/>
    <n v="7.5"/>
    <n v="6.9"/>
    <n v="8.1"/>
    <n v="230"/>
    <n v="451"/>
    <n v="2.4"/>
    <n v="3.3"/>
    <n v="0.32"/>
    <n v="1.33"/>
    <n v="23000"/>
    <n v="84000"/>
    <n v="79000"/>
    <n v="170000"/>
    <n v="260"/>
    <n v="540"/>
    <n v="3.9599999999999995"/>
  </r>
  <r>
    <n v="1471"/>
    <s v="RIVER GANGA AT HOWRAH-SHIVPUR WEST BENGAL"/>
    <x v="7"/>
    <n v="20"/>
    <n v="34"/>
    <n v="5"/>
    <n v="7.8"/>
    <n v="6.8"/>
    <n v="7.9"/>
    <n v="222"/>
    <n v="483"/>
    <n v="2.4"/>
    <n v="3.6"/>
    <n v="0.35"/>
    <n v="1.56"/>
    <n v="31000"/>
    <n v="79000"/>
    <n v="70000"/>
    <n v="140000"/>
    <n v="170"/>
    <n v="490"/>
    <n v="4.32"/>
  </r>
  <r>
    <n v="1470"/>
    <s v="RIVER GANGA AT GARDEN REACH, KOLKATA, WEST_x000a_BENGAL"/>
    <x v="7"/>
    <n v="20"/>
    <n v="36"/>
    <n v="5"/>
    <n v="7.8"/>
    <n v="6.9"/>
    <n v="8"/>
    <n v="243"/>
    <n v="469"/>
    <n v="2"/>
    <n v="3.9"/>
    <n v="0.33"/>
    <n v="1.84"/>
    <n v="33000"/>
    <n v="94000"/>
    <n v="70000"/>
    <n v="170000"/>
    <n v="210"/>
    <n v="580"/>
    <n v="3.9"/>
  </r>
  <r>
    <n v="1052"/>
    <s v="RIVER GANGA AT ULUBERIA , HOWRAH,WEST BENGAL"/>
    <x v="7"/>
    <n v="23"/>
    <n v="35"/>
    <n v="5"/>
    <n v="6.8"/>
    <n v="6.8"/>
    <n v="8"/>
    <n v="254"/>
    <n v="1224"/>
    <n v="2.2999999999999998"/>
    <n v="3.1"/>
    <n v="0.53"/>
    <n v="1.75"/>
    <n v="17000"/>
    <n v="34000"/>
    <n v="27000"/>
    <n v="49000"/>
    <n v="110"/>
    <n v="330"/>
    <n v="3.5649999999999999"/>
  </r>
  <r>
    <n v="1469"/>
    <s v="RIVER GANGA AT DIAMOND HARBOUR, 24 PARGANAS_x000a_(S)WEST BENGAL"/>
    <x v="7"/>
    <n v="21"/>
    <n v="37"/>
    <n v="5.2"/>
    <n v="6.9"/>
    <n v="6.8"/>
    <n v="8.1999999999999993"/>
    <n v="508"/>
    <n v="10296"/>
    <n v="2.1"/>
    <n v="3.2"/>
    <n v="0.61"/>
    <n v="1.85"/>
    <n v="1300"/>
    <n v="7800"/>
    <n v="2200"/>
    <n v="11000"/>
    <n v="11"/>
    <n v="110"/>
    <n v="3.3600000000000003"/>
  </r>
  <r>
    <n v="1335"/>
    <s v="RIVER GANGA AT PATIKALI NEAR DURGA CHAK WEST_x000a_BENGAL"/>
    <x v="7"/>
    <n v="22"/>
    <n v="34"/>
    <n v="5.4"/>
    <n v="7.5"/>
    <n v="7.8"/>
    <n v="8.5"/>
    <n v="705"/>
    <n v="17930"/>
    <n v="1"/>
    <n v="2.6"/>
    <n v="0.32"/>
    <n v="1.87"/>
    <n v="3600"/>
    <n v="7900"/>
    <n v="7900"/>
    <n v="14000"/>
    <n v="170"/>
    <n v="320"/>
    <n v="1.3"/>
  </r>
  <r>
    <n v="1492"/>
    <s v="RIVER YAMUNA AT YAMUNOTRI"/>
    <x v="3"/>
    <n v="4"/>
    <n v="4"/>
    <n v="11.2"/>
    <n v="11.2"/>
    <n v="7.8"/>
    <n v="7.8"/>
    <n v="31"/>
    <n v="31"/>
    <n v="1"/>
    <n v="1"/>
    <n v="0.32"/>
    <n v="0.32"/>
    <n v="2"/>
    <n v="2"/>
    <n v="2"/>
    <n v="2"/>
    <n v="2"/>
    <n v="2"/>
    <n v="0.5"/>
  </r>
  <r>
    <n v="1493"/>
    <s v="RIVER YAMUNA AT HANUMANCHATTI"/>
    <x v="3"/>
    <n v="10"/>
    <n v="10"/>
    <n v="10.8"/>
    <n v="10.8"/>
    <n v="7.6"/>
    <n v="7.6"/>
    <n v="56"/>
    <n v="56"/>
    <n v="1"/>
    <n v="1"/>
    <n v="0.33"/>
    <n v="0.33"/>
    <n v="2"/>
    <n v="2"/>
    <n v="2"/>
    <n v="2"/>
    <n v="2"/>
    <n v="2"/>
    <n v="0.5"/>
  </r>
  <r>
    <n v="1494"/>
    <s v="RIVER YAMUNA AT U/S OF LAKHWAR DAM"/>
    <x v="3"/>
    <n v="9"/>
    <n v="21"/>
    <n v="9.4"/>
    <n v="10.8"/>
    <n v="7.7"/>
    <n v="8.4"/>
    <n v="105"/>
    <n v="214"/>
    <n v="1"/>
    <n v="1"/>
    <n v="0.32"/>
    <n v="0.6"/>
    <n v="2"/>
    <n v="2"/>
    <n v="2"/>
    <n v="2"/>
    <n v="2"/>
    <n v="2"/>
    <n v="0.5"/>
  </r>
  <r>
    <n v="30025"/>
    <s v="RIVER YAMUNA AT DAK PATHER (UTTARAKHAND)"/>
    <x v="3"/>
    <n v="17"/>
    <n v="21"/>
    <n v="9.4"/>
    <n v="10.8"/>
    <n v="8.1999999999999993"/>
    <n v="8.4"/>
    <n v="128"/>
    <n v="286"/>
    <n v="1"/>
    <n v="9"/>
    <n v="0.32"/>
    <n v="0.47"/>
    <n v="2"/>
    <n v="4000"/>
    <n v="13"/>
    <n v="17000"/>
    <n v="2"/>
    <n v="230"/>
    <n v="4.5"/>
  </r>
  <r>
    <n v="1490"/>
    <s v="RIVER YAMUNA AT U/S DAKPATHER, DEHRADUN"/>
    <x v="3"/>
    <n v="10"/>
    <n v="22"/>
    <n v="9.1999999999999993"/>
    <n v="10.6"/>
    <n v="7"/>
    <n v="8.1"/>
    <n v="72"/>
    <n v="186"/>
    <n v="1"/>
    <n v="1"/>
    <n v="0.32"/>
    <n v="0.37"/>
    <n v="41"/>
    <n v="84"/>
    <n v="70"/>
    <n v="94"/>
    <n v="6"/>
    <n v="14"/>
    <n v="0.5"/>
  </r>
  <r>
    <n v="30027"/>
    <s v="RIVER YAMUNA AT PONTA SAHIB (H.P)"/>
    <x v="0"/>
    <n v="20"/>
    <n v="24.3"/>
    <n v="9"/>
    <n v="10.5"/>
    <n v="8"/>
    <n v="8.4"/>
    <n v="134"/>
    <n v="518"/>
    <n v="1"/>
    <n v="9"/>
    <n v="0.49"/>
    <n v="1.32"/>
    <n v="7"/>
    <n v="7800"/>
    <n v="170"/>
    <n v="33000"/>
    <n v="4"/>
    <n v="2400"/>
    <n v="4.5"/>
  </r>
  <r>
    <n v="1553"/>
    <s v="RIVER YAMUNA U/S PAONTA SAHIB"/>
    <x v="0"/>
    <n v="16"/>
    <n v="23"/>
    <n v="6.3"/>
    <n v="8.4"/>
    <n v="7"/>
    <n v="8.4"/>
    <n v="264"/>
    <n v="702"/>
    <n v="1"/>
    <n v="2.5"/>
    <n v="0.54"/>
    <n v="0.9"/>
    <n v="2"/>
    <n v="94"/>
    <n v="49"/>
    <n v="220"/>
    <n v="2"/>
    <n v="2"/>
    <n v="1.25"/>
  </r>
  <r>
    <n v="1554"/>
    <s v="RIVER YAMUNA D/S PAONTA SAHIB"/>
    <x v="0"/>
    <n v="16"/>
    <n v="22"/>
    <n v="6.3"/>
    <n v="8.4"/>
    <n v="7.7"/>
    <n v="8.3000000000000007"/>
    <n v="243"/>
    <n v="666"/>
    <n v="1.6"/>
    <n v="3.6"/>
    <n v="0.54"/>
    <n v="0.9"/>
    <n v="2"/>
    <n v="220"/>
    <n v="94"/>
    <n v="540"/>
    <n v="2"/>
    <n v="2"/>
    <n v="2.8800000000000003"/>
  </r>
  <r>
    <n v="4439"/>
    <s v="RIVER YAMUNA U/S SUN PHARMACEUTICALS"/>
    <x v="0"/>
    <n v="15"/>
    <n v="23"/>
    <n v="6.4"/>
    <n v="8.5"/>
    <n v="7.4"/>
    <n v="8.3000000000000007"/>
    <n v="257"/>
    <n v="587"/>
    <n v="1.3"/>
    <n v="2.9"/>
    <n v="0.54"/>
    <n v="0.92"/>
    <n v="40"/>
    <n v="240"/>
    <n v="170"/>
    <n v="350"/>
    <n v="2"/>
    <n v="2"/>
    <n v="1.885"/>
  </r>
  <r>
    <n v="4440"/>
    <s v="RIVER YAMUNA D/S SUN PHARMACEUTICALS"/>
    <x v="0"/>
    <n v="16"/>
    <n v="24"/>
    <n v="6.4"/>
    <n v="8.4"/>
    <n v="7.7"/>
    <n v="8.4"/>
    <n v="301"/>
    <n v="550"/>
    <n v="1.2"/>
    <n v="3.5"/>
    <n v="0"/>
    <n v="0.92"/>
    <n v="46"/>
    <n v="350"/>
    <n v="280"/>
    <n v="920"/>
    <n v="2"/>
    <n v="2"/>
    <n v="2.1"/>
  </r>
  <r>
    <n v="30028"/>
    <s v="RIVER YAMUNA AT BURIYA U/S JAGADHARI, MANDOLI,_x000a_HARYANA"/>
    <x v="8"/>
    <n v="17.5"/>
    <n v="27.5"/>
    <n v="7.9"/>
    <n v="8.8000000000000007"/>
    <n v="8"/>
    <n v="8.4"/>
    <n v="211"/>
    <n v="358"/>
    <n v="1"/>
    <n v="15"/>
    <n v="0.53"/>
    <n v="0.89"/>
    <n v="110"/>
    <n v="4900"/>
    <n v="790"/>
    <n v="92000"/>
    <n v="2"/>
    <n v="490"/>
    <n v="7.5"/>
  </r>
  <r>
    <n v="30035"/>
    <s v="RIVER YAMUNA AT HATHNIKUND"/>
    <x v="8"/>
    <n v="14"/>
    <n v="20"/>
    <n v="7.6"/>
    <n v="9.8000000000000007"/>
    <n v="7.8"/>
    <n v="8.3000000000000007"/>
    <n v="208"/>
    <n v="390"/>
    <n v="1"/>
    <n v="6"/>
    <n v="0.79"/>
    <n v="1.07"/>
    <n v="14"/>
    <n v="1300"/>
    <n v="79"/>
    <n v="13000"/>
    <n v="5"/>
    <n v="330"/>
    <n v="3"/>
  </r>
  <r>
    <n v="10006"/>
    <s v="RIVER YAMUNA AT PALLA"/>
    <x v="9"/>
    <n v="16"/>
    <n v="16"/>
    <n v="11.2"/>
    <n v="11.2"/>
    <n v="7.5"/>
    <n v="7.5"/>
    <n v="1172"/>
    <n v="1172"/>
    <n v="13"/>
    <n v="13"/>
    <n v="2"/>
    <n v="2"/>
    <n v="1400"/>
    <n v="1400"/>
    <n v="2200"/>
    <n v="2200"/>
    <n v="33"/>
    <n v="33"/>
    <n v="84.5"/>
  </r>
  <r>
    <n v="30031"/>
    <s v="RIVER YAMUNA AT HASANPUR"/>
    <x v="8"/>
    <n v="16"/>
    <n v="30"/>
    <n v="0.3"/>
    <n v="6"/>
    <n v="7.6"/>
    <n v="8.6999999999999993"/>
    <n v="1034"/>
    <n v="1358"/>
    <n v="11"/>
    <n v="36"/>
    <n v="0.32"/>
    <n v="0.67"/>
    <n v="1700"/>
    <n v="490000"/>
    <n v="6300"/>
    <n v="790000"/>
    <n v="330"/>
    <n v="130000"/>
    <n v="198"/>
  </r>
  <r>
    <n v="30024"/>
    <s v="RIVER YAMUNA AT MOHENA PALWAL ROAD, HARYANA"/>
    <x v="8"/>
    <n v="15"/>
    <n v="28"/>
    <n v="0.3"/>
    <n v="1.7"/>
    <n v="7.5"/>
    <n v="8.1999999999999993"/>
    <n v="1101"/>
    <n v="1385"/>
    <n v="12"/>
    <n v="55"/>
    <n v="0.37"/>
    <n v="3.8"/>
    <n v="130000"/>
    <n v="1700000"/>
    <n v="130000"/>
    <n v="9400000"/>
    <n v="17000"/>
    <n v="130000"/>
    <n v="330"/>
  </r>
  <r>
    <n v="2493"/>
    <s v="RIVER YAMUNA AT SHAHPUR"/>
    <x v="4"/>
    <n v="12"/>
    <n v="28"/>
    <n v="4.2"/>
    <n v="7.2"/>
    <n v="7.6"/>
    <n v="8.1"/>
    <n v="692"/>
    <n v="734"/>
    <n v="9.1999999999999993"/>
    <n v="15.6"/>
    <n v="0"/>
    <n v="0"/>
    <n v="23000"/>
    <n v="49000"/>
    <n v="58000"/>
    <n v="110000"/>
    <m/>
    <m/>
    <n v="71.759999999999991"/>
  </r>
  <r>
    <n v="2495"/>
    <s v="RIVER YAMUNA AT KESIGHAT, VRINDAVAN"/>
    <x v="4"/>
    <n v="11"/>
    <n v="28"/>
    <n v="4"/>
    <n v="7.4"/>
    <n v="7.6"/>
    <n v="8.1999999999999993"/>
    <n v="614"/>
    <n v="642"/>
    <n v="7.6"/>
    <n v="11.6"/>
    <n v="0"/>
    <n v="0"/>
    <n v="22000"/>
    <n v="33000"/>
    <n v="49000"/>
    <n v="94000"/>
    <m/>
    <m/>
    <n v="44.08"/>
  </r>
  <r>
    <n v="1123"/>
    <s v="RIVER YAMUNA AT MATHURA U/S ,NEAR GAUGHAT U.P."/>
    <x v="4"/>
    <n v="11"/>
    <n v="28"/>
    <n v="4.5999999999999996"/>
    <n v="6.6"/>
    <n v="7.6"/>
    <n v="8.1999999999999993"/>
    <n v="543"/>
    <n v="628"/>
    <n v="7.8"/>
    <n v="12.2"/>
    <n v="0"/>
    <n v="0"/>
    <n v="12000"/>
    <n v="33000"/>
    <n v="39000"/>
    <n v="94000"/>
    <m/>
    <m/>
    <n v="47.58"/>
  </r>
  <r>
    <n v="2494"/>
    <s v="RIVER YAMUNA AT VISHRAMGHAT, MATHURA"/>
    <x v="4"/>
    <n v="11"/>
    <n v="28"/>
    <n v="4.2"/>
    <n v="6.8"/>
    <n v="7.6"/>
    <n v="8.1999999999999993"/>
    <n v="572"/>
    <n v="652"/>
    <n v="8"/>
    <n v="13.2"/>
    <n v="0"/>
    <n v="0"/>
    <n v="14000"/>
    <n v="33000"/>
    <n v="41000"/>
    <n v="120000"/>
    <m/>
    <m/>
    <n v="52.8"/>
  </r>
  <r>
    <n v="1124"/>
    <s v="RIVER YAMUNA AT MATHURA D/S , NEAR SHAMSHAN_x000a_GHAT U.P."/>
    <x v="4"/>
    <n v="11"/>
    <n v="28"/>
    <n v="4"/>
    <n v="6.4"/>
    <n v="7.8"/>
    <n v="8.1999999999999993"/>
    <n v="618"/>
    <n v="668"/>
    <n v="8.8000000000000007"/>
    <n v="14"/>
    <n v="0"/>
    <n v="0"/>
    <n v="572"/>
    <n v="38000"/>
    <n v="640"/>
    <n v="150000"/>
    <m/>
    <m/>
    <n v="61.600000000000009"/>
  </r>
  <r>
    <n v="1125"/>
    <s v="RIVER YAMUNA AT AGRA U/S, U.P.(KAILASH GHAT)"/>
    <x v="4"/>
    <n v="24"/>
    <n v="28"/>
    <n v="7"/>
    <n v="8"/>
    <n v="7.5"/>
    <n v="7.8"/>
    <n v="406"/>
    <n v="1800"/>
    <n v="6.4"/>
    <n v="14.4"/>
    <n v="0"/>
    <n v="0"/>
    <n v="4000"/>
    <n v="7000"/>
    <n v="7800"/>
    <n v="11000"/>
    <m/>
    <m/>
    <n v="46.080000000000005"/>
  </r>
  <r>
    <n v="1126"/>
    <s v="RIVER YAMUNA AT D/S OF AGRA, U.P."/>
    <x v="4"/>
    <n v="24"/>
    <n v="28"/>
    <n v="6.6"/>
    <n v="7"/>
    <n v="6.7"/>
    <n v="7.5"/>
    <n v="512"/>
    <n v="2045"/>
    <n v="7.2"/>
    <n v="15.6"/>
    <n v="0"/>
    <n v="0"/>
    <n v="6800"/>
    <n v="17000"/>
    <n v="11000"/>
    <n v="33000"/>
    <m/>
    <m/>
    <n v="56.16"/>
  </r>
  <r>
    <n v="1498"/>
    <s v="RIVER YAMUNA AT BATESWAR, U.P"/>
    <x v="4"/>
    <n v="23"/>
    <n v="28"/>
    <n v="6"/>
    <n v="7.2"/>
    <n v="7.4"/>
    <n v="7.8"/>
    <n v="1022"/>
    <n v="2512"/>
    <n v="8"/>
    <n v="9.6"/>
    <n v="0"/>
    <n v="0"/>
    <n v="6800"/>
    <n v="17000"/>
    <n v="9300"/>
    <n v="25000"/>
    <m/>
    <m/>
    <n v="38.4"/>
  </r>
  <r>
    <n v="10081"/>
    <s v="RIVER YAMUNA AT ETAWAH D/S"/>
    <x v="4"/>
    <n v="16.8"/>
    <n v="36.799999999999997"/>
    <n v="5.0999999999999996"/>
    <n v="7.1"/>
    <n v="7.5"/>
    <n v="7.9"/>
    <n v="487"/>
    <n v="2438"/>
    <n v="8.4"/>
    <n v="22"/>
    <n v="0"/>
    <n v="0"/>
    <n v="7000"/>
    <n v="46000"/>
    <n v="21000"/>
    <n v="160000"/>
    <m/>
    <m/>
    <n v="92.4"/>
  </r>
  <r>
    <n v="10082"/>
    <s v="RIVER YAMUNA AT UDI"/>
    <x v="4"/>
    <n v="17.100000000000001"/>
    <n v="36.4"/>
    <n v="4.9000000000000004"/>
    <n v="6.5"/>
    <n v="7.4"/>
    <n v="7.8"/>
    <n v="434"/>
    <n v="2418"/>
    <n v="7.2"/>
    <n v="18.8"/>
    <n v="0"/>
    <n v="0"/>
    <n v="4900"/>
    <n v="40000"/>
    <n v="14000"/>
    <n v="94000"/>
    <m/>
    <m/>
    <n v="67.680000000000007"/>
  </r>
  <r>
    <n v="1127"/>
    <s v="RIVER YAMUNA AT ETAWAH, U.P."/>
    <x v="4"/>
    <n v="17.2"/>
    <n v="36.6"/>
    <n v="5.2"/>
    <n v="6"/>
    <n v="7.5"/>
    <n v="8"/>
    <n v="460"/>
    <n v="2722"/>
    <n v="7.6"/>
    <n v="18"/>
    <n v="0"/>
    <n v="0"/>
    <n v="5800"/>
    <n v="43000"/>
    <n v="17000"/>
    <n v="94000"/>
    <m/>
    <m/>
    <n v="68.399999999999991"/>
  </r>
  <r>
    <n v="1499"/>
    <s v="RIVER YAMUNA AT JUHIKA B/C WITH CHANBAL,_x000a_ETAWAH, U.P"/>
    <x v="4"/>
    <n v="18.600000000000001"/>
    <n v="37.9"/>
    <n v="6.2"/>
    <n v="7.4"/>
    <n v="7.5"/>
    <n v="7.8"/>
    <n v="407"/>
    <n v="2532"/>
    <n v="6.4"/>
    <n v="16"/>
    <n v="0"/>
    <n v="0"/>
    <n v="4100"/>
    <n v="27000"/>
    <n v="13000"/>
    <n v="70000"/>
    <m/>
    <m/>
    <n v="51.2"/>
  </r>
  <r>
    <n v="30034"/>
    <s v="RIVER YAMUNA AT ETAWAH"/>
    <x v="4"/>
    <n v="18"/>
    <n v="32"/>
    <n v="6.2"/>
    <n v="9.3000000000000007"/>
    <n v="7.2"/>
    <n v="8.8000000000000007"/>
    <n v="602"/>
    <n v="1633"/>
    <n v="3.9"/>
    <n v="15.7"/>
    <n v="3.09"/>
    <n v="21.93"/>
    <n v="2"/>
    <n v="79000"/>
    <n v="4500"/>
    <n v="240000"/>
    <m/>
    <m/>
    <n v="30.614999999999998"/>
  </r>
  <r>
    <n v="30033"/>
    <s v="RIVER YAMUNA A/C OF CHAMBAL AT SHERGARH,_x000a_JUHIKA (U.P)"/>
    <x v="4"/>
    <n v="18"/>
    <n v="31"/>
    <n v="7.1"/>
    <n v="9"/>
    <n v="7.3"/>
    <n v="8.9"/>
    <n v="447"/>
    <n v="1091"/>
    <n v="2.1"/>
    <n v="8.1"/>
    <n v="0.32"/>
    <n v="5.89"/>
    <n v="2"/>
    <n v="33000"/>
    <n v="2"/>
    <n v="490000"/>
    <n v="2"/>
    <n v="2"/>
    <n v="8.5050000000000008"/>
  </r>
  <r>
    <n v="2283"/>
    <s v="RIVER YAMUNA AT HAMIRPUR"/>
    <x v="4"/>
    <n v="17"/>
    <n v="28"/>
    <n v="4.9000000000000004"/>
    <n v="7.1"/>
    <n v="7.4"/>
    <n v="7.8"/>
    <n v="659"/>
    <n v="848"/>
    <n v="2.6"/>
    <n v="5.2"/>
    <n v="0"/>
    <n v="0"/>
    <n v="9300"/>
    <n v="23000"/>
    <n v="17000"/>
    <n v="79000"/>
    <m/>
    <m/>
    <n v="6.7600000000000007"/>
  </r>
  <r>
    <n v="1069"/>
    <s v="RIVER YAMUNA AT PRAYAGRAJ D/S (BALUA GHAT),_x000a_U.P."/>
    <x v="4"/>
    <n v="20.7"/>
    <n v="30.7"/>
    <n v="6.8"/>
    <n v="8.4"/>
    <n v="7.7"/>
    <n v="8.3000000000000007"/>
    <n v="318"/>
    <n v="397"/>
    <n v="2.5"/>
    <n v="2.7"/>
    <n v="0.55000000000000004"/>
    <n v="0.68"/>
    <n v="400"/>
    <n v="680"/>
    <n v="1400"/>
    <n v="1700"/>
    <m/>
    <m/>
    <n v="3.375"/>
  </r>
  <r>
    <n v="1510"/>
    <s v="RIVER TONS AT TIUNI (HIMACHAL PRADESH/UTTRA_x000a_KHAND BORDER)"/>
    <x v="0"/>
    <n v="6.8"/>
    <n v="10.6"/>
    <n v="7.9"/>
    <n v="9.3000000000000007"/>
    <n v="7.3"/>
    <n v="7.9"/>
    <n v="35"/>
    <n v="105"/>
    <n v="1"/>
    <n v="1"/>
    <n v="0.32"/>
    <n v="1.31"/>
    <n v="2"/>
    <n v="20"/>
    <n v="7"/>
    <n v="920"/>
    <n v="2"/>
    <n v="2"/>
    <n v="0.5"/>
  </r>
  <r>
    <n v="30023"/>
    <s v="RIVER TONS AT HARIPUR (U.K.)"/>
    <x v="3"/>
    <n v="16.5"/>
    <n v="24"/>
    <n v="9.4"/>
    <n v="10.4"/>
    <n v="8.1999999999999993"/>
    <n v="8.5"/>
    <n v="121"/>
    <n v="318"/>
    <n v="1"/>
    <n v="13"/>
    <n v="0.32"/>
    <n v="0.44"/>
    <n v="2"/>
    <n v="7900"/>
    <n v="17"/>
    <n v="13000"/>
    <n v="2"/>
    <n v="1300"/>
    <n v="6.5"/>
  </r>
  <r>
    <n v="4027"/>
    <s v="RIVER GIRI D/S RAJGARH TOWN"/>
    <x v="0"/>
    <n v="18"/>
    <n v="25"/>
    <n v="7.8"/>
    <n v="8.4"/>
    <n v="7.6"/>
    <n v="8.4"/>
    <n v="292"/>
    <n v="421"/>
    <n v="1.2"/>
    <n v="2.1"/>
    <n v="0.66"/>
    <n v="0.89"/>
    <n v="22"/>
    <n v="110"/>
    <n v="130"/>
    <n v="280"/>
    <n v="2"/>
    <n v="2"/>
    <n v="1.26"/>
  </r>
  <r>
    <n v="4028"/>
    <s v="RIVER GIRI D/S KALGIDHAR TRUST, BARU SAHIB"/>
    <x v="0"/>
    <n v="18"/>
    <n v="25"/>
    <n v="7.7"/>
    <n v="8.1999999999999993"/>
    <n v="7.6"/>
    <n v="8.4"/>
    <n v="296"/>
    <n v="421"/>
    <n v="1.1000000000000001"/>
    <n v="2.2000000000000002"/>
    <n v="0.59"/>
    <n v="0.9"/>
    <n v="26"/>
    <n v="130"/>
    <n v="130"/>
    <n v="350"/>
    <n v="2"/>
    <n v="2"/>
    <n v="1.2100000000000002"/>
  </r>
  <r>
    <n v="2621"/>
    <s v="RIVER GIRI AT D/S YASHWANT NAGAR AFTER CONF._x000a_WITH ASHWANI KHAD AT YASHWANT NAGAR- NEAR_x000a_SHANI MANDIR"/>
    <x v="0"/>
    <n v="6"/>
    <n v="8"/>
    <n v="6.7"/>
    <n v="8.8000000000000007"/>
    <n v="7.7"/>
    <n v="8.4"/>
    <n v="216"/>
    <n v="366"/>
    <n v="1"/>
    <n v="1"/>
    <n v="1.78"/>
    <n v="6.64"/>
    <n v="2"/>
    <n v="8"/>
    <n v="21"/>
    <n v="140"/>
    <n v="2"/>
    <n v="2"/>
    <n v="0.5"/>
  </r>
  <r>
    <n v="3876"/>
    <s v="RIVER GIRI AFTER CONFLUENCE OF ASHWANI RIVER AT_x000a_VILLAGE MARYOG"/>
    <x v="0"/>
    <n v="6"/>
    <n v="18"/>
    <n v="7.6"/>
    <n v="9.3000000000000007"/>
    <n v="7.5"/>
    <n v="8.3000000000000007"/>
    <n v="208"/>
    <n v="446"/>
    <n v="1"/>
    <n v="1"/>
    <n v="0.32"/>
    <n v="5.25"/>
    <n v="2"/>
    <n v="11"/>
    <n v="12"/>
    <n v="220"/>
    <n v="2"/>
    <n v="2"/>
    <n v="0.5"/>
  </r>
  <r>
    <n v="2622"/>
    <s v="RIVER GIRI AT U/S CCI MINES AT VILLAGE NADI"/>
    <x v="0"/>
    <n v="18"/>
    <n v="25"/>
    <n v="6.5"/>
    <n v="8.6"/>
    <n v="7.3"/>
    <n v="8.1999999999999993"/>
    <n v="348"/>
    <n v="927"/>
    <n v="1"/>
    <n v="2.6"/>
    <n v="0.47"/>
    <n v="0.97"/>
    <n v="13"/>
    <n v="70"/>
    <n v="33"/>
    <n v="280"/>
    <n v="2"/>
    <n v="2"/>
    <n v="1.3"/>
  </r>
  <r>
    <n v="2623"/>
    <s v="RIVER GIRI D/S SATAUN"/>
    <x v="0"/>
    <n v="17"/>
    <n v="25"/>
    <n v="6.5"/>
    <n v="8.5"/>
    <n v="7.9"/>
    <n v="8.3000000000000007"/>
    <n v="346"/>
    <n v="889"/>
    <n v="1.1000000000000001"/>
    <n v="3.2"/>
    <n v="0"/>
    <n v="3.14"/>
    <n v="33"/>
    <n v="130"/>
    <n v="110"/>
    <n v="350"/>
    <n v="2"/>
    <n v="2"/>
    <n v="1.7600000000000002"/>
  </r>
  <r>
    <n v="3877"/>
    <s v="RIVER GIRI U/S LWSS AT SAINJ"/>
    <x v="0"/>
    <n v="8"/>
    <n v="12.1"/>
    <n v="7.2"/>
    <n v="8"/>
    <n v="7.2"/>
    <n v="8.1"/>
    <n v="76"/>
    <n v="282"/>
    <n v="1"/>
    <n v="1"/>
    <n v="0.65"/>
    <n v="2.2200000000000002"/>
    <n v="4"/>
    <n v="110"/>
    <n v="39"/>
    <n v="280"/>
    <n v="2"/>
    <n v="2"/>
    <n v="0.5"/>
  </r>
  <r>
    <n v="3878"/>
    <s v="RIVER GIRI D/S LWSS AT SAINJ"/>
    <x v="0"/>
    <n v="8"/>
    <n v="12.2"/>
    <n v="7.2"/>
    <n v="8.1"/>
    <n v="7.2"/>
    <n v="8.1"/>
    <n v="72"/>
    <n v="288"/>
    <n v="1"/>
    <n v="1"/>
    <n v="0.63"/>
    <n v="2.1800000000000002"/>
    <n v="7"/>
    <n v="70"/>
    <n v="27"/>
    <n v="1600"/>
    <n v="2"/>
    <n v="2"/>
    <n v="0.5"/>
  </r>
  <r>
    <n v="3860"/>
    <s v="RIVER GIRI D/S CEMENT CORPORATION OF INDIA,_x000a_RAJBAN AT BANGRAN BRIDGE"/>
    <x v="0"/>
    <n v="17"/>
    <n v="24"/>
    <n v="6.4"/>
    <n v="8.6999999999999993"/>
    <n v="7.3"/>
    <n v="8.1999999999999993"/>
    <n v="390"/>
    <n v="899"/>
    <n v="1"/>
    <n v="2.8"/>
    <n v="0.49"/>
    <n v="0.79"/>
    <n v="21"/>
    <n v="70"/>
    <n v="70"/>
    <n v="280"/>
    <n v="2"/>
    <n v="2"/>
    <n v="1.4"/>
  </r>
  <r>
    <n v="4427"/>
    <s v="RIVER GIRI U/S CHAILLA"/>
    <x v="0"/>
    <n v="8"/>
    <n v="11.4"/>
    <n v="7.4"/>
    <n v="8.3000000000000007"/>
    <n v="7.2"/>
    <n v="8.1"/>
    <n v="69"/>
    <n v="250"/>
    <n v="1"/>
    <n v="1"/>
    <n v="0.62"/>
    <n v="2.3199999999999998"/>
    <n v="4"/>
    <n v="26"/>
    <n v="17"/>
    <n v="220"/>
    <n v="2"/>
    <n v="2"/>
    <n v="0.5"/>
  </r>
  <r>
    <n v="4441"/>
    <s v="RIVER GIRI U/S PROPOSED SITE OF SRI RENUKAJI DAM_x000a_SITE."/>
    <x v="0"/>
    <n v="15"/>
    <n v="25"/>
    <n v="7.6"/>
    <n v="8.1"/>
    <n v="7.6"/>
    <n v="8.3000000000000007"/>
    <n v="318"/>
    <n v="443"/>
    <n v="1"/>
    <n v="2.2999999999999998"/>
    <n v="0.59"/>
    <n v="0.89"/>
    <n v="26"/>
    <n v="70"/>
    <n v="130"/>
    <n v="280"/>
    <n v="2"/>
    <n v="2"/>
    <n v="1.1499999999999999"/>
  </r>
  <r>
    <n v="4442"/>
    <s v="RIVER GIRI D/S PROPOSED SITE OF SRI RENUKAJI DAM_x000a_SITE NEAR BRIDGE AT DADAHU- RENUKAJI"/>
    <x v="0"/>
    <n v="15"/>
    <n v="25"/>
    <n v="7.6"/>
    <n v="8.1999999999999993"/>
    <n v="7"/>
    <n v="8.4"/>
    <n v="303"/>
    <n v="449"/>
    <n v="1.2"/>
    <n v="2.5"/>
    <n v="0.61"/>
    <n v="0.86"/>
    <n v="27"/>
    <n v="94"/>
    <n v="170"/>
    <n v="350"/>
    <n v="2"/>
    <n v="2"/>
    <n v="1.5"/>
  </r>
  <r>
    <n v="4473"/>
    <s v="RIVER GIRI D/S PROPOSED SITE OF RENUKA DAM"/>
    <x v="0"/>
    <n v="17"/>
    <n v="24"/>
    <n v="7.1"/>
    <n v="8"/>
    <n v="7.8"/>
    <n v="8.4"/>
    <n v="302"/>
    <n v="4563"/>
    <n v="1.1000000000000001"/>
    <n v="2.6"/>
    <n v="0.6"/>
    <n v="0.9"/>
    <n v="32"/>
    <n v="140"/>
    <n v="170"/>
    <n v="350"/>
    <n v="2"/>
    <n v="2"/>
    <n v="1.4300000000000002"/>
  </r>
  <r>
    <n v="5292"/>
    <s v="RIVER GIRI AT NIHARI, KOTKHAL"/>
    <x v="0"/>
    <n v="6.1"/>
    <n v="10.3"/>
    <n v="7.3"/>
    <n v="9"/>
    <n v="7.2"/>
    <n v="8"/>
    <n v="71"/>
    <n v="264"/>
    <n v="1"/>
    <n v="1"/>
    <n v="0.83"/>
    <n v="2.08"/>
    <n v="2"/>
    <n v="220"/>
    <n v="9"/>
    <n v="1600"/>
    <n v="2"/>
    <n v="2"/>
    <n v="0.5"/>
  </r>
  <r>
    <n v="5764"/>
    <s v="RIVER GIRI B/C WITH ASHWANI KHAD U/S OF WSS_x000a_YASHWANT NAGAR"/>
    <x v="0"/>
    <n v="6"/>
    <n v="8"/>
    <n v="6.7"/>
    <n v="9.5"/>
    <n v="7.6"/>
    <n v="8.3000000000000007"/>
    <n v="210"/>
    <n v="476"/>
    <n v="1"/>
    <n v="1.2"/>
    <n v="1.65"/>
    <n v="5.16"/>
    <n v="2"/>
    <n v="25"/>
    <n v="24"/>
    <n v="540"/>
    <n v="2"/>
    <n v="2"/>
    <n v="0.6"/>
  </r>
  <r>
    <n v="2617"/>
    <s v="RIVER PABBAR AT U/S DHAMBARI"/>
    <x v="0"/>
    <n v="5.8"/>
    <n v="8"/>
    <n v="8"/>
    <n v="9.1999999999999993"/>
    <n v="7.2"/>
    <n v="8"/>
    <n v="42"/>
    <n v="145"/>
    <n v="1"/>
    <n v="1"/>
    <n v="0.33"/>
    <n v="3.86"/>
    <n v="2"/>
    <n v="17"/>
    <n v="9"/>
    <n v="280"/>
    <n v="2"/>
    <n v="2"/>
    <n v="0.5"/>
  </r>
  <r>
    <n v="2618"/>
    <s v="RIVER PABBAR AT U/S ROHRU"/>
    <x v="0"/>
    <n v="5.9"/>
    <n v="10"/>
    <n v="7.9"/>
    <n v="9.1"/>
    <n v="7.2"/>
    <n v="8.3000000000000007"/>
    <n v="49"/>
    <n v="110"/>
    <n v="1"/>
    <n v="1"/>
    <n v="0.34"/>
    <n v="1.26"/>
    <n v="2"/>
    <n v="27"/>
    <n v="5"/>
    <n v="350"/>
    <n v="2"/>
    <n v="2"/>
    <n v="0.5"/>
  </r>
  <r>
    <n v="2619"/>
    <s v="RIVER PABBAR D/S SWARAKUDDU"/>
    <x v="0"/>
    <n v="6.3"/>
    <n v="10"/>
    <n v="7.7"/>
    <n v="8.9"/>
    <n v="7"/>
    <n v="8.4"/>
    <n v="37"/>
    <n v="132"/>
    <n v="1"/>
    <n v="1"/>
    <n v="0.32"/>
    <n v="1.36"/>
    <n v="7"/>
    <n v="47"/>
    <n v="26"/>
    <n v="350"/>
    <n v="2"/>
    <n v="2"/>
    <n v="0.5"/>
  </r>
  <r>
    <n v="4039"/>
    <s v="RIVER PABBAR U/S HATKOTI"/>
    <x v="0"/>
    <n v="6"/>
    <n v="10"/>
    <n v="7.2"/>
    <n v="8.6999999999999993"/>
    <n v="7.2"/>
    <n v="8.1999999999999993"/>
    <n v="34"/>
    <n v="109"/>
    <n v="1"/>
    <n v="1"/>
    <n v="0.32"/>
    <n v="1.31"/>
    <n v="2"/>
    <n v="220"/>
    <n v="11"/>
    <n v="920"/>
    <n v="2"/>
    <n v="4"/>
    <n v="0.5"/>
  </r>
  <r>
    <n v="5488"/>
    <s v="RIVER PABBAR AT HATKOTI RESERVOIR"/>
    <x v="0"/>
    <n v="8"/>
    <n v="9"/>
    <n v="6.2"/>
    <n v="7.2"/>
    <n v="7.1"/>
    <n v="7.8"/>
    <n v="35"/>
    <n v="105"/>
    <n v="1"/>
    <n v="1"/>
    <n v="0.41"/>
    <n v="1.42"/>
    <n v="2"/>
    <n v="21"/>
    <n v="2"/>
    <n v="170"/>
    <n v="2"/>
    <n v="2"/>
    <n v="0.5"/>
  </r>
  <r>
    <n v="5767"/>
    <s v="RIVER ANDHRA B/C TO RIVER PABBAR AT CHIRGAON"/>
    <x v="0"/>
    <n v="6"/>
    <n v="10.4"/>
    <n v="7.6"/>
    <n v="8.6999999999999993"/>
    <n v="7"/>
    <n v="8.4"/>
    <n v="42"/>
    <n v="136"/>
    <n v="1"/>
    <n v="1"/>
    <n v="0.32"/>
    <n v="0.66"/>
    <n v="2"/>
    <n v="20"/>
    <n v="2"/>
    <n v="280"/>
    <n v="2"/>
    <n v="2"/>
    <n v="0.5"/>
  </r>
  <r>
    <n v="2620"/>
    <s v="ASHWANI KHAD U/S OF YASHWANT NAGAR BEFORE_x000a_CONF. WITH RIVER GIRI AT YASHWANT NAGAR"/>
    <x v="0"/>
    <n v="6"/>
    <n v="9"/>
    <n v="6.7"/>
    <n v="8.5"/>
    <n v="7.7"/>
    <n v="8.5"/>
    <n v="260"/>
    <n v="518"/>
    <n v="1"/>
    <n v="1.4"/>
    <n v="2.02"/>
    <n v="13.06"/>
    <n v="2"/>
    <n v="21"/>
    <n v="21"/>
    <n v="540"/>
    <n v="2"/>
    <n v="2"/>
    <n v="0.7"/>
  </r>
  <r>
    <n v="2626"/>
    <s v="RIVER BATTA U/S PAONTA AT KISHANPURA"/>
    <x v="0"/>
    <n v="14"/>
    <n v="24"/>
    <n v="6.3"/>
    <n v="8.6"/>
    <n v="7.1"/>
    <n v="8.1999999999999993"/>
    <n v="261"/>
    <n v="633"/>
    <n v="1.1000000000000001"/>
    <n v="2.6"/>
    <n v="0.57999999999999996"/>
    <n v="0.86"/>
    <n v="2"/>
    <n v="70"/>
    <n v="70"/>
    <n v="350"/>
    <n v="2"/>
    <n v="2"/>
    <n v="1.4300000000000002"/>
  </r>
  <r>
    <n v="2627"/>
    <s v="RIVER BATTA BEFORE CONFLUENCE TO YAMUNA"/>
    <x v="0"/>
    <n v="15"/>
    <n v="23"/>
    <n v="6.4"/>
    <n v="8.3000000000000007"/>
    <n v="7.4"/>
    <n v="8.3000000000000007"/>
    <n v="237"/>
    <n v="620"/>
    <n v="1.2"/>
    <n v="2.6"/>
    <n v="0.59"/>
    <n v="0.84"/>
    <n v="32"/>
    <n v="130"/>
    <n v="140"/>
    <n v="430"/>
    <n v="2"/>
    <n v="2"/>
    <n v="1.56"/>
  </r>
  <r>
    <n v="4428"/>
    <s v="ASHWANI KHAD U/S OF WEIR SITE OF WTP NEAR_x000a_ASHWANI BRIDGE"/>
    <x v="0"/>
    <n v="9"/>
    <n v="19.5"/>
    <n v="7"/>
    <n v="8.6999999999999993"/>
    <n v="5.5"/>
    <n v="8.3000000000000007"/>
    <n v="81"/>
    <n v="422"/>
    <n v="1"/>
    <n v="3.1"/>
    <n v="0.33"/>
    <n v="11.06"/>
    <n v="8"/>
    <n v="110"/>
    <n v="70"/>
    <n v="1600"/>
    <n v="2"/>
    <n v="24"/>
    <n v="1.55"/>
  </r>
  <r>
    <n v="4429"/>
    <s v="ASHWANI KHAD AFTER CONFLUENCE OF LIFT NALLAH_x000a_NEAR DOGRHA BRIDGE"/>
    <x v="0"/>
    <n v="9"/>
    <n v="22.7"/>
    <n v="6.9"/>
    <n v="8.1999999999999993"/>
    <n v="6.8"/>
    <n v="8.1999999999999993"/>
    <n v="102"/>
    <n v="473"/>
    <n v="1"/>
    <n v="6.8"/>
    <n v="0.32"/>
    <n v="7.32"/>
    <n v="7"/>
    <n v="540"/>
    <n v="17"/>
    <n v="1600"/>
    <n v="4"/>
    <n v="40"/>
    <n v="3.4"/>
  </r>
  <r>
    <n v="4461"/>
    <s v="ASHWANI KHAD D/S OF VILLAGE SADHUPIL, TEHSIL_x000a_KANDAGHAT, DISTRICT SOLAN."/>
    <x v="0"/>
    <n v="7"/>
    <n v="18"/>
    <n v="6.7"/>
    <n v="11"/>
    <n v="7.2"/>
    <n v="8.1999999999999993"/>
    <n v="166"/>
    <n v="530"/>
    <n v="1"/>
    <n v="1"/>
    <n v="1.87"/>
    <n v="5.8"/>
    <n v="2"/>
    <n v="9"/>
    <n v="21"/>
    <n v="220"/>
    <n v="2"/>
    <n v="2"/>
    <n v="0.5"/>
  </r>
  <r>
    <n v="4479"/>
    <s v="ASHWANI KHAD U/S OF SADHUPUL VILLAGE (NEARBY_x000a_800 METERS U/S OF THE BRIDGE)"/>
    <x v="0"/>
    <n v="7"/>
    <n v="20"/>
    <n v="6.2"/>
    <n v="10"/>
    <n v="7.1"/>
    <n v="8.1"/>
    <n v="145"/>
    <n v="769"/>
    <n v="1"/>
    <n v="1"/>
    <n v="2.38"/>
    <n v="6.61"/>
    <n v="2"/>
    <n v="11"/>
    <n v="26"/>
    <n v="220"/>
    <n v="2"/>
    <n v="2"/>
    <n v="0.5"/>
  </r>
  <r>
    <n v="4431"/>
    <s v="SHIKARI KHAD BEFORE CONFLUENCE TO RIVER_x000a_PABBAR NEAR HRTC ROHRU BUS STAND"/>
    <x v="0"/>
    <n v="7.8"/>
    <n v="30"/>
    <n v="6.8"/>
    <n v="8"/>
    <n v="7.6"/>
    <n v="8.3000000000000007"/>
    <n v="51"/>
    <n v="343"/>
    <n v="1"/>
    <n v="1.8"/>
    <n v="0.32"/>
    <n v="1.9"/>
    <n v="2"/>
    <n v="33"/>
    <n v="34"/>
    <n v="920"/>
    <n v="2"/>
    <n v="2"/>
    <n v="0.9"/>
  </r>
  <r>
    <n v="30037"/>
    <s v="RIVER BANGANGA AT U/S IDRISHPUR (U.K.)"/>
    <x v="3"/>
    <n v="21.6"/>
    <n v="31.2"/>
    <n v="0.4"/>
    <n v="6.8"/>
    <n v="7.2"/>
    <n v="7.5"/>
    <n v="366"/>
    <n v="614"/>
    <n v="1.6"/>
    <n v="3.1"/>
    <n v="0.32"/>
    <n v="1.05"/>
    <n v="2"/>
    <n v="790000"/>
    <n v="2000"/>
    <n v="2400000"/>
    <m/>
    <m/>
    <n v="2.4800000000000004"/>
  </r>
  <r>
    <n v="30038"/>
    <s v="RIVER BANGANGA AT D/S SHUKRATAL (BEFORE_x000a_CONFLUENCE OF LAKSAR DRAIN )"/>
    <x v="4"/>
    <n v="21.6"/>
    <n v="31.2"/>
    <n v="5"/>
    <n v="7.8"/>
    <n v="7.3"/>
    <n v="7.6"/>
    <n v="359"/>
    <n v="518"/>
    <n v="1"/>
    <n v="2.6"/>
    <n v="0.32"/>
    <n v="1.65"/>
    <n v="2"/>
    <n v="330000"/>
    <n v="2"/>
    <n v="790000"/>
    <n v="2"/>
    <n v="2"/>
    <n v="1.3"/>
  </r>
  <r>
    <n v="10099"/>
    <s v="RIVER HINDON AT MAHESHPUR D/S"/>
    <x v="4"/>
    <n v="18"/>
    <n v="32"/>
    <n v="1.4"/>
    <n v="1.4"/>
    <n v="7.2"/>
    <n v="7.4"/>
    <n v="380"/>
    <n v="750"/>
    <n v="32"/>
    <n v="44"/>
    <n v="0"/>
    <n v="0"/>
    <m/>
    <m/>
    <m/>
    <m/>
    <m/>
    <m/>
    <n v="704"/>
  </r>
  <r>
    <n v="10102"/>
    <s v="RIVER HINDON AT MOHAN NAGAR U/S"/>
    <x v="4"/>
    <n v="18"/>
    <n v="27"/>
    <n v="1.2"/>
    <n v="4.5"/>
    <n v="6.5"/>
    <n v="7.5"/>
    <n v="330"/>
    <n v="530"/>
    <n v="15"/>
    <n v="20"/>
    <n v="0.4"/>
    <n v="0.46"/>
    <n v="130000"/>
    <n v="260000"/>
    <n v="170000"/>
    <n v="790000"/>
    <m/>
    <m/>
    <n v="150"/>
  </r>
  <r>
    <n v="10103"/>
    <s v="RIVER HINDON AT MOHAN NAGAR D/S"/>
    <x v="4"/>
    <n v="18"/>
    <n v="28"/>
    <n v="2.1"/>
    <n v="6.5"/>
    <n v="6.8"/>
    <n v="7.6"/>
    <n v="330"/>
    <n v="746"/>
    <n v="10"/>
    <n v="20"/>
    <n v="0.35"/>
    <n v="0.48"/>
    <n v="110000"/>
    <n v="340000"/>
    <n v="140000"/>
    <n v="470000"/>
    <m/>
    <m/>
    <n v="100"/>
  </r>
  <r>
    <n v="10106"/>
    <s v="RIVER HINDON AT GHAZIABAD U/S"/>
    <x v="4"/>
    <n v="18"/>
    <n v="28"/>
    <n v="1.1000000000000001"/>
    <n v="5.5"/>
    <n v="6.2"/>
    <n v="7.6"/>
    <n v="316"/>
    <n v="589"/>
    <n v="12"/>
    <n v="24"/>
    <n v="0.41"/>
    <n v="0.55000000000000004"/>
    <n v="170000"/>
    <n v="350000"/>
    <n v="210000"/>
    <n v="920000"/>
    <m/>
    <m/>
    <n v="144"/>
  </r>
  <r>
    <n v="10100"/>
    <s v="RIVER HINDON AT BARNAWA U/S"/>
    <x v="4"/>
    <n v="16"/>
    <n v="22"/>
    <n v="0.3"/>
    <n v="0.3"/>
    <n v="7.5"/>
    <n v="7.8"/>
    <n v="710"/>
    <n v="900"/>
    <n v="42"/>
    <n v="62"/>
    <n v="24"/>
    <n v="34"/>
    <n v="100000"/>
    <n v="140000"/>
    <n v="140000"/>
    <n v="210000"/>
    <m/>
    <m/>
    <n v="1302"/>
  </r>
  <r>
    <n v="10101"/>
    <s v="RIVER HINDON AT BARNAWA D/S"/>
    <x v="4"/>
    <n v="16"/>
    <n v="21"/>
    <n v="0.3"/>
    <n v="0.3"/>
    <n v="7.4"/>
    <n v="7.7"/>
    <n v="630"/>
    <n v="820"/>
    <n v="38"/>
    <n v="56"/>
    <n v="22"/>
    <n v="30"/>
    <n v="82000"/>
    <n v="120000"/>
    <n v="120000"/>
    <n v="170000"/>
    <m/>
    <m/>
    <n v="1064"/>
  </r>
  <r>
    <n v="1483"/>
    <s v="RIVER HINDON AFTER CONFL. WITH R. KRISHNA &amp; KALI_x000a_NEAR BINAULI TOWN, PURA MAHADEV, MEERUT, U.P."/>
    <x v="4"/>
    <n v="17"/>
    <n v="22"/>
    <n v="0.3"/>
    <n v="0.3"/>
    <n v="7.5"/>
    <n v="7.8"/>
    <n v="750"/>
    <n v="1000"/>
    <n v="44"/>
    <n v="68"/>
    <n v="30"/>
    <n v="38"/>
    <n v="100000"/>
    <n v="170000"/>
    <n v="150000"/>
    <n v="220000"/>
    <m/>
    <m/>
    <n v="1496"/>
  </r>
  <r>
    <n v="2496"/>
    <s v="RIVER HINDON AT SARDHANA BUDHANA ROAD, VILLAGE_x000a_BAPARSI, MEERUT"/>
    <x v="4"/>
    <n v="15"/>
    <n v="22"/>
    <n v="0.3"/>
    <n v="0.3"/>
    <n v="7.6"/>
    <n v="7.8"/>
    <n v="750"/>
    <n v="990"/>
    <n v="48"/>
    <n v="68"/>
    <n v="32"/>
    <n v="40"/>
    <n v="14000"/>
    <n v="170000"/>
    <n v="17000"/>
    <n v="240000"/>
    <m/>
    <m/>
    <n v="1632"/>
  </r>
  <r>
    <n v="1358"/>
    <s v="RIVER HINDON AT GHAZIABAD D/S KULESHRA GB_x000a_NAGAR, U.P."/>
    <x v="4"/>
    <n v="20"/>
    <n v="25"/>
    <n v="0.3"/>
    <n v="8.8000000000000007"/>
    <n v="6.4"/>
    <n v="8.4"/>
    <n v="304"/>
    <n v="1375"/>
    <n v="3.2"/>
    <n v="48"/>
    <n v="0.75"/>
    <n v="0.96"/>
    <n v="2100"/>
    <n v="340000"/>
    <n v="3800"/>
    <n v="470000"/>
    <n v="1100"/>
    <n v="1100"/>
    <n v="76.800000000000011"/>
  </r>
  <r>
    <n v="10105"/>
    <s v="RIVER HINDON AT NOIDA D/S"/>
    <x v="4"/>
    <n v="26"/>
    <n v="26"/>
    <n v="1.1000000000000001"/>
    <n v="4.8"/>
    <n v="7"/>
    <n v="7.9"/>
    <n v="450"/>
    <n v="1082"/>
    <n v="12"/>
    <n v="27"/>
    <n v="0"/>
    <n v="0.42"/>
    <n v="170000"/>
    <n v="2700000"/>
    <n v="270000"/>
    <n v="3800000"/>
    <m/>
    <m/>
    <n v="162"/>
  </r>
  <r>
    <n v="1477"/>
    <s v="RIVER KALINADI AT U/S OF MUZAFFAR NAGAR U.P."/>
    <x v="4"/>
    <n v="19"/>
    <n v="25.5"/>
    <n v="2.9"/>
    <n v="3.4"/>
    <n v="7.2"/>
    <n v="7.7"/>
    <n v="300"/>
    <n v="340"/>
    <n v="12"/>
    <n v="16"/>
    <n v="0"/>
    <n v="0"/>
    <m/>
    <m/>
    <m/>
    <m/>
    <m/>
    <m/>
    <n v="96"/>
  </r>
  <r>
    <n v="1478"/>
    <s v="RIVER KALINADI AT D/S OF MUZAFFAR NAGAR, U.P."/>
    <x v="4"/>
    <n v="19"/>
    <n v="25.8"/>
    <n v="0.3"/>
    <n v="0.3"/>
    <n v="7"/>
    <n v="7.3"/>
    <n v="480"/>
    <n v="670"/>
    <n v="32"/>
    <n v="40"/>
    <n v="0"/>
    <n v="0"/>
    <m/>
    <m/>
    <m/>
    <m/>
    <m/>
    <m/>
    <n v="640"/>
  </r>
  <r>
    <n v="4606"/>
    <s v="RIVER KEN NEAR ROAD BRIDGE AT PANNA"/>
    <x v="10"/>
    <n v="21"/>
    <n v="31"/>
    <n v="6.4"/>
    <n v="9.1999999999999993"/>
    <n v="7.2"/>
    <n v="8"/>
    <n v="229"/>
    <n v="354"/>
    <n v="1"/>
    <n v="2.2000000000000002"/>
    <n v="0.33"/>
    <n v="1.62"/>
    <n v="2"/>
    <n v="2"/>
    <n v="31"/>
    <n v="41"/>
    <n v="2"/>
    <n v="2"/>
    <n v="1.1000000000000001"/>
  </r>
  <r>
    <n v="1356"/>
    <s v="RIVER BETWA BEFORE CONF. YAMUNA AT HAMIRPUR,_x000a_U.P."/>
    <x v="4"/>
    <n v="17"/>
    <n v="24"/>
    <n v="5.4"/>
    <n v="7.6"/>
    <n v="7.2"/>
    <n v="7.9"/>
    <n v="344"/>
    <n v="3400"/>
    <n v="2.2000000000000002"/>
    <n v="3.1"/>
    <n v="0"/>
    <n v="0"/>
    <n v="7800"/>
    <n v="9300"/>
    <n v="13000"/>
    <n v="17000"/>
    <m/>
    <m/>
    <n v="3.4100000000000006"/>
  </r>
  <r>
    <n v="5538"/>
    <s v="RIVER KALIASOT DAM OUTLATE NEAR DAM_x000a_GATE,BHOPAL"/>
    <x v="10"/>
    <n v="19"/>
    <n v="27"/>
    <n v="5.8"/>
    <n v="8.5"/>
    <n v="7.4"/>
    <n v="8.6999999999999993"/>
    <n v="186"/>
    <n v="300"/>
    <n v="1"/>
    <n v="2.2000000000000002"/>
    <n v="1.49"/>
    <n v="3.5"/>
    <n v="2"/>
    <n v="22"/>
    <n v="2"/>
    <n v="540"/>
    <n v="2"/>
    <n v="2"/>
    <n v="1.1000000000000001"/>
  </r>
  <r>
    <n v="5539"/>
    <s v="RIVER KHAN RAMWASA STOP DAM,UJJAIN"/>
    <x v="10"/>
    <n v="23"/>
    <n v="28"/>
    <n v="5.7"/>
    <n v="7.2"/>
    <n v="7.2"/>
    <n v="8.1999999999999993"/>
    <n v="512"/>
    <n v="1696"/>
    <n v="4.5"/>
    <n v="12"/>
    <n v="1.22"/>
    <n v="2.4900000000000002"/>
    <n v="14"/>
    <n v="1600"/>
    <n v="920"/>
    <n v="1600"/>
    <n v="11"/>
    <n v="11"/>
    <n v="27"/>
  </r>
  <r>
    <n v="5540"/>
    <s v="RIVER MANDAKINI , ORIGIN POINT SATI ANSUIYA_x000a_,CHITRAKOOT"/>
    <x v="10"/>
    <n v="27.4"/>
    <n v="32.5"/>
    <n v="3.4"/>
    <n v="7.4"/>
    <n v="7.1"/>
    <n v="8"/>
    <n v="354"/>
    <n v="6783"/>
    <n v="1"/>
    <n v="2.1"/>
    <n v="0"/>
    <n v="0"/>
    <n v="2"/>
    <n v="2"/>
    <n v="4"/>
    <n v="72"/>
    <n v="2"/>
    <n v="2"/>
    <n v="1.05"/>
  </r>
  <r>
    <n v="5544"/>
    <s v="RIVER CHAMBAL PALI NEAR ROAD BRIDGE ,SHEOPUR"/>
    <x v="10"/>
    <n v="18"/>
    <n v="29"/>
    <n v="7"/>
    <n v="7.9"/>
    <n v="7.1"/>
    <n v="7.7"/>
    <n v="220"/>
    <n v="690"/>
    <n v="1.2"/>
    <n v="1.8"/>
    <n v="0.52"/>
    <n v="2.42"/>
    <n v="2"/>
    <n v="3"/>
    <n v="26"/>
    <n v="42"/>
    <m/>
    <m/>
    <n v="1.08"/>
  </r>
  <r>
    <n v="2955"/>
    <s v="RIVER CHAMBAL ENTERING IN RAJASTHAN AT GANDHI_x000a_SAGAR DAM, RAWATBHATA,CHITTORGARH"/>
    <x v="11"/>
    <n v="16"/>
    <n v="30"/>
    <n v="4"/>
    <n v="6.3"/>
    <n v="6.9"/>
    <n v="7.8"/>
    <n v="443"/>
    <n v="627"/>
    <n v="2.2000000000000002"/>
    <n v="3"/>
    <n v="1.22"/>
    <n v="3.19"/>
    <n v="84"/>
    <n v="170"/>
    <n v="150"/>
    <n v="300"/>
    <n v="14"/>
    <n v="21"/>
    <n v="3.3000000000000003"/>
  </r>
  <r>
    <n v="1288"/>
    <s v="RIVER CHAMBAL AT KOTA U/S (PHED INTAKE POINT._x000a_NEAR KOTA BARRAGE), RAJASTHAN"/>
    <x v="11"/>
    <n v="18"/>
    <n v="33"/>
    <n v="5.3"/>
    <n v="6.8"/>
    <n v="7.9"/>
    <n v="8.5"/>
    <n v="339"/>
    <n v="481"/>
    <n v="1"/>
    <n v="1.3"/>
    <n v="0.62"/>
    <n v="1.22"/>
    <n v="26"/>
    <n v="49"/>
    <n v="46"/>
    <n v="120"/>
    <n v="14"/>
    <n v="26"/>
    <n v="0.65"/>
  </r>
  <r>
    <n v="1289"/>
    <s v="RIVER CHAMBAL AT RANGPUR KOTA D/S (2 KM. FROM_x000a_CITY), RAJASTHAN"/>
    <x v="11"/>
    <n v="19"/>
    <n v="34"/>
    <n v="4.0999999999999996"/>
    <n v="5.9"/>
    <n v="7.9"/>
    <n v="8.9"/>
    <n v="382"/>
    <n v="900"/>
    <n v="1.3"/>
    <n v="2.8"/>
    <n v="0.82"/>
    <n v="2.72"/>
    <n v="220"/>
    <n v="350"/>
    <n v="350"/>
    <n v="540"/>
    <n v="47"/>
    <n v="130"/>
    <n v="1.8199999999999998"/>
  </r>
  <r>
    <n v="10029"/>
    <s v="RIVER CHAMBAL AT KESHORAIPATAN U/S, NEAR SHRI_x000a_RAJESHWAR MAHADEV TEMPLE, BUNDI"/>
    <x v="11"/>
    <n v="15"/>
    <n v="33"/>
    <n v="4.0999999999999996"/>
    <n v="6.3"/>
    <n v="8.1999999999999993"/>
    <n v="8.6999999999999993"/>
    <n v="382"/>
    <n v="945"/>
    <n v="1.2"/>
    <n v="2.8"/>
    <n v="1.07"/>
    <n v="3.63"/>
    <n v="170"/>
    <n v="350"/>
    <n v="350"/>
    <n v="540"/>
    <n v="31"/>
    <n v="79"/>
    <n v="1.68"/>
  </r>
  <r>
    <n v="10030"/>
    <s v="RIVER CHAMBAL AT KESHORAIPATTAN D/S NEAR_x000a_AMBEDKAR NAGAR, BUNDI"/>
    <x v="11"/>
    <n v="15"/>
    <n v="34"/>
    <n v="3.3"/>
    <n v="6.1"/>
    <n v="8.1"/>
    <n v="8.9"/>
    <n v="388"/>
    <n v="1362"/>
    <n v="1.9"/>
    <n v="3.8"/>
    <n v="1.1399999999999999"/>
    <n v="4.9400000000000004"/>
    <n v="240"/>
    <n v="350"/>
    <n v="350"/>
    <n v="920"/>
    <n v="49"/>
    <n v="79"/>
    <n v="3.61"/>
  </r>
  <r>
    <n v="4769"/>
    <s v="RIVER CHAMBAL, NEAR CHAMBAL BRIDGE, DHOLPUR_x000a_TO MURENA ROAD, NH-3"/>
    <x v="11"/>
    <n v="12"/>
    <n v="31"/>
    <n v="4.7"/>
    <n v="6.3"/>
    <n v="7"/>
    <n v="8.5"/>
    <n v="370"/>
    <n v="775"/>
    <n v="1"/>
    <n v="3.1"/>
    <n v="0.64"/>
    <n v="5.63"/>
    <n v="22"/>
    <n v="140"/>
    <n v="40"/>
    <n v="280"/>
    <n v="6"/>
    <n v="28"/>
    <n v="1.55"/>
  </r>
  <r>
    <n v="30086"/>
    <s v="RIVER CHAMBAL AT GWALIOR ROAD BRIDGE, UDI,_x000a_ETAWAH DIST."/>
    <x v="4"/>
    <n v="18"/>
    <n v="31"/>
    <n v="7.4"/>
    <n v="9.3000000000000007"/>
    <n v="7.1"/>
    <n v="8"/>
    <n v="343"/>
    <n v="663"/>
    <n v="1.7"/>
    <n v="6.5"/>
    <n v="0.32"/>
    <n v="0.7"/>
    <n v="2"/>
    <n v="33000"/>
    <n v="2"/>
    <n v="49000"/>
    <n v="2"/>
    <n v="2"/>
    <n v="5.5249999999999995"/>
  </r>
  <r>
    <n v="30060"/>
    <s v="RIVER CHAMBAL AT FISH FARM NEAR GANDHISAGAR_x000a_DAM (MP &amp; RJASTHAN)"/>
    <x v="10"/>
    <n v="20"/>
    <n v="33"/>
    <n v="7.4"/>
    <n v="10.7"/>
    <n v="7.7"/>
    <n v="8.1999999999999993"/>
    <n v="174"/>
    <n v="445"/>
    <n v="1.2"/>
    <n v="2.6"/>
    <n v="0.32"/>
    <n v="0.51"/>
    <n v="2"/>
    <n v="15"/>
    <n v="68"/>
    <n v="120"/>
    <n v="2"/>
    <n v="2"/>
    <n v="1.56"/>
  </r>
  <r>
    <n v="1418"/>
    <s v="RIVER CHAMBAL AT GANDHI SAGAR DAM, RAMPURA,_x000a_M.P"/>
    <x v="10"/>
    <n v="22"/>
    <n v="28"/>
    <n v="7.4"/>
    <n v="7.5"/>
    <n v="7.6"/>
    <n v="7.9"/>
    <n v="304"/>
    <n v="324"/>
    <n v="1.8"/>
    <n v="2"/>
    <n v="0.51"/>
    <n v="0.93"/>
    <n v="2"/>
    <n v="2"/>
    <n v="47"/>
    <n v="49"/>
    <n v="2"/>
    <n v="2"/>
    <n v="1.8"/>
  </r>
  <r>
    <n v="3309"/>
    <s v="RIVER CHAMBAL AT TAL VILLAGE NEAR BRIDGE, UJJAIN"/>
    <x v="10"/>
    <n v="22"/>
    <n v="28"/>
    <n v="7"/>
    <n v="7.8"/>
    <n v="7.3"/>
    <n v="8.5"/>
    <n v="277"/>
    <n v="2449"/>
    <n v="1.6"/>
    <n v="3.4"/>
    <n v="0.32"/>
    <n v="4.9800000000000004"/>
    <n v="2"/>
    <n v="25"/>
    <n v="43"/>
    <n v="1600"/>
    <n v="2"/>
    <n v="2"/>
    <n v="2.72"/>
  </r>
  <r>
    <n v="1365"/>
    <s v="RIVER CHAMBAL AT NAGDA U/S (WATER INTAKE POINT)_x000a_M.P."/>
    <x v="10"/>
    <n v="22"/>
    <n v="27"/>
    <n v="6.9"/>
    <n v="7.9"/>
    <n v="7.3"/>
    <n v="8.1"/>
    <n v="405"/>
    <n v="907"/>
    <n v="1.8"/>
    <n v="2"/>
    <n v="0.64"/>
    <n v="1.07"/>
    <n v="2"/>
    <n v="4"/>
    <n v="43"/>
    <n v="49"/>
    <n v="2"/>
    <n v="2"/>
    <n v="1.8"/>
  </r>
  <r>
    <n v="1366"/>
    <s v="RIVER CHAMBAL AT NAGDA D/S, M.P."/>
    <x v="10"/>
    <n v="22"/>
    <n v="27"/>
    <n v="0.3"/>
    <n v="7.6"/>
    <n v="3.4"/>
    <n v="8.1"/>
    <n v="653"/>
    <n v="8763"/>
    <n v="6"/>
    <n v="28"/>
    <n v="0.94"/>
    <n v="11.29"/>
    <n v="40"/>
    <n v="1600"/>
    <n v="1600"/>
    <n v="1600"/>
    <n v="14"/>
    <n v="540"/>
    <n v="84"/>
  </r>
  <r>
    <n v="1609"/>
    <s v="RIVER CHAMBAL AT DHOLPUR,"/>
    <x v="10"/>
    <n v="15"/>
    <n v="25"/>
    <n v="7"/>
    <n v="8.1"/>
    <n v="7.1"/>
    <n v="7.8"/>
    <n v="315"/>
    <n v="718"/>
    <n v="1"/>
    <n v="2.2999999999999998"/>
    <n v="0.3"/>
    <n v="1.85"/>
    <n v="2"/>
    <n v="6"/>
    <n v="12"/>
    <n v="28"/>
    <m/>
    <m/>
    <n v="1.1499999999999999"/>
  </r>
  <r>
    <n v="3308"/>
    <s v="RIVER CHAMBAL AT JANAPAWA, FROM ORIGIN POINT,_x000a_INDORE"/>
    <x v="10"/>
    <n v="20.5"/>
    <n v="21"/>
    <n v="6.9"/>
    <n v="7.2"/>
    <n v="7.5"/>
    <n v="7.9"/>
    <n v="360"/>
    <n v="439"/>
    <n v="1"/>
    <n v="1.1000000000000001"/>
    <n v="1.54"/>
    <n v="2.0099999999999998"/>
    <n v="2"/>
    <n v="2"/>
    <n v="24"/>
    <n v="34"/>
    <m/>
    <m/>
    <n v="0.55000000000000004"/>
  </r>
  <r>
    <n v="4607"/>
    <s v="RIVER CHAMBAL AT ITAWA ROAD BRIDGE BHIND"/>
    <x v="10"/>
    <n v="18"/>
    <n v="27"/>
    <n v="7"/>
    <n v="8.1999999999999993"/>
    <n v="7.2"/>
    <n v="7.8"/>
    <n v="380"/>
    <n v="600"/>
    <n v="1.4"/>
    <n v="1.9"/>
    <n v="0.3"/>
    <n v="1.4"/>
    <n v="2"/>
    <n v="6"/>
    <n v="20"/>
    <n v="26"/>
    <m/>
    <m/>
    <n v="1.3299999999999998"/>
  </r>
  <r>
    <n v="4610"/>
    <s v="RIVER CHAMBAL AT 100M D/S OF GANDHI SAGAR DAM._x000a_MANDSAUR"/>
    <x v="10"/>
    <n v="22"/>
    <n v="30"/>
    <n v="7.2"/>
    <n v="7.6"/>
    <n v="7.4"/>
    <n v="7.9"/>
    <n v="298"/>
    <n v="384"/>
    <n v="1.8"/>
    <n v="2"/>
    <n v="0.55000000000000004"/>
    <n v="0.98"/>
    <n v="2"/>
    <n v="4"/>
    <n v="48"/>
    <n v="49"/>
    <n v="2"/>
    <n v="2"/>
    <n v="1.8"/>
  </r>
  <r>
    <n v="2954"/>
    <s v="RIVER PARVATI BEFORE MEETING CHAMBAL AT_x000a_KHATOLI, KOTA, RAJASTHAN"/>
    <x v="11"/>
    <n v="17"/>
    <n v="33"/>
    <n v="4.7"/>
    <n v="5.8"/>
    <n v="8.1"/>
    <n v="8.9"/>
    <n v="311"/>
    <n v="1092"/>
    <n v="1"/>
    <n v="2"/>
    <n v="1.22"/>
    <n v="2.52"/>
    <n v="70"/>
    <n v="150"/>
    <n v="140"/>
    <n v="350"/>
    <n v="21"/>
    <n v="26"/>
    <n v="1"/>
  </r>
  <r>
    <n v="2109"/>
    <s v="RIVER PARVATI AT NEEMKHEDI, GUNA"/>
    <x v="10"/>
    <n v="15"/>
    <n v="31"/>
    <n v="7"/>
    <n v="8.8000000000000007"/>
    <n v="7.2"/>
    <n v="7.9"/>
    <n v="290"/>
    <n v="511"/>
    <n v="1.4"/>
    <n v="2.1"/>
    <n v="0.32"/>
    <n v="1.4"/>
    <n v="2"/>
    <n v="6"/>
    <n v="24"/>
    <n v="34"/>
    <m/>
    <m/>
    <n v="1.47"/>
  </r>
  <r>
    <n v="2126"/>
    <s v="RIVER PARVATI D/S AFTER VINDHYACHAL NALLA AT_x000a_PILUKHEDI ,RAJGARH"/>
    <x v="10"/>
    <n v="15"/>
    <n v="26"/>
    <n v="5.8"/>
    <n v="11.7"/>
    <n v="7.4"/>
    <n v="8.1"/>
    <n v="371"/>
    <n v="715"/>
    <n v="1"/>
    <n v="4.5999999999999996"/>
    <n v="5.05"/>
    <n v="30.72"/>
    <n v="6"/>
    <n v="110"/>
    <n v="220"/>
    <n v="480"/>
    <n v="2"/>
    <n v="2"/>
    <n v="2.2999999999999998"/>
  </r>
  <r>
    <n v="1432"/>
    <s v="RIVER PARVATI NEAR VILLAGE BATAODAPAR, M.P."/>
    <x v="10"/>
    <n v="15"/>
    <n v="32"/>
    <n v="7"/>
    <n v="8.5"/>
    <n v="7.2"/>
    <n v="7.6"/>
    <n v="270"/>
    <n v="507"/>
    <n v="1.6"/>
    <n v="1.9"/>
    <n v="0.5"/>
    <n v="1.83"/>
    <n v="2"/>
    <n v="6"/>
    <n v="2"/>
    <n v="34"/>
    <n v="2"/>
    <n v="2"/>
    <n v="1.52"/>
  </r>
  <r>
    <n v="1367"/>
    <s v="RIVER KHAN AT KABIT KHEDI (NEAR INDORE) M.P."/>
    <x v="10"/>
    <n v="20"/>
    <n v="22.5"/>
    <n v="0.3"/>
    <n v="0.3"/>
    <n v="7.2"/>
    <n v="8.1"/>
    <n v="982"/>
    <n v="1485"/>
    <n v="10"/>
    <n v="36"/>
    <n v="2.13"/>
    <n v="4.78"/>
    <n v="32"/>
    <n v="5400"/>
    <n v="920"/>
    <n v="12000"/>
    <n v="8"/>
    <n v="1800"/>
    <n v="180"/>
  </r>
  <r>
    <n v="2110"/>
    <s v="RIVER KHAN AT SAKKAR KHADI, INDORE"/>
    <x v="10"/>
    <n v="19"/>
    <n v="22"/>
    <n v="0.3"/>
    <n v="0.3"/>
    <n v="7.2"/>
    <n v="8.1999999999999993"/>
    <n v="973"/>
    <n v="1418"/>
    <n v="14"/>
    <n v="38"/>
    <n v="2.14"/>
    <n v="7.35"/>
    <n v="2"/>
    <n v="6300"/>
    <n v="1400"/>
    <n v="17000"/>
    <n v="5"/>
    <n v="2100"/>
    <n v="266"/>
  </r>
  <r>
    <n v="2111"/>
    <s v="RIVER KHAN AT SANWER"/>
    <x v="10"/>
    <n v="19.5"/>
    <n v="22.5"/>
    <n v="4"/>
    <n v="6.4"/>
    <n v="7.4"/>
    <n v="8.4"/>
    <n v="880"/>
    <n v="1330"/>
    <n v="1"/>
    <n v="8"/>
    <n v="1.24"/>
    <n v="3.17"/>
    <n v="10"/>
    <n v="700"/>
    <n v="430"/>
    <n v="1600"/>
    <n v="2"/>
    <n v="340"/>
    <n v="4"/>
  </r>
  <r>
    <n v="1372"/>
    <s v="RIVER MANDAKINI AT CHITRAKUT, M.P."/>
    <x v="10"/>
    <n v="22.7"/>
    <n v="33"/>
    <n v="2.8"/>
    <n v="9.1"/>
    <n v="6.8"/>
    <n v="7.9"/>
    <n v="612"/>
    <n v="5952"/>
    <n v="2"/>
    <n v="3.7"/>
    <n v="0"/>
    <n v="0"/>
    <n v="2"/>
    <n v="15"/>
    <n v="70"/>
    <n v="120"/>
    <n v="2"/>
    <n v="2"/>
    <n v="3.7"/>
  </r>
  <r>
    <n v="1369"/>
    <s v="RIVER KSHIPRA AT RAMGHAT AT UJJAIN, M.P."/>
    <x v="10"/>
    <n v="22"/>
    <n v="27"/>
    <n v="6.2"/>
    <n v="7.8"/>
    <n v="7.1"/>
    <n v="7.9"/>
    <n v="386"/>
    <n v="1064"/>
    <n v="3.4"/>
    <n v="10"/>
    <n v="0.32"/>
    <n v="2.8"/>
    <n v="350"/>
    <n v="1600"/>
    <n v="1600"/>
    <n v="1600"/>
    <n v="6"/>
    <n v="170"/>
    <n v="17"/>
  </r>
  <r>
    <n v="1370"/>
    <s v="RIVER KSHIPRA AT TRIVENISANGAM (1 KM. D/S OF_x000a_SANGAM), M.P."/>
    <x v="10"/>
    <n v="22"/>
    <n v="27"/>
    <n v="7"/>
    <n v="7.6"/>
    <n v="7.4"/>
    <n v="7.9"/>
    <n v="333"/>
    <n v="1039"/>
    <n v="2.4"/>
    <n v="6"/>
    <n v="0.32"/>
    <n v="1.94"/>
    <n v="2"/>
    <n v="1600"/>
    <n v="210"/>
    <n v="1600"/>
    <n v="2"/>
    <n v="6"/>
    <n v="7.1999999999999993"/>
  </r>
  <r>
    <n v="1468"/>
    <s v="RIVER KSHIPRA AT SIDDHAWAT (D/S) OF UJJAIN., M.P."/>
    <x v="10"/>
    <n v="22"/>
    <n v="27"/>
    <n v="6.8"/>
    <n v="7.6"/>
    <n v="7.3"/>
    <n v="8"/>
    <n v="493"/>
    <n v="1254"/>
    <n v="8"/>
    <n v="12"/>
    <n v="0.93"/>
    <n v="3.47"/>
    <n v="920"/>
    <n v="1600"/>
    <n v="1600"/>
    <n v="1600"/>
    <n v="10"/>
    <n v="25"/>
    <n v="48"/>
  </r>
  <r>
    <n v="3315"/>
    <s v="RIVER KSHIPRA AT GAUGHAT, UJJAIN"/>
    <x v="10"/>
    <n v="22"/>
    <n v="26"/>
    <n v="7"/>
    <n v="7.5"/>
    <n v="7.1"/>
    <n v="7.9"/>
    <n v="370"/>
    <n v="1041"/>
    <n v="2.4"/>
    <n v="8"/>
    <n v="0.32"/>
    <n v="2.2400000000000002"/>
    <n v="2"/>
    <n v="1600"/>
    <n v="280"/>
    <n v="1600"/>
    <n v="2"/>
    <n v="6"/>
    <n v="9.6"/>
  </r>
  <r>
    <n v="3316"/>
    <s v="RIVER KSHIPRA AT U/S OF MAHIDPUR CITY, UJJAIN"/>
    <x v="10"/>
    <n v="23"/>
    <n v="29"/>
    <n v="6.8"/>
    <n v="8"/>
    <n v="7.5"/>
    <n v="8.1999999999999993"/>
    <n v="388"/>
    <n v="1068"/>
    <n v="1.4"/>
    <n v="3.6"/>
    <n v="0.32"/>
    <n v="1"/>
    <n v="2"/>
    <n v="6"/>
    <n v="46"/>
    <n v="1600"/>
    <n v="2"/>
    <n v="2"/>
    <n v="2.52"/>
  </r>
  <r>
    <n v="3317"/>
    <s v="RIVER KSHIPRA AT W/S INTAKE POINT OF DEWAS,_x000a_UJJAIN"/>
    <x v="10"/>
    <n v="22"/>
    <n v="26"/>
    <n v="7.1"/>
    <n v="7.6"/>
    <n v="7.4"/>
    <n v="8"/>
    <n v="288"/>
    <n v="585"/>
    <n v="1.8"/>
    <n v="2"/>
    <n v="0.63"/>
    <n v="0.98"/>
    <n v="2"/>
    <n v="4"/>
    <n v="47"/>
    <n v="49"/>
    <n v="2"/>
    <n v="2"/>
    <n v="1.8"/>
  </r>
  <r>
    <n v="2724"/>
    <s v="RIVER SUSWA AT MATHURAWALA, DEHRADUN"/>
    <x v="3"/>
    <n v="15"/>
    <n v="24"/>
    <n v="1.4"/>
    <n v="4"/>
    <n v="6.8"/>
    <n v="7.8"/>
    <n v="321"/>
    <n v="601"/>
    <n v="20"/>
    <n v="34"/>
    <n v="0.33"/>
    <n v="0.53"/>
    <n v="1400"/>
    <n v="28000"/>
    <n v="1600"/>
    <n v="160000"/>
    <n v="540"/>
    <n v="16000"/>
    <n v="340"/>
  </r>
  <r>
    <n v="2734"/>
    <s v="RIVER BHELLA U/S OF KASHIPUR,US NAGAR"/>
    <x v="3"/>
    <n v="13"/>
    <n v="30"/>
    <n v="5.6"/>
    <n v="7.7"/>
    <n v="7.2"/>
    <n v="7.8"/>
    <n v="181"/>
    <n v="316"/>
    <n v="2"/>
    <n v="3"/>
    <n v="0.35"/>
    <n v="0.83"/>
    <n v="130"/>
    <n v="540"/>
    <n v="170"/>
    <n v="920"/>
    <n v="46"/>
    <n v="210"/>
    <n v="3"/>
  </r>
  <r>
    <n v="2735"/>
    <s v="RIVER BHELLA D/S OF LOHIYA BRIDGE KASHIPUR,US_x000a_NAGAR"/>
    <x v="3"/>
    <n v="13"/>
    <n v="32"/>
    <n v="1.4"/>
    <n v="4.4000000000000004"/>
    <n v="6.7"/>
    <n v="7.7"/>
    <n v="216"/>
    <n v="636"/>
    <n v="12"/>
    <n v="28"/>
    <n v="0.37"/>
    <n v="1.1499999999999999"/>
    <n v="240"/>
    <n v="920"/>
    <n v="540"/>
    <n v="1600"/>
    <n v="94"/>
    <n v="350"/>
    <n v="168"/>
  </r>
  <r>
    <n v="2732"/>
    <s v="RIVER DHELLA U/S AT KASHIPUR MORADABAD ROAD_x000a_BRIDGE,US NAGAR"/>
    <x v="3"/>
    <n v="13"/>
    <n v="34"/>
    <n v="6"/>
    <n v="7.6"/>
    <n v="6.8"/>
    <n v="7.9"/>
    <n v="236"/>
    <n v="596"/>
    <n v="2.6"/>
    <n v="3"/>
    <n v="0.34"/>
    <n v="0.82"/>
    <n v="220"/>
    <n v="920"/>
    <n v="280"/>
    <n v="1600"/>
    <n v="47"/>
    <n v="130"/>
    <n v="3.9000000000000004"/>
  </r>
  <r>
    <n v="2733"/>
    <s v="RIVER DHELLA D/S AT THAKURDWARA ALIGANJ_x000a_ROAD,US NAGAR"/>
    <x v="3"/>
    <n v="12"/>
    <n v="33"/>
    <n v="1.2"/>
    <n v="4.0999999999999996"/>
    <n v="7"/>
    <n v="7.7"/>
    <n v="298"/>
    <n v="1254"/>
    <n v="14"/>
    <n v="38"/>
    <n v="0.39"/>
    <n v="1.29"/>
    <n v="350"/>
    <n v="1600"/>
    <n v="540"/>
    <n v="1600"/>
    <n v="70"/>
    <n v="220"/>
    <n v="266"/>
  </r>
  <r>
    <n v="30004"/>
    <s v="RIVER DHELA AT ADAMPUR"/>
    <x v="3"/>
    <n v="20.6"/>
    <n v="32"/>
    <n v="4.5"/>
    <n v="8.3000000000000007"/>
    <n v="7.1"/>
    <n v="7.8"/>
    <n v="238"/>
    <n v="813"/>
    <n v="1"/>
    <n v="7.1"/>
    <n v="0.32"/>
    <n v="0.37"/>
    <n v="13000"/>
    <n v="130000"/>
    <n v="70000"/>
    <n v="490000"/>
    <m/>
    <m/>
    <n v="3.55"/>
  </r>
  <r>
    <n v="2731"/>
    <s v="RIVER KOSI AT KASHIPUR BAJPUR ROAD_x000a_BRIDGE,KASHIPUR,US NAGAR"/>
    <x v="3"/>
    <n v="13"/>
    <n v="31"/>
    <n v="6.8"/>
    <n v="7.8"/>
    <n v="7.4"/>
    <n v="7.9"/>
    <n v="211"/>
    <n v="628"/>
    <n v="2"/>
    <n v="3.8"/>
    <n v="0.33"/>
    <n v="0.66"/>
    <n v="120"/>
    <n v="280"/>
    <n v="170"/>
    <n v="350"/>
    <n v="17"/>
    <n v="84"/>
    <n v="3.8"/>
  </r>
  <r>
    <n v="30002"/>
    <s v="RIVER KOSI AT DADIYAL BRIDGE, UTTRAKHAND"/>
    <x v="3"/>
    <n v="21"/>
    <n v="30.2"/>
    <n v="6.2"/>
    <n v="8.8000000000000007"/>
    <n v="7.5"/>
    <n v="7.6"/>
    <n v="295"/>
    <n v="714"/>
    <n v="1"/>
    <n v="2.8"/>
    <n v="0.32"/>
    <n v="0.9"/>
    <n v="7800"/>
    <n v="330000"/>
    <n v="13000"/>
    <n v="790000"/>
    <m/>
    <m/>
    <n v="1.4"/>
  </r>
  <r>
    <n v="2728"/>
    <s v="RIVER GOLA AT HALDWANI"/>
    <x v="3"/>
    <n v="13"/>
    <n v="23"/>
    <n v="7.4"/>
    <n v="8.8000000000000007"/>
    <n v="7.3"/>
    <n v="8.1999999999999993"/>
    <n v="230"/>
    <n v="280"/>
    <n v="1.4"/>
    <n v="2.4"/>
    <n v="0.32"/>
    <n v="0.4"/>
    <n v="63"/>
    <n v="170"/>
    <n v="84"/>
    <n v="210"/>
    <n v="4"/>
    <n v="13"/>
    <n v="1.68"/>
  </r>
  <r>
    <n v="2729"/>
    <s v="RIVER KICHHA AT KICHHA U.S. NAGAR"/>
    <x v="3"/>
    <n v="12"/>
    <n v="32"/>
    <n v="5"/>
    <n v="7"/>
    <n v="7.2"/>
    <n v="7.9"/>
    <n v="265"/>
    <n v="672"/>
    <n v="3"/>
    <n v="7.8"/>
    <n v="0"/>
    <n v="0.88"/>
    <n v="170"/>
    <n v="540"/>
    <n v="280"/>
    <n v="920"/>
    <n v="48"/>
    <n v="150"/>
    <n v="11.7"/>
  </r>
  <r>
    <n v="30003"/>
    <s v="RIVER KICCHA AT PULL BHATTA"/>
    <x v="3"/>
    <n v="20.2"/>
    <n v="30.9"/>
    <n v="0.3"/>
    <n v="6.2"/>
    <n v="7.6"/>
    <n v="7.9"/>
    <n v="380"/>
    <n v="1030"/>
    <n v="7.5"/>
    <n v="13"/>
    <n v="0.32"/>
    <n v="1.74"/>
    <n v="2300"/>
    <n v="170000"/>
    <n v="7900"/>
    <n v="1300000"/>
    <m/>
    <m/>
    <n v="48.75"/>
  </r>
  <r>
    <n v="2730"/>
    <s v="RIVER PILKHAR AT BILASPUR, RAMPUR,US NAGAR"/>
    <x v="3"/>
    <n v="12"/>
    <n v="31"/>
    <n v="2.4"/>
    <n v="7.2"/>
    <n v="7.2"/>
    <n v="7.8"/>
    <n v="221"/>
    <n v="918"/>
    <n v="2"/>
    <n v="12"/>
    <n v="0.33"/>
    <n v="0.97"/>
    <n v="220"/>
    <n v="920"/>
    <n v="350"/>
    <n v="1600"/>
    <n v="79"/>
    <n v="170"/>
    <n v="12"/>
  </r>
  <r>
    <n v="30000"/>
    <s v="RIVER PILKHAR AT RAMPUR, BHOT(U.P)"/>
    <x v="4"/>
    <n v="21"/>
    <n v="31.6"/>
    <n v="6.5"/>
    <n v="8.3000000000000007"/>
    <n v="7.5"/>
    <n v="8"/>
    <n v="121"/>
    <n v="745"/>
    <n v="1"/>
    <n v="2.4"/>
    <n v="0.32"/>
    <n v="0.98"/>
    <n v="4500"/>
    <n v="130000"/>
    <n v="7800"/>
    <n v="490000"/>
    <m/>
    <m/>
    <n v="1.2"/>
  </r>
  <r>
    <n v="30001"/>
    <s v="RIVER BAHELA AT BADLI VILLAGE LOHIYA BRIDGE ,_x000a_TANDA (U.P.)"/>
    <x v="4"/>
    <n v="20.3"/>
    <n v="31.2"/>
    <n v="0.3"/>
    <n v="8.9"/>
    <n v="6.2"/>
    <n v="7.8"/>
    <n v="217"/>
    <n v="715"/>
    <n v="1.4"/>
    <n v="145"/>
    <n v="0.32"/>
    <n v="0.37"/>
    <n v="200"/>
    <n v="1300000"/>
    <n v="780"/>
    <n v="9200000"/>
    <m/>
    <m/>
    <n v="101.5"/>
  </r>
  <r>
    <n v="2736"/>
    <s v="RIVER NANDOUR U/S AT SITARGANJ INDUSTRIAL AREA,_x000a_US NAGAR"/>
    <x v="3"/>
    <n v="12"/>
    <n v="31"/>
    <n v="7.2"/>
    <n v="9.1999999999999993"/>
    <n v="7.5"/>
    <n v="7.9"/>
    <n v="165"/>
    <n v="220"/>
    <n v="1.6"/>
    <n v="2.2000000000000002"/>
    <n v="0.35"/>
    <n v="0.49"/>
    <n v="210"/>
    <n v="540"/>
    <n v="350"/>
    <n v="920"/>
    <n v="63"/>
    <n v="170"/>
    <n v="1.7600000000000002"/>
  </r>
  <r>
    <n v="2737"/>
    <s v="RIVER NANDOUR D/S AT SITARGANJ INDUSTRIAL AREA,_x000a_US NAGAR"/>
    <x v="3"/>
    <n v="12"/>
    <n v="32"/>
    <n v="6.9"/>
    <n v="8.6"/>
    <n v="7.4"/>
    <n v="7.9"/>
    <n v="183"/>
    <n v="336"/>
    <n v="2.4"/>
    <n v="3"/>
    <n v="0.36"/>
    <n v="0.84"/>
    <n v="350"/>
    <n v="1600"/>
    <n v="920"/>
    <n v="1700"/>
    <n v="94"/>
    <n v="920"/>
    <n v="3.5999999999999996"/>
  </r>
  <r>
    <n v="3438"/>
    <s v="RIVER KALYANI U/S OF PANTNAGAR INDUSRIAL AREA,_x000a_US NAGAR"/>
    <x v="3"/>
    <n v="13"/>
    <n v="30"/>
    <n v="5"/>
    <n v="7.2"/>
    <n v="7.1"/>
    <n v="7.8"/>
    <n v="322"/>
    <n v="482"/>
    <n v="2.4"/>
    <n v="3"/>
    <n v="0.34"/>
    <n v="0.55000000000000004"/>
    <n v="220"/>
    <n v="920"/>
    <n v="350"/>
    <n v="1600"/>
    <n v="79"/>
    <n v="540"/>
    <n v="3.5999999999999996"/>
  </r>
  <r>
    <n v="3439"/>
    <s v="RIVER KALYANI D/S OF PANTNAGAR INDUSTRIAL AREA,_x000a_US NAGAR"/>
    <x v="3"/>
    <n v="12"/>
    <n v="33"/>
    <n v="1.6"/>
    <n v="4.4000000000000004"/>
    <n v="6.8"/>
    <n v="7.5"/>
    <n v="396"/>
    <n v="625"/>
    <n v="12"/>
    <n v="30"/>
    <n v="0.35"/>
    <n v="1.47"/>
    <n v="540"/>
    <n v="1600"/>
    <n v="920"/>
    <n v="1700"/>
    <n v="170"/>
    <n v="540"/>
    <n v="180"/>
  </r>
  <r>
    <n v="30077"/>
    <s v="RIVER RAMGANGA AT ROAD BRIDGE SHERKOT,_x000a_DIST.BIJNAUR (U.P.)"/>
    <x v="4"/>
    <n v="22"/>
    <n v="30.2"/>
    <n v="6.5"/>
    <n v="9.1"/>
    <n v="7.2"/>
    <n v="7.9"/>
    <n v="221"/>
    <n v="730"/>
    <n v="1"/>
    <n v="3.4"/>
    <n v="0.32"/>
    <n v="0.36"/>
    <n v="2"/>
    <n v="49000"/>
    <n v="2"/>
    <n v="330000"/>
    <n v="2"/>
    <n v="2"/>
    <n v="1.7"/>
  </r>
  <r>
    <n v="30078"/>
    <s v="RIVER RAMGANGA AT_x000a_KALAGARHBARRAGE,KALAGARH,DIST,PAUDHIGADHWAL_x000a_(U.K.)"/>
    <x v="3"/>
    <n v="21.5"/>
    <n v="28.8"/>
    <n v="7.4"/>
    <n v="9.5"/>
    <n v="7.1"/>
    <n v="7.8"/>
    <n v="176"/>
    <n v="584"/>
    <n v="1.2"/>
    <n v="9.5"/>
    <n v="0.32"/>
    <n v="10.14"/>
    <n v="2"/>
    <n v="790000"/>
    <n v="4500"/>
    <n v="3500000"/>
    <m/>
    <m/>
    <n v="5.7"/>
  </r>
  <r>
    <n v="30077"/>
    <s v="RIVER RAMGANGA AT ROAD BRIDGE SHERKOT,_x000a_DIST.BIJNAUR (U.P.)"/>
    <x v="4"/>
    <n v="22"/>
    <n v="30.2"/>
    <n v="6.5"/>
    <n v="9.1"/>
    <n v="7.2"/>
    <n v="7.9"/>
    <n v="221"/>
    <n v="730"/>
    <n v="1"/>
    <n v="3.4"/>
    <n v="0.32"/>
    <n v="0.36"/>
    <n v="2"/>
    <n v="49000"/>
    <n v="2"/>
    <n v="330000"/>
    <n v="2"/>
    <n v="2"/>
    <n v="1.7"/>
  </r>
  <r>
    <n v="1064"/>
    <s v="RIVER RAMGANGA AT KANNAUJ (BEFORE CONF.), U.P"/>
    <x v="4"/>
    <n v="14"/>
    <n v="30"/>
    <n v="5.9"/>
    <n v="11.2"/>
    <n v="8"/>
    <n v="8.5"/>
    <n v="256"/>
    <n v="589"/>
    <n v="3.8"/>
    <n v="5.6"/>
    <n v="0"/>
    <n v="0"/>
    <n v="4300"/>
    <n v="6300"/>
    <n v="7500"/>
    <n v="13000"/>
    <n v="2"/>
    <n v="2"/>
    <n v="10.639999999999999"/>
  </r>
  <r>
    <n v="1065"/>
    <s v="RIVER KALINADI NEAR GUMATIYA VILLAGE ,KANNAUJ_x000a_(BEFORE CONF.), U.P"/>
    <x v="4"/>
    <n v="14"/>
    <n v="30"/>
    <n v="5.4"/>
    <n v="8.6999999999999993"/>
    <n v="7.4"/>
    <n v="8.1999999999999993"/>
    <n v="240"/>
    <n v="496"/>
    <n v="5"/>
    <n v="6.4"/>
    <n v="0"/>
    <n v="0"/>
    <n v="4600"/>
    <n v="9800"/>
    <n v="8900"/>
    <n v="17000"/>
    <n v="2"/>
    <n v="2"/>
    <n v="16"/>
  </r>
  <r>
    <n v="1480"/>
    <s v="RIVER KALINADI AT U/S OF GULAOTHI TOWN IN_x000a_BULANDSAHAR, U.P."/>
    <x v="4"/>
    <n v="19"/>
    <n v="31"/>
    <n v="0.3"/>
    <n v="0.3"/>
    <n v="7.6"/>
    <n v="7.9"/>
    <n v="403"/>
    <n v="558"/>
    <n v="46"/>
    <n v="62"/>
    <n v="0"/>
    <n v="0"/>
    <n v="2200000"/>
    <n v="4100000"/>
    <n v="3200000"/>
    <n v="5800000"/>
    <m/>
    <m/>
    <n v="1426"/>
  </r>
  <r>
    <n v="2497"/>
    <s v="RIVER KALI EAST AT KHARKHODA-PARIKSHIT GARH_x000a_ROAD, VILL. KOL, MEERUT"/>
    <x v="4"/>
    <n v="14"/>
    <n v="21"/>
    <n v="0.3"/>
    <n v="0.3"/>
    <n v="7.5"/>
    <n v="7.7"/>
    <n v="480"/>
    <n v="940"/>
    <n v="32"/>
    <n v="56"/>
    <n v="22"/>
    <n v="32"/>
    <n v="63000"/>
    <n v="130000"/>
    <n v="94000"/>
    <n v="170000"/>
    <m/>
    <m/>
    <n v="896"/>
  </r>
  <r>
    <n v="2482"/>
    <s v="RIVER VARUNA AT RAMESHWAR, VARANASI"/>
    <x v="4"/>
    <n v="23.5"/>
    <n v="29"/>
    <n v="7.1"/>
    <n v="8.1999999999999993"/>
    <n v="8"/>
    <n v="8.4"/>
    <n v="312"/>
    <n v="480"/>
    <n v="2.8"/>
    <n v="3.8"/>
    <n v="0.6"/>
    <n v="0.96"/>
    <n v="1100"/>
    <n v="2300"/>
    <n v="1700"/>
    <n v="3300"/>
    <n v="380"/>
    <n v="840"/>
    <n v="5.3199999999999994"/>
  </r>
  <r>
    <n v="2483"/>
    <s v="RIVER VARUNA B/C WITH GANGA AT VARANASI"/>
    <x v="4"/>
    <n v="23.5"/>
    <n v="29.5"/>
    <n v="3"/>
    <n v="4.8"/>
    <n v="7.2"/>
    <n v="7.6"/>
    <n v="524"/>
    <n v="664"/>
    <n v="8.6"/>
    <n v="12.8"/>
    <n v="1.72"/>
    <n v="260"/>
    <n v="17000"/>
    <n v="22000"/>
    <n v="27000"/>
    <n v="33000"/>
    <n v="7900"/>
    <n v="17000"/>
    <n v="55.04"/>
  </r>
  <r>
    <n v="2502"/>
    <s v="SHUKRA TAL GHAT (CONFLUENCE OF BANGANGA AND_x000a_SALONI RIVER), MUZAFFARNAGAR,"/>
    <x v="4"/>
    <n v="18"/>
    <n v="26.7"/>
    <n v="5.5"/>
    <n v="7.3"/>
    <n v="7.5"/>
    <n v="7.8"/>
    <n v="140"/>
    <n v="170"/>
    <n v="1.8"/>
    <n v="2.8"/>
    <n v="0"/>
    <n v="0"/>
    <n v="700"/>
    <n v="1100"/>
    <n v="1000"/>
    <n v="1700"/>
    <m/>
    <m/>
    <n v="2.52"/>
  </r>
  <r>
    <n v="1361"/>
    <s v="RIVER SAI AT UNNAO AFTER DRAIN OUTFALL, U.P."/>
    <x v="4"/>
    <n v="18"/>
    <n v="32"/>
    <n v="3.5"/>
    <n v="8"/>
    <n v="7.7"/>
    <n v="8.1999999999999993"/>
    <n v="324"/>
    <n v="531"/>
    <n v="3"/>
    <n v="4.3"/>
    <n v="0.3"/>
    <n v="1.38"/>
    <n v="2300"/>
    <n v="4900"/>
    <n v="4700"/>
    <n v="7900"/>
    <m/>
    <m/>
    <n v="6.4499999999999993"/>
  </r>
  <r>
    <n v="2484"/>
    <s v="RIVER SAI AT JALALPUR, JAUNPUR"/>
    <x v="4"/>
    <n v="24"/>
    <n v="29.5"/>
    <n v="7.3"/>
    <n v="8.6"/>
    <n v="8.1"/>
    <n v="8.4"/>
    <n v="316"/>
    <n v="446"/>
    <n v="2.4"/>
    <n v="3.4"/>
    <n v="0.55000000000000004"/>
    <n v="0.92"/>
    <n v="2100"/>
    <n v="5800"/>
    <n v="4600"/>
    <n v="8400"/>
    <n v="1300"/>
    <n v="3100"/>
    <n v="4.08"/>
  </r>
  <r>
    <n v="1072"/>
    <s v="RIVER GOMTI AT VARANASI, RAJWARI U.P"/>
    <x v="4"/>
    <n v="24"/>
    <n v="29"/>
    <n v="7.2"/>
    <n v="8.6"/>
    <n v="7.9"/>
    <n v="8.4"/>
    <n v="318"/>
    <n v="484"/>
    <n v="3"/>
    <n v="4"/>
    <n v="0.56000000000000005"/>
    <n v="1.34"/>
    <n v="3100"/>
    <n v="9300"/>
    <n v="7000"/>
    <n v="13000"/>
    <n v="2000"/>
    <n v="4600"/>
    <n v="6"/>
  </r>
  <r>
    <n v="1353"/>
    <s v="RIVER GOMTI AT JAUNPUR D/S, U.P."/>
    <x v="4"/>
    <n v="24"/>
    <n v="29.5"/>
    <n v="7"/>
    <n v="8"/>
    <n v="7.8"/>
    <n v="8.5"/>
    <n v="322"/>
    <n v="490"/>
    <n v="3.2"/>
    <n v="4.3"/>
    <n v="0.6"/>
    <n v="1.42"/>
    <n v="3300"/>
    <n v="14000"/>
    <n v="8400"/>
    <n v="21000"/>
    <n v="2400"/>
    <n v="8400"/>
    <n v="6.88"/>
  </r>
  <r>
    <n v="10095"/>
    <s v="RIVER GOMTI AT SULTANPUR U/S"/>
    <x v="4"/>
    <n v="23"/>
    <n v="28"/>
    <n v="5.7"/>
    <n v="7"/>
    <n v="7.9"/>
    <n v="8.1999999999999993"/>
    <n v="345"/>
    <n v="518"/>
    <n v="4"/>
    <n v="4.9000000000000004"/>
    <n v="0"/>
    <n v="0.92"/>
    <n v="2700"/>
    <n v="4900"/>
    <n v="4700"/>
    <n v="12000"/>
    <m/>
    <m/>
    <n v="9.8000000000000007"/>
  </r>
  <r>
    <n v="10096"/>
    <s v="RIVER GOMTI AT SULTANPUR D/S"/>
    <x v="4"/>
    <n v="23"/>
    <n v="28"/>
    <n v="5.3"/>
    <n v="7.3"/>
    <n v="8"/>
    <n v="8.1999999999999993"/>
    <n v="341"/>
    <n v="530"/>
    <n v="4.2"/>
    <n v="5.8"/>
    <n v="0.82"/>
    <n v="0.94"/>
    <n v="2600"/>
    <n v="7000"/>
    <n v="4900"/>
    <n v="17000"/>
    <n v="2"/>
    <n v="2"/>
    <n v="12.18"/>
  </r>
  <r>
    <n v="10097"/>
    <s v="RIVER GOMTI AT JAUNPUR U/S"/>
    <x v="4"/>
    <n v="24"/>
    <n v="29.5"/>
    <n v="7.4"/>
    <n v="8.6"/>
    <n v="8"/>
    <n v="8.4"/>
    <n v="315"/>
    <n v="478"/>
    <n v="2.4"/>
    <n v="3.3"/>
    <n v="0.52"/>
    <n v="1.2"/>
    <n v="700"/>
    <n v="1700"/>
    <n v="1100"/>
    <n v="2400"/>
    <n v="430"/>
    <n v="700"/>
    <n v="3.9599999999999995"/>
  </r>
  <r>
    <n v="1363"/>
    <s v="RIVER RAPTI AFTER CONFL. OF R. HONIN NR._x000a_DOMINGARH RLY BRIDGE, GORAKHPUR, U.P."/>
    <x v="4"/>
    <n v="16"/>
    <n v="24"/>
    <n v="7.8"/>
    <n v="8.4"/>
    <n v="7.9"/>
    <n v="8.1999999999999993"/>
    <n v="270"/>
    <n v="2920"/>
    <n v="2.6"/>
    <n v="8.4"/>
    <n v="0"/>
    <n v="0"/>
    <n v="8000"/>
    <n v="16000"/>
    <n v="18000"/>
    <n v="30000"/>
    <m/>
    <m/>
    <n v="10.920000000000002"/>
  </r>
  <r>
    <n v="4517"/>
    <s v="RIVER RAPTI AT RAJGHAT, GORAKHPUR"/>
    <x v="4"/>
    <n v="16"/>
    <n v="26"/>
    <n v="7.4"/>
    <n v="8"/>
    <n v="7.7"/>
    <n v="8"/>
    <n v="360"/>
    <n v="3960"/>
    <n v="4.2"/>
    <n v="7.7"/>
    <n v="0"/>
    <n v="0"/>
    <n v="12000"/>
    <n v="28000"/>
    <n v="28000"/>
    <n v="44000"/>
    <m/>
    <m/>
    <n v="16.170000000000002"/>
  </r>
  <r>
    <n v="1076"/>
    <s v="RIVER GHAGHARA NEAR CHAPRA, RIVILGANJ, MANJHI,_x000a_SARAN"/>
    <x v="5"/>
    <n v="19"/>
    <n v="33"/>
    <n v="6"/>
    <n v="9.6999999999999993"/>
    <n v="7"/>
    <n v="8.1999999999999993"/>
    <n v="159"/>
    <n v="361"/>
    <n v="1"/>
    <n v="2.9"/>
    <n v="0.12"/>
    <n v="0.3"/>
    <n v="1100"/>
    <n v="92000"/>
    <n v="2300"/>
    <n v="160000"/>
    <m/>
    <m/>
    <n v="1.45"/>
  </r>
  <r>
    <n v="1355"/>
    <s v="RIVER GHAGHARA AT TURTIPAR,DEORIA D/S, U.P."/>
    <x v="4"/>
    <n v="16"/>
    <n v="25"/>
    <n v="7.6"/>
    <n v="8.4"/>
    <n v="7.7"/>
    <n v="8"/>
    <n v="330"/>
    <n v="4120"/>
    <n v="2.6"/>
    <n v="4"/>
    <n v="0"/>
    <n v="0"/>
    <n v="10000"/>
    <n v="26000"/>
    <n v="22000"/>
    <n v="50000"/>
    <m/>
    <m/>
    <n v="5.2"/>
  </r>
  <r>
    <n v="2492"/>
    <s v="RIVER GHAGHRA AT BARHALGANJ, GORAKHPUR"/>
    <x v="4"/>
    <n v="16"/>
    <n v="24"/>
    <n v="7.8"/>
    <n v="8.3000000000000007"/>
    <n v="7.8"/>
    <n v="8.1999999999999993"/>
    <n v="370"/>
    <n v="392"/>
    <n v="3.4"/>
    <n v="4.2"/>
    <n v="0"/>
    <n v="0"/>
    <n v="8000"/>
    <n v="24000"/>
    <n v="18000"/>
    <n v="38000"/>
    <m/>
    <m/>
    <n v="7.14"/>
  </r>
  <r>
    <n v="1359"/>
    <s v="RIVER RIHAND AT RENUKUT U/S, U.P."/>
    <x v="4"/>
    <n v="22"/>
    <n v="28.5"/>
    <n v="8.5"/>
    <n v="9.8000000000000007"/>
    <n v="7.9"/>
    <n v="8.3000000000000007"/>
    <n v="232"/>
    <n v="292"/>
    <n v="1.8"/>
    <n v="2.5"/>
    <n v="0.52"/>
    <n v="0.86"/>
    <n v="210"/>
    <n v="460"/>
    <n v="460"/>
    <n v="700"/>
    <n v="170"/>
    <n v="310"/>
    <n v="2.25"/>
  </r>
  <r>
    <n v="1360"/>
    <s v="RIVER RIHAND AT RENUKUT D/S, U.P."/>
    <x v="4"/>
    <n v="22"/>
    <n v="28.5"/>
    <n v="7.8"/>
    <n v="9"/>
    <n v="7.8"/>
    <n v="8.4"/>
    <n v="248"/>
    <n v="310"/>
    <n v="2.8"/>
    <n v="3.7"/>
    <n v="0.64"/>
    <n v="1.22"/>
    <n v="1300"/>
    <n v="2700"/>
    <n v="2300"/>
    <n v="3900"/>
    <n v="580"/>
    <n v="1100"/>
    <n v="5.18"/>
  </r>
  <r>
    <n v="1143"/>
    <s v="RIVER TONS AT CHAKGHAT, M.P."/>
    <x v="10"/>
    <n v="17.3"/>
    <n v="29.8"/>
    <n v="6.7"/>
    <n v="7.8"/>
    <n v="7.6"/>
    <n v="8.1999999999999993"/>
    <n v="236"/>
    <n v="456"/>
    <n v="1.5"/>
    <n v="1.9"/>
    <n v="0.45"/>
    <n v="1.1599999999999999"/>
    <n v="2"/>
    <n v="2"/>
    <n v="46"/>
    <n v="49"/>
    <n v="2"/>
    <n v="2"/>
    <n v="1.4249999999999998"/>
  </r>
  <r>
    <n v="1144"/>
    <s v="RIVER TONS AT MADHAVGARH, M.P."/>
    <x v="10"/>
    <n v="23.4"/>
    <n v="33.200000000000003"/>
    <n v="4.0999999999999996"/>
    <n v="7.5"/>
    <n v="7.5"/>
    <n v="8"/>
    <n v="461"/>
    <n v="3212"/>
    <n v="1.7"/>
    <n v="3.4"/>
    <n v="0"/>
    <n v="0"/>
    <n v="2"/>
    <n v="16"/>
    <n v="70"/>
    <n v="120"/>
    <n v="2"/>
    <n v="2"/>
    <n v="2.8899999999999997"/>
  </r>
  <r>
    <n v="3328"/>
    <s v="RIVER TONS AT MADHAVGARH, NEAR PHED W/S INTAKE_x000a_POINT, SATNA"/>
    <x v="10"/>
    <n v="22.6"/>
    <n v="33.1"/>
    <n v="4.7"/>
    <n v="7.4"/>
    <n v="7.3"/>
    <n v="7.9"/>
    <n v="647"/>
    <n v="2994"/>
    <n v="1.8"/>
    <n v="2.8"/>
    <n v="0"/>
    <n v="0"/>
    <n v="2"/>
    <n v="14"/>
    <n v="44"/>
    <n v="118"/>
    <n v="2"/>
    <n v="2"/>
    <n v="2.52"/>
  </r>
  <r>
    <n v="3853"/>
    <s v="RIVER TONS AT BASAMAN MAMA TEMPLE, NEAR PURWA_x000a_FALL, TEHSIL-SEMARIYA, DIST- REWA"/>
    <x v="10"/>
    <n v="19.600000000000001"/>
    <n v="31.5"/>
    <n v="6.8"/>
    <n v="7.5"/>
    <n v="7.4"/>
    <n v="8.1999999999999993"/>
    <n v="298"/>
    <n v="414"/>
    <n v="1.4"/>
    <n v="1.8"/>
    <n v="0.43"/>
    <n v="0.97"/>
    <n v="2"/>
    <n v="2"/>
    <n v="41"/>
    <n v="49"/>
    <n v="2"/>
    <n v="2"/>
    <n v="1.26"/>
  </r>
  <r>
    <n v="4609"/>
    <s v="RIVER TONS AT M.P-U.P BOUNDARY, BEFORE MIXING_x000a_RIVER BELAN CHAKGHAT REWA"/>
    <x v="10"/>
    <n v="17.600000000000001"/>
    <n v="29.5"/>
    <n v="7.1"/>
    <n v="7.3"/>
    <n v="7.6"/>
    <n v="8.1999999999999993"/>
    <n v="267"/>
    <n v="381"/>
    <n v="1.2"/>
    <n v="1.8"/>
    <n v="0.32"/>
    <n v="1.03"/>
    <n v="2"/>
    <n v="2"/>
    <n v="43"/>
    <n v="48"/>
    <n v="2"/>
    <n v="2"/>
    <n v="1.08"/>
  </r>
  <r>
    <n v="5543"/>
    <s v="River BeeharÂ Khthuliya Intake Well Point ,Rewa"/>
    <x v="10"/>
    <n v="24"/>
    <n v="29.2"/>
    <n v="7.1"/>
    <n v="8"/>
    <n v="7.5"/>
    <n v="8.1"/>
    <n v="278"/>
    <n v="293"/>
    <n v="1.3"/>
    <n v="1.5"/>
    <n v="0.34"/>
    <n v="1"/>
    <n v="2"/>
    <n v="2"/>
    <n v="38"/>
    <n v="48"/>
    <n v="2"/>
    <n v="2"/>
    <n v="0.97500000000000009"/>
  </r>
  <r>
    <n v="4611"/>
    <s v="RIVER GAMBHIR AT DAM SITE UJJAIN"/>
    <x v="10"/>
    <n v="25"/>
    <n v="29"/>
    <n v="7"/>
    <n v="7.8"/>
    <n v="7.4"/>
    <n v="7.8"/>
    <n v="290"/>
    <n v="417"/>
    <n v="1.4"/>
    <n v="2"/>
    <n v="0.32"/>
    <n v="0.88"/>
    <n v="2"/>
    <n v="2"/>
    <n v="40"/>
    <n v="49"/>
    <n v="2"/>
    <n v="2"/>
    <n v="1.4"/>
  </r>
  <r>
    <n v="1607"/>
    <s v="RIVER BASLI GOHAD DAM, GOHAD, M.P"/>
    <x v="10"/>
    <n v="19"/>
    <n v="27"/>
    <n v="7"/>
    <n v="7.8"/>
    <n v="7.1"/>
    <n v="7.7"/>
    <n v="400"/>
    <n v="752"/>
    <n v="1.4"/>
    <n v="2.1"/>
    <n v="0.47"/>
    <n v="2"/>
    <n v="4"/>
    <n v="8"/>
    <n v="22"/>
    <n v="28"/>
    <m/>
    <m/>
    <n v="1.47"/>
  </r>
  <r>
    <n v="2120"/>
    <s v="RIVER KALIASOT NEAR ROAD BRIDGE, MANDIDEEP"/>
    <x v="10"/>
    <n v="17"/>
    <n v="33"/>
    <n v="6.3"/>
    <n v="7.9"/>
    <n v="7.2"/>
    <n v="7.9"/>
    <n v="312"/>
    <n v="668"/>
    <n v="2.2000000000000002"/>
    <n v="3"/>
    <n v="3.48"/>
    <n v="6.48"/>
    <n v="11"/>
    <n v="63"/>
    <n v="120"/>
    <n v="430"/>
    <n v="2"/>
    <n v="2"/>
    <n v="3.3000000000000003"/>
  </r>
  <r>
    <n v="2142"/>
    <s v="River KALISINDH NEAR ROAD BRIDGE SARANGPUR,_x000a_RAJGARH"/>
    <x v="10"/>
    <n v="16"/>
    <n v="26"/>
    <n v="3.5"/>
    <n v="11.4"/>
    <n v="7.1"/>
    <n v="8.3000000000000007"/>
    <n v="285"/>
    <n v="918"/>
    <n v="1"/>
    <n v="3"/>
    <n v="1.24"/>
    <n v="23.4"/>
    <n v="4"/>
    <n v="110"/>
    <n v="220"/>
    <n v="430"/>
    <n v="2"/>
    <n v="2"/>
    <n v="1.5"/>
  </r>
  <r>
    <n v="4621"/>
    <s v="RIVER HATHNI NANPUR FATA DAM ALIRAJPUR"/>
    <x v="10"/>
    <n v="20"/>
    <n v="22"/>
    <n v="6.9"/>
    <n v="7.7"/>
    <n v="7.7"/>
    <n v="8.1999999999999993"/>
    <n v="338"/>
    <n v="487"/>
    <n v="1"/>
    <n v="1.2"/>
    <n v="0.73"/>
    <n v="1.79"/>
    <n v="2"/>
    <n v="2"/>
    <n v="41"/>
    <n v="46"/>
    <m/>
    <m/>
    <n v="0.6"/>
  </r>
  <r>
    <n v="3125"/>
    <s v="RIVER GANDAK GOPALGANJ PIPRAKOTHI ROAD BRIDGE_x000a_(DUMARIA GHAT)"/>
    <x v="5"/>
    <n v="18"/>
    <n v="31"/>
    <n v="7.1"/>
    <n v="9.8000000000000007"/>
    <n v="7.3"/>
    <n v="8.1999999999999993"/>
    <n v="166"/>
    <n v="308"/>
    <n v="1"/>
    <n v="2.1"/>
    <n v="0.3"/>
    <n v="0.3"/>
    <n v="2200"/>
    <n v="92000"/>
    <n v="7000"/>
    <n v="160000"/>
    <m/>
    <m/>
    <n v="1.05"/>
  </r>
  <r>
    <n v="2568"/>
    <s v="RIVER GANDAK AT REWAGHAT, MUZAFFARPUR"/>
    <x v="5"/>
    <n v="18"/>
    <n v="31"/>
    <n v="6.6"/>
    <n v="9.5"/>
    <n v="7.3"/>
    <n v="8.1999999999999993"/>
    <n v="175"/>
    <n v="309"/>
    <n v="1"/>
    <n v="2.7"/>
    <n v="0.3"/>
    <n v="0.3"/>
    <n v="2300"/>
    <n v="54000"/>
    <n v="3300"/>
    <n v="92000"/>
    <m/>
    <m/>
    <n v="1.35"/>
  </r>
  <r>
    <n v="10163"/>
    <s v="RIVER GANDAK AT ROAD BRIDGE, U/S HAJIPUR,_x000a_VAISHALI (BORDER OF SARAN &amp; VAISHALI)"/>
    <x v="5"/>
    <n v="18"/>
    <n v="30"/>
    <n v="7.1"/>
    <n v="9.4"/>
    <n v="7.2"/>
    <n v="8.1999999999999993"/>
    <n v="173"/>
    <n v="272"/>
    <n v="1"/>
    <n v="2.4"/>
    <n v="0.3"/>
    <n v="0.3"/>
    <n v="1400"/>
    <n v="54000"/>
    <n v="2700"/>
    <n v="160000"/>
    <m/>
    <m/>
    <n v="1.2"/>
  </r>
  <r>
    <n v="10126"/>
    <s v="RIVER GANDAK AT KONHARA GHAT, OPPOSITE_x000a_HARIHARNATH MANDIR,SONEPUR"/>
    <x v="5"/>
    <n v="17"/>
    <n v="30"/>
    <n v="7.1"/>
    <n v="8.9"/>
    <n v="7.2"/>
    <n v="8.1999999999999993"/>
    <n v="170"/>
    <n v="268"/>
    <n v="1.1000000000000001"/>
    <n v="2.4"/>
    <n v="0.3"/>
    <n v="0.3"/>
    <n v="1300"/>
    <n v="92000"/>
    <n v="3300"/>
    <n v="160000"/>
    <m/>
    <m/>
    <n v="1.32"/>
  </r>
  <r>
    <n v="1078"/>
    <s v="RIVER GANDAK AT SONEPUR NEAR HARIHARNATH_x000a_TEMPLE"/>
    <x v="5"/>
    <n v="17"/>
    <n v="31"/>
    <n v="6.6"/>
    <n v="9.1"/>
    <n v="7.2"/>
    <n v="8.3000000000000007"/>
    <n v="167"/>
    <n v="264"/>
    <n v="1"/>
    <n v="2.6"/>
    <n v="0.3"/>
    <n v="0.3"/>
    <n v="3300"/>
    <n v="92000"/>
    <n v="4600"/>
    <n v="160000"/>
    <m/>
    <m/>
    <n v="1.3"/>
  </r>
  <r>
    <n v="1820"/>
    <s v="RIVER SIKRAHNA AT CHANPATIYA, NEAR CHANPATIYA_x000a_ROAD BRIDGE, WEST CHAMPARAN"/>
    <x v="5"/>
    <n v="17"/>
    <n v="36"/>
    <n v="2.1"/>
    <n v="9.9"/>
    <n v="7.1"/>
    <n v="7.7"/>
    <n v="190"/>
    <n v="677"/>
    <n v="1.5"/>
    <n v="4"/>
    <n v="0.3"/>
    <n v="0.3"/>
    <n v="1300"/>
    <n v="54000"/>
    <n v="1700"/>
    <n v="92000"/>
    <m/>
    <m/>
    <n v="3"/>
  </r>
  <r>
    <n v="2575"/>
    <s v="RIVER SIKRAHNA AT LAL PARSA, BETIAH, EAST_x000a_CHAMPARAN"/>
    <x v="5"/>
    <n v="20"/>
    <n v="31"/>
    <n v="4.4000000000000004"/>
    <n v="9.6"/>
    <n v="7.1"/>
    <n v="7.8"/>
    <n v="177"/>
    <n v="392"/>
    <n v="1.4"/>
    <n v="3"/>
    <n v="0.3"/>
    <n v="0.3"/>
    <n v="1700"/>
    <n v="92000"/>
    <n v="2100"/>
    <n v="160000"/>
    <m/>
    <m/>
    <n v="2.0999999999999996"/>
  </r>
  <r>
    <n v="3134"/>
    <s v="RIVER SIKRAHNA AT LAURIA, HARINAGAR ROAD BRIDGE"/>
    <x v="5"/>
    <n v="18"/>
    <n v="29"/>
    <n v="5.2"/>
    <n v="9.1999999999999993"/>
    <n v="7.2"/>
    <n v="8"/>
    <n v="220"/>
    <n v="329"/>
    <n v="1"/>
    <n v="2.6"/>
    <n v="0.3"/>
    <n v="0.3"/>
    <n v="4900"/>
    <n v="24000"/>
    <n v="7900"/>
    <n v="35000"/>
    <m/>
    <m/>
    <n v="1.3"/>
  </r>
  <r>
    <n v="4291"/>
    <s v="RIVER SIKRAHNA LAURIA-NARKATIAGANJ ROAD_x000a_BRIDGE, WEST CHAMPARAN"/>
    <x v="5"/>
    <n v="19"/>
    <n v="36"/>
    <n v="1.7"/>
    <n v="12.3"/>
    <n v="7.3"/>
    <n v="8"/>
    <n v="207"/>
    <n v="436"/>
    <n v="1.6"/>
    <n v="7"/>
    <n v="0.3"/>
    <n v="0.3"/>
    <n v="1700"/>
    <n v="92000"/>
    <n v="2700"/>
    <n v="160000"/>
    <m/>
    <m/>
    <n v="5.6000000000000005"/>
  </r>
  <r>
    <n v="2562"/>
    <s v="RIVER BURHI GANDAK AT AKHARAGHAT,_x000a_MUZAFFARPUR"/>
    <x v="5"/>
    <n v="18"/>
    <n v="32"/>
    <n v="6.5"/>
    <n v="9.1999999999999993"/>
    <n v="7.3"/>
    <n v="8.1"/>
    <n v="201"/>
    <n v="456"/>
    <n v="1"/>
    <n v="2.6"/>
    <n v="0.3"/>
    <n v="0.33"/>
    <n v="2300"/>
    <n v="92000"/>
    <n v="3300"/>
    <n v="160000"/>
    <m/>
    <m/>
    <n v="1.3"/>
  </r>
  <r>
    <n v="2570"/>
    <s v="RIVER BURHI GANDAK NEAR MAGARDAHI GHAT AT_x000a_SAMASTIPUR ROAD BRIDGE, SAMASTIPUR"/>
    <x v="5"/>
    <n v="22"/>
    <n v="38"/>
    <n v="6.5"/>
    <n v="9.8000000000000007"/>
    <n v="7.2"/>
    <n v="8.5"/>
    <n v="219"/>
    <n v="402"/>
    <n v="1"/>
    <n v="2.6"/>
    <n v="0.3"/>
    <n v="0.3"/>
    <n v="3300"/>
    <n v="92000"/>
    <n v="4900"/>
    <n v="160000"/>
    <m/>
    <m/>
    <n v="1.3"/>
  </r>
  <r>
    <n v="3124"/>
    <s v="RIVER BURHI GANDAK U/S ROAD BRIDGE NH NEAR_x000a_ZERO MILE MUZAFFARPUR"/>
    <x v="5"/>
    <n v="18"/>
    <n v="33"/>
    <n v="6.8"/>
    <n v="9.1"/>
    <n v="7.2"/>
    <n v="8"/>
    <n v="198"/>
    <n v="447"/>
    <n v="1"/>
    <n v="2.8"/>
    <n v="0.3"/>
    <n v="0.3"/>
    <n v="1300"/>
    <n v="92000"/>
    <n v="2300"/>
    <n v="160000"/>
    <m/>
    <m/>
    <n v="1.4"/>
  </r>
  <r>
    <n v="4295"/>
    <s v="RIVER BURHI GANDAK AT KHAGARIA ROAD BRIDGE_x000a_BEFORE CONFLUENCE WITH GANGA , KHAGARIA"/>
    <x v="5"/>
    <n v="14"/>
    <n v="30"/>
    <n v="6.8"/>
    <n v="8.9"/>
    <n v="7.3"/>
    <n v="8.3000000000000007"/>
    <n v="202"/>
    <n v="521"/>
    <n v="1"/>
    <n v="2.6"/>
    <n v="0.3"/>
    <n v="0.3"/>
    <n v="4900"/>
    <n v="92000"/>
    <n v="7900"/>
    <n v="160000"/>
    <m/>
    <m/>
    <n v="1.3"/>
  </r>
  <r>
    <n v="4300"/>
    <s v="RIVER BURHI GANDAK AT LAL BAGLA GHAT, MOTIHARI_x000a_DHAKA ROAD, EAST CHAMPARAN"/>
    <x v="5"/>
    <n v="20"/>
    <n v="31"/>
    <n v="6.2"/>
    <n v="8.9"/>
    <n v="7.3"/>
    <n v="8"/>
    <n v="218"/>
    <n v="398"/>
    <n v="1"/>
    <n v="3"/>
    <n v="0.3"/>
    <n v="0.3"/>
    <n v="2300"/>
    <n v="35000"/>
    <n v="4600"/>
    <n v="92000"/>
    <m/>
    <m/>
    <n v="1.5"/>
  </r>
  <r>
    <n v="4403"/>
    <s v="RIVER BURHI GANDAK AT BARACHAKIA, EAST_x000a_CHAMPARAN"/>
    <x v="5"/>
    <n v="20"/>
    <n v="30"/>
    <n v="7"/>
    <n v="9.1999999999999993"/>
    <n v="7.5"/>
    <n v="8.1"/>
    <n v="180"/>
    <n v="415"/>
    <n v="1"/>
    <n v="2.5"/>
    <n v="0.3"/>
    <n v="0.32"/>
    <n v="2300"/>
    <n v="22000"/>
    <n v="3300"/>
    <n v="28000"/>
    <m/>
    <m/>
    <n v="1.25"/>
  </r>
  <r>
    <n v="1822"/>
    <s v="RIVER SIRSIYA AT RAXAUL,BIRGANJ CHECK POST ROAD_x000a_BRIDGE EAST CHAMPARAN"/>
    <x v="5"/>
    <n v="14"/>
    <n v="30"/>
    <n v="0.3"/>
    <n v="3.9"/>
    <n v="7.2"/>
    <n v="7.8"/>
    <n v="249"/>
    <n v="980"/>
    <n v="3.2"/>
    <n v="9"/>
    <n v="0.3"/>
    <n v="0.3"/>
    <n v="13000"/>
    <n v="240000"/>
    <n v="22000"/>
    <n v="540000"/>
    <m/>
    <m/>
    <n v="14.4"/>
  </r>
  <r>
    <n v="3136"/>
    <s v="RIVER SIRSIYA D/S RAXAUL (KOERIA TOLA), EAST_x000a_CHAMPARAN"/>
    <x v="5"/>
    <n v="17"/>
    <n v="30"/>
    <n v="0.3"/>
    <n v="3.7"/>
    <n v="7.2"/>
    <n v="7.8"/>
    <n v="256"/>
    <n v="987"/>
    <n v="3"/>
    <n v="8"/>
    <n v="0.3"/>
    <n v="0.3"/>
    <n v="7900"/>
    <n v="350000"/>
    <n v="17000"/>
    <n v="540000"/>
    <m/>
    <m/>
    <n v="12"/>
  </r>
  <r>
    <n v="2558"/>
    <s v="RIVER HARBORA D/S AT NARKATIAGANJ, WEST_x000a_CHAMPARAN"/>
    <x v="5"/>
    <n v="16"/>
    <n v="35"/>
    <n v="0.4"/>
    <n v="10.6"/>
    <n v="7.2"/>
    <n v="7.9"/>
    <n v="264"/>
    <n v="579"/>
    <n v="1"/>
    <n v="14"/>
    <n v="0.3"/>
    <n v="0.3"/>
    <n v="1700"/>
    <n v="92000"/>
    <n v="4900"/>
    <n v="160000"/>
    <m/>
    <m/>
    <n v="7"/>
  </r>
  <r>
    <n v="3126"/>
    <s v="RIVER HARBORA,U/S AT NARKATIAGANJ, WEST_x000a_CHAMPARAN"/>
    <x v="5"/>
    <n v="16"/>
    <n v="35"/>
    <n v="5.6"/>
    <n v="11.2"/>
    <n v="7.4"/>
    <n v="7.9"/>
    <n v="268"/>
    <n v="450"/>
    <n v="1"/>
    <n v="3"/>
    <n v="0.12"/>
    <n v="0.3"/>
    <n v="1300"/>
    <n v="35000"/>
    <n v="4900"/>
    <n v="92000"/>
    <m/>
    <m/>
    <n v="1.5"/>
  </r>
  <r>
    <n v="2566"/>
    <s v="RIVER KOSHI AT MADHEPURA"/>
    <x v="5"/>
    <n v="15"/>
    <n v="37"/>
    <n v="7.2"/>
    <n v="9"/>
    <n v="7.3"/>
    <n v="8.3000000000000007"/>
    <n v="147"/>
    <n v="296"/>
    <n v="1"/>
    <n v="2.5"/>
    <n v="0.3"/>
    <n v="0.3"/>
    <n v="680"/>
    <n v="92000"/>
    <n v="1400"/>
    <n v="160000"/>
    <m/>
    <m/>
    <n v="1.25"/>
  </r>
  <r>
    <n v="3137"/>
    <s v="RIVER KOSHI AT BEERPUR, SUPAUL"/>
    <x v="5"/>
    <n v="16"/>
    <n v="32"/>
    <n v="7.2"/>
    <n v="8.8000000000000007"/>
    <n v="7.5"/>
    <n v="8.1"/>
    <n v="193"/>
    <n v="368"/>
    <n v="1"/>
    <n v="2.5"/>
    <n v="0.3"/>
    <n v="0.3"/>
    <n v="130"/>
    <n v="54000"/>
    <n v="230"/>
    <n v="160000"/>
    <m/>
    <m/>
    <n v="1.25"/>
  </r>
  <r>
    <n v="2565"/>
    <s v="RIVER KOSHI AT KURSHELA AT KATIHAR"/>
    <x v="5"/>
    <n v="16"/>
    <n v="29"/>
    <n v="7"/>
    <n v="9.3000000000000007"/>
    <n v="7"/>
    <n v="8.4"/>
    <n v="137"/>
    <n v="236"/>
    <n v="1"/>
    <n v="2.5"/>
    <n v="0.3"/>
    <n v="0.3"/>
    <n v="1700"/>
    <n v="92000"/>
    <n v="2200"/>
    <n v="160000"/>
    <m/>
    <m/>
    <n v="1.25"/>
  </r>
  <r>
    <n v="1821"/>
    <s v="RIVER DAHA U/S RAJENDRA ROAD BRIDGE AT SIWAN"/>
    <x v="5"/>
    <n v="17"/>
    <n v="32"/>
    <n v="1.7"/>
    <n v="6.9"/>
    <n v="7.3"/>
    <n v="7.9"/>
    <n v="230"/>
    <n v="589"/>
    <n v="2.1"/>
    <n v="3.8"/>
    <n v="0.11"/>
    <n v="0.3"/>
    <n v="3300"/>
    <n v="92000"/>
    <n v="4900"/>
    <n v="160000"/>
    <m/>
    <m/>
    <n v="3.9899999999999998"/>
  </r>
  <r>
    <n v="2560"/>
    <s v="RIVER DAHA D/S AT SASAMUSA, GOPALGANJ"/>
    <x v="5"/>
    <n v="18"/>
    <n v="30"/>
    <n v="6.5"/>
    <n v="8.6"/>
    <n v="7.1"/>
    <n v="8.1999999999999993"/>
    <n v="262"/>
    <n v="406"/>
    <n v="1"/>
    <n v="2.4"/>
    <n v="0.3"/>
    <n v="0.3"/>
    <n v="4900"/>
    <n v="54000"/>
    <n v="11000"/>
    <n v="92000"/>
    <m/>
    <m/>
    <n v="1.2"/>
  </r>
  <r>
    <n v="2561"/>
    <s v="RIVER DAHA AT ITWA BRIDGE, GOPALGANJ"/>
    <x v="5"/>
    <n v="18"/>
    <n v="32"/>
    <n v="4.8"/>
    <n v="8.1999999999999993"/>
    <n v="7.2"/>
    <n v="8.1999999999999993"/>
    <n v="198"/>
    <n v="511"/>
    <n v="1.2"/>
    <n v="2.8"/>
    <n v="0.3"/>
    <n v="0.3"/>
    <n v="1300"/>
    <n v="92000"/>
    <n v="2300"/>
    <n v="160000"/>
    <m/>
    <m/>
    <n v="1.68"/>
  </r>
  <r>
    <n v="3129"/>
    <s v="RIVER DAHA AT MEERGANJ NEAR BADARJHIMMI BAZAR,_x000a_GOPALGANJ"/>
    <x v="5"/>
    <n v="17"/>
    <n v="32"/>
    <n v="5.6"/>
    <n v="7.9"/>
    <n v="7.3"/>
    <n v="8.1"/>
    <n v="193"/>
    <n v="499"/>
    <n v="1.8"/>
    <n v="2.9"/>
    <n v="0.3"/>
    <n v="0.3"/>
    <n v="1300"/>
    <n v="35000"/>
    <n v="2300"/>
    <n v="54000"/>
    <m/>
    <m/>
    <n v="2.61"/>
  </r>
  <r>
    <n v="4292"/>
    <s v="RIVER DAHA U/S SASAMUSA, GOPALGANJ"/>
    <x v="5"/>
    <n v="18"/>
    <n v="31"/>
    <n v="6.2"/>
    <n v="8.9"/>
    <n v="7.3"/>
    <n v="8.1"/>
    <n v="227"/>
    <n v="435"/>
    <n v="1"/>
    <n v="2.9"/>
    <n v="0.3"/>
    <n v="0.3"/>
    <n v="1300"/>
    <n v="54000"/>
    <n v="2300"/>
    <n v="92000"/>
    <m/>
    <m/>
    <n v="1.45"/>
  </r>
  <r>
    <n v="4397"/>
    <s v="RIVER DAHA D/S AT RENUA, SIWAN"/>
    <x v="5"/>
    <n v="16"/>
    <n v="32"/>
    <n v="1"/>
    <n v="6.7"/>
    <n v="7.1"/>
    <n v="7.9"/>
    <n v="205"/>
    <n v="648"/>
    <n v="2.1"/>
    <n v="4.2"/>
    <n v="0.3"/>
    <n v="0.3"/>
    <n v="13000"/>
    <n v="92000"/>
    <n v="22000"/>
    <n v="160000"/>
    <m/>
    <m/>
    <n v="4.41"/>
  </r>
  <r>
    <n v="1823"/>
    <s v="RIVER DHOS AT SAHARGHAT, MADHUBANI"/>
    <x v="5"/>
    <n v="21"/>
    <n v="30"/>
    <n v="3.5"/>
    <n v="8.5"/>
    <n v="7.1"/>
    <n v="8.3000000000000007"/>
    <n v="224"/>
    <n v="332"/>
    <n v="1.3"/>
    <n v="3"/>
    <n v="0.3"/>
    <n v="0.9"/>
    <n v="7900"/>
    <n v="92000"/>
    <n v="11000"/>
    <n v="160000"/>
    <m/>
    <m/>
    <n v="1.9500000000000002"/>
  </r>
  <r>
    <n v="4405"/>
    <s v="RIVER DHOS AT MADHWAPUR, MADHUBANI"/>
    <x v="5"/>
    <n v="21"/>
    <n v="30"/>
    <n v="3"/>
    <n v="8.3000000000000007"/>
    <n v="7.2"/>
    <n v="8.3000000000000007"/>
    <n v="165"/>
    <n v="350"/>
    <n v="1.3"/>
    <n v="4"/>
    <n v="0.3"/>
    <n v="0.3"/>
    <n v="3300"/>
    <n v="92000"/>
    <n v="4900"/>
    <n v="160000"/>
    <m/>
    <m/>
    <n v="2.6"/>
  </r>
  <r>
    <n v="2559"/>
    <s v="RIVER RAMREKHA AT HARINAGAR, WEST CHAMPARAN"/>
    <x v="5"/>
    <n v="15"/>
    <n v="30"/>
    <n v="0.3"/>
    <n v="6.3"/>
    <n v="6.7"/>
    <n v="7.8"/>
    <n v="283"/>
    <n v="735"/>
    <n v="2.5"/>
    <n v="8"/>
    <n v="0.3"/>
    <n v="0.3"/>
    <n v="2300"/>
    <n v="92000"/>
    <n v="3300"/>
    <n v="160000"/>
    <m/>
    <m/>
    <n v="10"/>
  </r>
  <r>
    <n v="3130"/>
    <s v="RIVER RAMREKHA AT U/S HARINAGAR, WEST_x000a_CHAMPARAN"/>
    <x v="5"/>
    <n v="14"/>
    <n v="29"/>
    <n v="0.3"/>
    <n v="6.5"/>
    <n v="7.1"/>
    <n v="7.8"/>
    <n v="263"/>
    <n v="359"/>
    <n v="2.1"/>
    <n v="8"/>
    <n v="0.3"/>
    <n v="0.3"/>
    <n v="7000"/>
    <n v="92000"/>
    <n v="14000"/>
    <n v="160000"/>
    <m/>
    <m/>
    <n v="8.4"/>
  </r>
  <r>
    <n v="3132"/>
    <s v="RIVER BAGMATI AT MUZAFFARPUR- SITAMARHI ROAD_x000a_BRIDGE, SITAMARHI"/>
    <x v="5"/>
    <n v="19"/>
    <n v="30"/>
    <n v="7.1"/>
    <n v="9.8000000000000007"/>
    <n v="7.3"/>
    <n v="8.1999999999999993"/>
    <n v="236"/>
    <n v="359"/>
    <n v="1"/>
    <n v="2.2000000000000002"/>
    <n v="0.3"/>
    <n v="0.3"/>
    <n v="170"/>
    <n v="54000"/>
    <n v="790"/>
    <n v="92000"/>
    <m/>
    <m/>
    <n v="1.1000000000000001"/>
  </r>
  <r>
    <n v="3135"/>
    <s v="RIVER BAGMATI AT DARBHANGA, SAMASTIPUR ROAD_x000a_BRIDGE, DARBHANGA"/>
    <x v="5"/>
    <n v="21"/>
    <n v="30"/>
    <n v="5.9"/>
    <n v="9.5"/>
    <n v="7.5"/>
    <n v="8.4"/>
    <n v="168"/>
    <n v="372"/>
    <n v="1"/>
    <n v="2.9"/>
    <n v="0.3"/>
    <n v="0.3"/>
    <n v="1300"/>
    <n v="35000"/>
    <n v="2400"/>
    <n v="92000"/>
    <m/>
    <m/>
    <n v="1.45"/>
  </r>
  <r>
    <n v="2563"/>
    <s v="RIVER MANUSMAR AT RIGA, UPHRAULIA, SITAMARHI"/>
    <x v="5"/>
    <n v="20"/>
    <n v="31"/>
    <n v="6.4"/>
    <n v="9.8000000000000007"/>
    <n v="7.3"/>
    <n v="8.4"/>
    <n v="230"/>
    <n v="515"/>
    <n v="1"/>
    <n v="2.7"/>
    <n v="0.3"/>
    <n v="0.3"/>
    <n v="2300"/>
    <n v="24000"/>
    <n v="3300"/>
    <n v="54000"/>
    <m/>
    <m/>
    <n v="1.35"/>
  </r>
  <r>
    <n v="3131"/>
    <s v="RIVER MANUSMAR U/S (RIGA), SITAMARHI"/>
    <x v="5"/>
    <n v="19"/>
    <n v="31"/>
    <n v="6.9"/>
    <n v="9.6"/>
    <n v="7.2"/>
    <n v="8.3000000000000007"/>
    <n v="226"/>
    <n v="456"/>
    <n v="1"/>
    <n v="2.5"/>
    <n v="0.3"/>
    <n v="0.3"/>
    <n v="1700"/>
    <n v="24000"/>
    <n v="3300"/>
    <n v="35000"/>
    <m/>
    <m/>
    <n v="1.25"/>
  </r>
  <r>
    <n v="4402"/>
    <s v="RIVER MANUSMAR AT PARSHURAMPUR, RIGA -BELSAND ROAD, SITAMARHI"/>
    <x v="5"/>
    <n v="19"/>
    <n v="31"/>
    <n v="7.5"/>
    <n v="8.9"/>
    <n v="7.4"/>
    <n v="8.1999999999999993"/>
    <n v="336"/>
    <n v="369"/>
    <n v="1"/>
    <n v="1.9"/>
    <n v="0.3"/>
    <n v="0.3"/>
    <n v="1300"/>
    <n v="35000"/>
    <n v="3300"/>
    <n v="92000"/>
    <m/>
    <m/>
    <n v="0.95"/>
  </r>
  <r>
    <n v="2555"/>
    <s v="RIVER PUNPUN NEAR PATNA FATUHA ROAD BRIDGE,_x000a_FATUHA"/>
    <x v="5"/>
    <n v="14"/>
    <n v="33"/>
    <n v="0.3"/>
    <n v="6.7"/>
    <n v="7"/>
    <n v="8"/>
    <n v="280"/>
    <n v="925"/>
    <n v="1.8"/>
    <n v="5"/>
    <n v="0.3"/>
    <n v="0.3"/>
    <n v="22000"/>
    <n v="92000"/>
    <n v="28000"/>
    <n v="160000"/>
    <m/>
    <m/>
    <n v="4.5"/>
  </r>
  <r>
    <n v="3119"/>
    <s v="RIVER UNPUN NEAR PUNPUN ROAD BRIDGE, PUNPUN"/>
    <x v="5"/>
    <n v="13"/>
    <n v="29"/>
    <n v="7.5"/>
    <n v="8.6"/>
    <n v="7.5"/>
    <n v="8"/>
    <n v="230"/>
    <n v="462"/>
    <n v="1.1000000000000001"/>
    <n v="2.2000000000000002"/>
    <n v="0.3"/>
    <n v="0.3"/>
    <n v="7000"/>
    <n v="35000"/>
    <n v="11000"/>
    <n v="54000"/>
    <m/>
    <m/>
    <n v="1.2100000000000002"/>
  </r>
  <r>
    <n v="3120"/>
    <s v="RIVER PUNPUN AT KINJAR ROAD BRIDGE, JEHANABAD-ARWAL BORDER , JEHANABAD"/>
    <x v="5"/>
    <n v="10"/>
    <n v="31"/>
    <n v="7.3"/>
    <n v="9.5"/>
    <n v="7.5"/>
    <n v="8.4"/>
    <n v="222"/>
    <n v="365"/>
    <n v="1"/>
    <n v="2.6"/>
    <n v="0.3"/>
    <n v="0.3"/>
    <n v="450"/>
    <n v="28000"/>
    <n v="3300"/>
    <n v="92000"/>
    <m/>
    <m/>
    <n v="1.3"/>
  </r>
  <r>
    <n v="4406"/>
    <s v="RIVER PUNPUN AT OBRA, AURANGABAD"/>
    <x v="5"/>
    <n v="13"/>
    <n v="29"/>
    <n v="7.2"/>
    <n v="8.6"/>
    <n v="7.5"/>
    <n v="8.1999999999999993"/>
    <n v="198"/>
    <n v="430"/>
    <n v="1"/>
    <n v="2.1"/>
    <n v="0.3"/>
    <n v="0.3"/>
    <n v="7900"/>
    <n v="92000"/>
    <n v="11000"/>
    <n v="160000"/>
    <m/>
    <m/>
    <n v="1.05"/>
  </r>
  <r>
    <n v="4293"/>
    <s v="RIVER KOHRA U/S RAJ GHAT, MAJHAULIA, WEST_x000a_CHAMPARAN"/>
    <x v="5"/>
    <n v="20"/>
    <n v="32"/>
    <n v="3.6"/>
    <n v="11.4"/>
    <n v="7.2"/>
    <n v="7.8"/>
    <n v="246"/>
    <n v="580"/>
    <n v="1.5"/>
    <n v="3.1"/>
    <n v="0.3"/>
    <n v="0.3"/>
    <n v="1300"/>
    <n v="92000"/>
    <n v="2200"/>
    <n v="160000"/>
    <m/>
    <m/>
    <n v="2.3250000000000002"/>
  </r>
  <r>
    <n v="4294"/>
    <s v="RIVER KOHRA D/S NEAR RAILWAY BRIDGE, MAJHAULIA,_x000a_WEST CHAMPARAN"/>
    <x v="5"/>
    <n v="20"/>
    <n v="32"/>
    <n v="0.3"/>
    <n v="9.6999999999999993"/>
    <n v="7.3"/>
    <n v="8.3000000000000007"/>
    <n v="252"/>
    <n v="897"/>
    <n v="1.6"/>
    <n v="20"/>
    <n v="0.3"/>
    <n v="0.3"/>
    <n v="1300"/>
    <n v="92000"/>
    <n v="3300"/>
    <n v="160000"/>
    <m/>
    <m/>
    <n v="16"/>
  </r>
  <r>
    <n v="4399"/>
    <s v="RIVER HARHA AT BAGHA, LAURIYA ROAD BRIDGE"/>
    <x v="5"/>
    <n v="18"/>
    <n v="33"/>
    <n v="5.0999999999999996"/>
    <n v="9.8000000000000007"/>
    <n v="7.5"/>
    <n v="8.1"/>
    <n v="204"/>
    <n v="392"/>
    <n v="1"/>
    <n v="2.6"/>
    <n v="0.3"/>
    <n v="0.3"/>
    <n v="1100"/>
    <n v="54000"/>
    <n v="2100"/>
    <n v="92000"/>
    <m/>
    <m/>
    <n v="1.3"/>
  </r>
  <r>
    <n v="4400"/>
    <s v="RIVER LAKHANDEI U/S SITAMARHI AT MEHANDI NAGAR"/>
    <x v="5"/>
    <n v="19"/>
    <n v="30"/>
    <n v="5.2"/>
    <n v="9.4"/>
    <n v="7.5"/>
    <n v="8.1999999999999993"/>
    <n v="240"/>
    <n v="396"/>
    <n v="1"/>
    <n v="2.2000000000000002"/>
    <n v="0.3"/>
    <n v="0.3"/>
    <n v="1300"/>
    <n v="54000"/>
    <n v="2600"/>
    <n v="160000"/>
    <m/>
    <m/>
    <n v="1.1000000000000001"/>
  </r>
  <r>
    <n v="4401"/>
    <s v="RIVER LAKHANDEI D/S SITAMARHI AT PARORI ROAD_x000a_BRIDGE"/>
    <x v="5"/>
    <n v="19"/>
    <n v="30"/>
    <n v="4.0999999999999996"/>
    <n v="7.1"/>
    <n v="7.5"/>
    <n v="8.1"/>
    <n v="264"/>
    <n v="461"/>
    <n v="1.5"/>
    <n v="3.5"/>
    <n v="0.3"/>
    <n v="0.3"/>
    <n v="2100"/>
    <n v="92000"/>
    <n v="7000"/>
    <n v="160000"/>
    <m/>
    <m/>
    <n v="2.625"/>
  </r>
  <r>
    <n v="4404"/>
    <s v="RIVER GANGI AT ARA, D/S"/>
    <x v="5"/>
    <n v="18"/>
    <n v="29"/>
    <n v="1.5"/>
    <n v="6.2"/>
    <n v="7.5"/>
    <n v="8.1999999999999993"/>
    <n v="169"/>
    <n v="663"/>
    <n v="2.4"/>
    <n v="8"/>
    <n v="0.3"/>
    <n v="0.3"/>
    <n v="11000"/>
    <n v="92000"/>
    <n v="14000"/>
    <n v="160000"/>
    <m/>
    <m/>
    <n v="9.6"/>
  </r>
  <r>
    <n v="1824"/>
    <s v="RIVER PARMAR AT JOGBANI, ARARIA"/>
    <x v="5"/>
    <n v="16"/>
    <n v="34"/>
    <n v="6.4"/>
    <n v="8.5"/>
    <n v="7.3"/>
    <n v="8"/>
    <n v="210"/>
    <n v="341"/>
    <n v="1"/>
    <n v="2.6"/>
    <n v="0.3"/>
    <n v="0.3"/>
    <n v="4900"/>
    <n v="92000"/>
    <n v="7900"/>
    <n v="160000"/>
    <m/>
    <m/>
    <n v="1.3"/>
  </r>
  <r>
    <n v="2117"/>
    <s v="RIVER BICHIA,GOVINDGARH ROAD BRIDGE ,NEAR_x000a_INTAKE POINT,REWA"/>
    <x v="10"/>
    <n v="21.2"/>
    <n v="29.5"/>
    <n v="6.4"/>
    <n v="7.2"/>
    <n v="7.1"/>
    <n v="8.5"/>
    <n v="258"/>
    <n v="571"/>
    <n v="1.8"/>
    <n v="2.8"/>
    <n v="0.71"/>
    <n v="1.06"/>
    <n v="2"/>
    <n v="8"/>
    <n v="63"/>
    <n v="94"/>
    <n v="2"/>
    <n v="2"/>
    <n v="2.52"/>
  </r>
  <r>
    <n v="1433"/>
    <s v="RIVER SANKH AT TIGRA RESERVOIR, M.P."/>
    <x v="10"/>
    <n v="15"/>
    <n v="31.1"/>
    <n v="1.6"/>
    <n v="8.6999999999999993"/>
    <n v="7.2"/>
    <n v="7.7"/>
    <n v="128"/>
    <n v="620"/>
    <n v="1.1000000000000001"/>
    <n v="1.8"/>
    <n v="0.4"/>
    <n v="1.2"/>
    <n v="2"/>
    <n v="6"/>
    <n v="10"/>
    <n v="24"/>
    <m/>
    <m/>
    <n v="0.9900000000000001"/>
  </r>
  <r>
    <n v="1075"/>
    <s v="RIVER SONE AT KOILWAR, NEAR MANDIR, BHOJPUR"/>
    <x v="5"/>
    <n v="15"/>
    <n v="29"/>
    <n v="7.9"/>
    <n v="8.9"/>
    <n v="7"/>
    <n v="8.1"/>
    <n v="133"/>
    <n v="254"/>
    <n v="1"/>
    <n v="2"/>
    <n v="0.3"/>
    <n v="0.3"/>
    <n v="490"/>
    <n v="7900"/>
    <n v="790"/>
    <n v="17000"/>
    <m/>
    <m/>
    <n v="1"/>
  </r>
  <r>
    <n v="3127"/>
    <s v="RIVER SONE AT BAHIYARA, BHOJPUR"/>
    <x v="5"/>
    <n v="16"/>
    <n v="28"/>
    <n v="7.6"/>
    <n v="8.8000000000000007"/>
    <n v="7.2"/>
    <n v="8.1999999999999993"/>
    <n v="137"/>
    <n v="268"/>
    <n v="1"/>
    <n v="2"/>
    <n v="0.3"/>
    <n v="0.3"/>
    <n v="330"/>
    <n v="17000"/>
    <n v="490"/>
    <n v="28000"/>
    <m/>
    <m/>
    <n v="1"/>
  </r>
  <r>
    <n v="4913"/>
    <s v="RIVER SONE AT ARWAL NEAR BALUGHAT (SAHAR)"/>
    <x v="5"/>
    <n v="10"/>
    <n v="32"/>
    <n v="7.5"/>
    <n v="8.9"/>
    <n v="7.3"/>
    <n v="8.1999999999999993"/>
    <n v="166"/>
    <n v="394"/>
    <n v="1"/>
    <n v="2.8"/>
    <n v="0.3"/>
    <n v="0.3"/>
    <n v="130"/>
    <n v="35000"/>
    <n v="230"/>
    <n v="54000"/>
    <m/>
    <m/>
    <n v="1.4"/>
  </r>
  <r>
    <n v="3128"/>
    <s v="RIVER SONE AT NASIRIGANJ DAM, ROHTAS"/>
    <x v="5"/>
    <n v="15"/>
    <n v="33"/>
    <n v="7.5"/>
    <n v="9.1999999999999993"/>
    <n v="7.4"/>
    <n v="8.1999999999999993"/>
    <n v="143"/>
    <n v="359"/>
    <n v="1"/>
    <n v="3"/>
    <n v="0.3"/>
    <n v="0.3"/>
    <n v="1300"/>
    <n v="92000"/>
    <n v="2300"/>
    <n v="160000"/>
    <m/>
    <m/>
    <n v="1.5"/>
  </r>
  <r>
    <n v="4298"/>
    <s v="RIVER SONE AT ROAD BRIDGE-DEHRI-ON-SONE,_x000a_ROHTAS"/>
    <x v="5"/>
    <n v="10"/>
    <n v="30"/>
    <n v="7.5"/>
    <n v="8.9"/>
    <n v="7.4"/>
    <n v="8.1"/>
    <n v="137"/>
    <n v="341"/>
    <n v="1"/>
    <n v="2.1"/>
    <n v="0.3"/>
    <n v="0.3"/>
    <n v="1100"/>
    <n v="28000"/>
    <n v="1700"/>
    <n v="35000"/>
    <m/>
    <m/>
    <n v="1.05"/>
  </r>
  <r>
    <n v="2556"/>
    <s v="RIVER SONE AT INDRAPURI DAM, DEHRI ON SONE,_x000a_ROHTAS"/>
    <x v="5"/>
    <n v="14"/>
    <n v="31"/>
    <n v="7.6"/>
    <n v="9.5"/>
    <n v="7.5"/>
    <n v="8.1"/>
    <n v="126"/>
    <n v="302"/>
    <n v="1"/>
    <n v="2.5"/>
    <n v="0.3"/>
    <n v="0.3"/>
    <n v="1300"/>
    <n v="17000"/>
    <n v="2300"/>
    <n v="28000"/>
    <m/>
    <m/>
    <n v="1.25"/>
  </r>
  <r>
    <n v="4407"/>
    <s v="RIVER SONE AT WATER INTAKE POINT BHARTIYA RAIL_x000a_BIJALI CO. LTD (BRBCL) NAVINAGAR, AURANGABAD"/>
    <x v="5"/>
    <n v="13"/>
    <n v="33"/>
    <n v="7.5"/>
    <n v="8.5"/>
    <n v="7.3"/>
    <n v="8.1"/>
    <n v="144"/>
    <n v="225"/>
    <n v="1"/>
    <n v="2.6"/>
    <n v="0.3"/>
    <n v="0.3"/>
    <n v="780"/>
    <n v="35000"/>
    <n v="2300"/>
    <n v="92000"/>
    <m/>
    <m/>
    <n v="1.3"/>
  </r>
  <r>
    <n v="3121"/>
    <s v="RIVER SONE AT BANJARI NEAR BANJARI NEAR SUN_x000a_TEMPLE KALYANPUR, ROHTAS"/>
    <x v="5"/>
    <n v="15"/>
    <n v="30"/>
    <n v="7"/>
    <n v="9.1999999999999993"/>
    <n v="7.4"/>
    <n v="8.1"/>
    <n v="127"/>
    <n v="318"/>
    <n v="1"/>
    <n v="2.1"/>
    <n v="0.3"/>
    <n v="0.3"/>
    <n v="790"/>
    <n v="35000"/>
    <n v="1300"/>
    <n v="92000"/>
    <m/>
    <m/>
    <n v="1.05"/>
  </r>
  <r>
    <n v="30081"/>
    <s v="RIVER SONE AT ROAD BRIDGE CHOPAN,DIST-SONEBHADRA (U.P.)"/>
    <x v="4"/>
    <n v="21"/>
    <n v="27.2"/>
    <n v="7"/>
    <n v="10.7"/>
    <n v="7.3"/>
    <n v="8.3000000000000007"/>
    <n v="200"/>
    <n v="358"/>
    <n v="1"/>
    <n v="1"/>
    <n v="0.32"/>
    <n v="0.32"/>
    <n v="2"/>
    <n v="17000"/>
    <n v="2"/>
    <n v="33000"/>
    <n v="2"/>
    <n v="2"/>
    <n v="0.5"/>
  </r>
  <r>
    <n v="30082"/>
    <s v="RIVER SONE UPSTREAM TOWARDS DEORA, DIST-SINGRAULI (M. P.)"/>
    <x v="10"/>
    <n v="21.5"/>
    <n v="27.3"/>
    <n v="7.4"/>
    <n v="10.9"/>
    <n v="7.3"/>
    <n v="8"/>
    <n v="254"/>
    <n v="324"/>
    <n v="1"/>
    <n v="2.2999999999999998"/>
    <n v="0.32"/>
    <n v="0.32"/>
    <n v="2"/>
    <n v="4500"/>
    <n v="2"/>
    <n v="7800"/>
    <n v="2"/>
    <n v="2"/>
    <n v="1.1499999999999999"/>
  </r>
  <r>
    <n v="4604"/>
    <s v="RIVER RIVER SONE AT VILLAGE- KHAIRPUR,(KUDHERI)_x000a_M.P- U.P.BOUNDARY, DISTT SIDHI"/>
    <x v="10"/>
    <n v="19.600000000000001"/>
    <n v="29.1"/>
    <n v="7"/>
    <n v="7.5"/>
    <n v="7.7"/>
    <n v="7.9"/>
    <n v="290"/>
    <n v="372"/>
    <n v="1.3"/>
    <n v="1.5"/>
    <n v="0.5"/>
    <n v="0.95"/>
    <n v="2"/>
    <n v="2"/>
    <n v="41"/>
    <n v="46"/>
    <n v="2"/>
    <n v="2"/>
    <n v="0.97500000000000009"/>
  </r>
  <r>
    <n v="3834"/>
    <s v="RIVER SONE AT CHITAWAL NEAR ROAD BRIDGE_x000a_CHITRANGI, DIST_x000a_SINGROULI"/>
    <x v="10"/>
    <n v="24"/>
    <n v="27.3"/>
    <n v="5.8"/>
    <n v="8.9"/>
    <n v="7.5"/>
    <n v="8.4"/>
    <n v="265"/>
    <n v="680"/>
    <n v="1.6"/>
    <n v="7"/>
    <n v="0"/>
    <n v="3.99"/>
    <n v="2"/>
    <n v="2"/>
    <n v="50"/>
    <n v="78"/>
    <m/>
    <m/>
    <n v="5.6000000000000005"/>
  </r>
  <r>
    <n v="3836"/>
    <s v="RIVER SONE ON KACHAN DAM NEAR IMILYA NORTH_x000a_COAL MINES VILL MAJHOULI, DIST SINGROULI"/>
    <x v="10"/>
    <n v="25"/>
    <n v="28.2"/>
    <n v="5.5"/>
    <n v="7.1"/>
    <n v="7.5"/>
    <n v="7.5"/>
    <n v="255"/>
    <n v="306"/>
    <n v="1.1000000000000001"/>
    <n v="1.9"/>
    <n v="0"/>
    <n v="0"/>
    <m/>
    <m/>
    <m/>
    <m/>
    <m/>
    <m/>
    <n v="1.0449999999999999"/>
  </r>
  <r>
    <n v="3851"/>
    <s v="RIVER SONE NEAR BHANVARSEN ROAD BRIDGE AFTER_x000a_CONFLUENCE OF BANAS RIVER, DIST SIDHI"/>
    <x v="10"/>
    <n v="18.5"/>
    <n v="29.5"/>
    <n v="7.3"/>
    <n v="7.9"/>
    <n v="7.7"/>
    <n v="7.9"/>
    <n v="302"/>
    <n v="332"/>
    <n v="1.2"/>
    <n v="1.6"/>
    <n v="0.44"/>
    <n v="0.64"/>
    <n v="2"/>
    <n v="2"/>
    <n v="46"/>
    <n v="70"/>
    <n v="2"/>
    <n v="2"/>
    <n v="0.96"/>
  </r>
  <r>
    <n v="3329"/>
    <s v="RIVER SONE AT CHURHAT,DISTT.SIDHI"/>
    <x v="10"/>
    <n v="18.600000000000001"/>
    <n v="31.1"/>
    <n v="7"/>
    <n v="7.6"/>
    <n v="7.8"/>
    <n v="8"/>
    <n v="208"/>
    <n v="326"/>
    <n v="1"/>
    <n v="1.8"/>
    <n v="0.45"/>
    <n v="0.83"/>
    <n v="2"/>
    <n v="18"/>
    <n v="43"/>
    <n v="49"/>
    <n v="2"/>
    <n v="2"/>
    <n v="0.9"/>
  </r>
  <r>
    <n v="3852"/>
    <s v="BANSAGAR CANAL AT SON RIVER, WATER SAMPLE AT_x000a_BAGHWAR VILLAGE, NEAR TOL PLAZA, DIST SIDHI"/>
    <x v="10"/>
    <n v="20"/>
    <n v="29.3"/>
    <n v="7.1"/>
    <n v="7.8"/>
    <n v="7.6"/>
    <n v="8"/>
    <n v="226"/>
    <n v="388"/>
    <n v="1.1000000000000001"/>
    <n v="1.6"/>
    <n v="0.37"/>
    <n v="0.95"/>
    <n v="2"/>
    <n v="2"/>
    <n v="34"/>
    <n v="58"/>
    <n v="2"/>
    <n v="2"/>
    <n v="0.88000000000000012"/>
  </r>
  <r>
    <n v="1612"/>
    <s v="RIVER SONE AT DEVLOAD OUT LET OF BANSAGAR DAM,_x000a_M.P"/>
    <x v="10"/>
    <n v="23.4"/>
    <n v="30.5"/>
    <n v="6.7"/>
    <n v="8.1"/>
    <n v="7.2"/>
    <n v="7.9"/>
    <n v="189"/>
    <n v="378"/>
    <n v="1"/>
    <n v="1.5"/>
    <n v="0.32"/>
    <n v="1.1200000000000001"/>
    <n v="2"/>
    <n v="2"/>
    <n v="3"/>
    <n v="50"/>
    <n v="2"/>
    <n v="2"/>
    <n v="0.75"/>
  </r>
  <r>
    <n v="1371"/>
    <s v="RIVER SONE AT AMLAI, M.P."/>
    <x v="10"/>
    <n v="23.5"/>
    <n v="30.4"/>
    <n v="6.6"/>
    <n v="8.1"/>
    <n v="7"/>
    <n v="8.4"/>
    <n v="205"/>
    <n v="413"/>
    <n v="1"/>
    <n v="1.8"/>
    <n v="0.32"/>
    <n v="1.3"/>
    <n v="2"/>
    <n v="2"/>
    <n v="27"/>
    <n v="73"/>
    <n v="2"/>
    <n v="2"/>
    <n v="0.9"/>
  </r>
  <r>
    <n v="3846"/>
    <s v="RIVER SONE AT JARWAHI NEAR ROAD BRIDGE,_x000a_SHAHDOL"/>
    <x v="10"/>
    <n v="23.4"/>
    <n v="30.5"/>
    <n v="6.7"/>
    <n v="9.1999999999999993"/>
    <n v="7.2"/>
    <n v="8.1999999999999993"/>
    <n v="206"/>
    <n v="2164"/>
    <n v="1"/>
    <n v="1.8"/>
    <n v="0.32"/>
    <n v="0.44"/>
    <n v="2"/>
    <n v="2"/>
    <n v="31"/>
    <n v="70"/>
    <n v="2"/>
    <n v="2"/>
    <n v="0.9"/>
  </r>
  <r>
    <n v="3327"/>
    <s v="RIVER SONE AT BHATURAGHAT NEAR ROAD BRIDGE,_x000a_AMLAI"/>
    <x v="10"/>
    <n v="23.4"/>
    <n v="30.4"/>
    <n v="6.6"/>
    <n v="7.6"/>
    <n v="6.9"/>
    <n v="8.3000000000000007"/>
    <n v="204"/>
    <n v="515"/>
    <n v="1.2"/>
    <n v="1.6"/>
    <n v="0.38"/>
    <n v="1.05"/>
    <n v="2"/>
    <n v="2"/>
    <n v="41"/>
    <n v="73"/>
    <n v="2"/>
    <n v="2"/>
    <n v="0.96"/>
  </r>
  <r>
    <n v="1142"/>
    <s v="RIVER SONE AT CHACHAI, M.P."/>
    <x v="10"/>
    <n v="23.4"/>
    <n v="30.4"/>
    <n v="6.7"/>
    <n v="8.1999999999999993"/>
    <n v="7.3"/>
    <n v="8.1999999999999993"/>
    <n v="203"/>
    <n v="426"/>
    <n v="1"/>
    <n v="1.7"/>
    <n v="0.32"/>
    <n v="14.82"/>
    <n v="2"/>
    <n v="2"/>
    <n v="27"/>
    <n v="84"/>
    <n v="2"/>
    <n v="2"/>
    <n v="0.85"/>
  </r>
  <r>
    <n v="1610"/>
    <s v="RIVER SONE AT ORIGIN AMARKANTAK, M.P"/>
    <x v="10"/>
    <n v="23.4"/>
    <n v="29.5"/>
    <n v="6.6"/>
    <n v="7.8"/>
    <n v="6.5"/>
    <n v="8"/>
    <n v="136"/>
    <n v="197"/>
    <n v="1"/>
    <n v="1.2"/>
    <n v="0.32"/>
    <n v="0.32"/>
    <n v="2"/>
    <n v="2"/>
    <n v="2"/>
    <n v="6"/>
    <n v="2"/>
    <n v="2"/>
    <n v="0.6"/>
  </r>
  <r>
    <n v="3835"/>
    <s v="GOPAD AT NIGARI, SARAI DIST, SINGROULI"/>
    <x v="10"/>
    <n v="25"/>
    <n v="26"/>
    <n v="7"/>
    <n v="7.1"/>
    <n v="7.5"/>
    <n v="7.6"/>
    <n v="240"/>
    <n v="250"/>
    <n v="1.8"/>
    <n v="1.9"/>
    <n v="0"/>
    <n v="0"/>
    <m/>
    <m/>
    <m/>
    <m/>
    <m/>
    <m/>
    <n v="1.71"/>
  </r>
  <r>
    <n v="1611"/>
    <s v="RIVER JOHILA NEAR NAROJABAD NEAR UMARIA ROAD_x000a_BRIDGE, M.P"/>
    <x v="10"/>
    <n v="23.5"/>
    <n v="30.5"/>
    <n v="6.7"/>
    <n v="8.1"/>
    <n v="7.2"/>
    <n v="8.1"/>
    <n v="189"/>
    <n v="447"/>
    <n v="1"/>
    <n v="1.6"/>
    <n v="0.32"/>
    <n v="0.5"/>
    <n v="2"/>
    <n v="2"/>
    <n v="27"/>
    <n v="73"/>
    <n v="2"/>
    <n v="2"/>
    <n v="0.8"/>
  </r>
  <r>
    <n v="2116"/>
    <s v="RIVER BEEHAR D/S NEAR FOREST OFFICE"/>
    <x v="10"/>
    <n v="21.6"/>
    <n v="30.9"/>
    <n v="6.5"/>
    <n v="7.6"/>
    <n v="7.5"/>
    <n v="8.3000000000000007"/>
    <n v="269"/>
    <n v="388"/>
    <n v="1.4"/>
    <n v="2"/>
    <n v="0.53"/>
    <n v="1.1499999999999999"/>
    <n v="2"/>
    <n v="2"/>
    <n v="43"/>
    <n v="49"/>
    <n v="2"/>
    <n v="2"/>
    <n v="1.4"/>
  </r>
  <r>
    <n v="1608"/>
    <s v="RIVER SINDH AT DABRA, M.P"/>
    <x v="10"/>
    <n v="18"/>
    <n v="24"/>
    <n v="7"/>
    <n v="8"/>
    <n v="7.1"/>
    <n v="7.7"/>
    <n v="300"/>
    <n v="540"/>
    <n v="1.4"/>
    <n v="1.8"/>
    <n v="0.3"/>
    <n v="1.3"/>
    <n v="2"/>
    <n v="6"/>
    <n v="14"/>
    <n v="36"/>
    <m/>
    <m/>
    <n v="1.26"/>
  </r>
  <r>
    <n v="3306"/>
    <s v="RIVER CHOUPAN U/S AT_x000a_VIJAYPUR , GUNA"/>
    <x v="10"/>
    <n v="18"/>
    <n v="32"/>
    <n v="7"/>
    <n v="8"/>
    <n v="7.2"/>
    <n v="7.8"/>
    <n v="290"/>
    <n v="564"/>
    <n v="1.4"/>
    <n v="2.5"/>
    <n v="0.3"/>
    <n v="2.5099999999999998"/>
    <n v="2"/>
    <n v="5"/>
    <n v="22"/>
    <n v="28"/>
    <m/>
    <m/>
    <n v="1.75"/>
  </r>
  <r>
    <n v="3307"/>
    <s v="RIVER CHOUPAN D/S AFTER NFL NALLA, AT VIJAYPUR_x000a_,GUNA"/>
    <x v="10"/>
    <n v="18"/>
    <n v="32"/>
    <n v="6.9"/>
    <n v="7.9"/>
    <n v="7"/>
    <n v="8"/>
    <n v="290"/>
    <n v="640"/>
    <n v="1.6"/>
    <n v="2.7"/>
    <n v="0.3"/>
    <n v="2.5"/>
    <n v="2"/>
    <n v="7"/>
    <n v="18"/>
    <n v="28"/>
    <m/>
    <m/>
    <n v="2.16"/>
  </r>
  <r>
    <n v="3311"/>
    <s v="RIVER JAMUNI AT BARIYAGHAT U/S NEAR INTAKE_x000a_POINT, TIKAMGARH"/>
    <x v="10"/>
    <n v="23"/>
    <n v="32"/>
    <n v="7.2"/>
    <n v="9"/>
    <n v="7.6"/>
    <n v="8.1"/>
    <n v="360"/>
    <n v="415"/>
    <n v="1"/>
    <n v="2.1"/>
    <n v="0.34"/>
    <n v="1.18"/>
    <n v="2"/>
    <n v="2"/>
    <n v="21"/>
    <n v="48"/>
    <n v="2"/>
    <n v="2"/>
    <n v="1.05"/>
  </r>
  <r>
    <n v="2401"/>
    <s v="RIVER AJAY AT MASANJORE DAM"/>
    <x v="6"/>
    <n v="15"/>
    <n v="37"/>
    <n v="5.7"/>
    <n v="7.2"/>
    <n v="7.4"/>
    <n v="7.7"/>
    <n v="102"/>
    <n v="134"/>
    <n v="1.1000000000000001"/>
    <n v="1.4"/>
    <n v="0"/>
    <n v="0"/>
    <m/>
    <m/>
    <m/>
    <m/>
    <m/>
    <m/>
    <n v="0.77"/>
  </r>
  <r>
    <n v="4490"/>
    <s v="RIVER KURWA DUMKA WATER INTAKE POINT"/>
    <x v="6"/>
    <n v="15"/>
    <n v="36"/>
    <n v="7.1"/>
    <n v="8.6999999999999993"/>
    <n v="7.4"/>
    <n v="7.6"/>
    <n v="88"/>
    <n v="220"/>
    <n v="1"/>
    <n v="1.3"/>
    <n v="0"/>
    <n v="0"/>
    <m/>
    <m/>
    <m/>
    <m/>
    <m/>
    <m/>
    <n v="0.65"/>
  </r>
  <r>
    <n v="4745"/>
    <s v="RIVER KHARKHAI BEFORE MEETING SWARNREKHA_x000a_RIVER"/>
    <x v="6"/>
    <n v="15.4"/>
    <n v="36"/>
    <n v="6.2"/>
    <n v="8.1999999999999993"/>
    <n v="6.3"/>
    <n v="8.4"/>
    <n v="216"/>
    <n v="369"/>
    <n v="1.8"/>
    <n v="4.8"/>
    <n v="0"/>
    <n v="0"/>
    <m/>
    <m/>
    <m/>
    <m/>
    <m/>
    <m/>
    <n v="4.32"/>
  </r>
  <r>
    <n v="4747"/>
    <s v="RIVER KOINA RIVER, MANOHARPUR, W.S"/>
    <x v="6"/>
    <n v="19.2"/>
    <n v="37"/>
    <n v="6.9"/>
    <n v="8.1"/>
    <n v="7.2"/>
    <n v="8.3000000000000007"/>
    <n v="234"/>
    <n v="481"/>
    <n v="1.2"/>
    <n v="3.1"/>
    <n v="0"/>
    <n v="0"/>
    <m/>
    <m/>
    <m/>
    <m/>
    <m/>
    <m/>
    <n v="1.8599999999999999"/>
  </r>
  <r>
    <n v="2567"/>
    <s v="RIVER KAMALA AT BENIPATTI (MADHUBANI)"/>
    <x v="5"/>
    <n v="21"/>
    <n v="30"/>
    <n v="6.2"/>
    <n v="9.8000000000000007"/>
    <n v="7.1"/>
    <n v="8.4"/>
    <n v="160"/>
    <n v="365"/>
    <n v="1"/>
    <n v="3"/>
    <n v="0.3"/>
    <n v="0.3"/>
    <n v="7000"/>
    <n v="54000"/>
    <n v="11000"/>
    <n v="92000"/>
    <m/>
    <m/>
    <n v="1.5"/>
  </r>
  <r>
    <n v="2569"/>
    <s v="RIVER KAMALA AT GAUSAGHAT, DARBHANGA"/>
    <x v="5"/>
    <n v="14"/>
    <n v="29"/>
    <n v="2.2000000000000002"/>
    <n v="7.2"/>
    <n v="7.4"/>
    <n v="7.9"/>
    <n v="131"/>
    <n v="864"/>
    <n v="1.4"/>
    <n v="4"/>
    <n v="0.3"/>
    <n v="0.3"/>
    <n v="4900"/>
    <n v="92000"/>
    <n v="17000"/>
    <n v="160000"/>
    <m/>
    <m/>
    <n v="2.8"/>
  </r>
  <r>
    <n v="3133"/>
    <s v="RIVER KAMALA AT KAMALA GHAT NEAR BARRAGE_x000a_ATJAYNAGAR , MADHUBANI"/>
    <x v="5"/>
    <n v="20"/>
    <n v="30"/>
    <n v="6.8"/>
    <n v="9.1"/>
    <n v="7.3"/>
    <n v="8.3000000000000007"/>
    <n v="222"/>
    <n v="335"/>
    <n v="1"/>
    <n v="2.2000000000000002"/>
    <n v="0.3"/>
    <n v="0.3"/>
    <n v="3300"/>
    <n v="92000"/>
    <n v="7900"/>
    <n v="160000"/>
    <m/>
    <m/>
    <n v="1.1000000000000001"/>
  </r>
  <r>
    <n v="4299"/>
    <s v="RIVER KAMALA (BIHAR) AT JEEWACH GHAT,_x000a_DARBHANGA"/>
    <x v="5"/>
    <n v="18"/>
    <n v="27"/>
    <n v="6.1"/>
    <n v="9.1999999999999993"/>
    <n v="7.1"/>
    <n v="8.3000000000000007"/>
    <n v="176"/>
    <n v="511"/>
    <n v="1"/>
    <n v="2.6"/>
    <n v="0.3"/>
    <n v="0.3"/>
    <n v="4900"/>
    <n v="92000"/>
    <n v="7900"/>
    <n v="160000"/>
    <m/>
    <m/>
    <n v="1.3"/>
  </r>
  <r>
    <n v="2572"/>
    <s v="RIVER MAHANANDA AT THAKURGANJ, KISHANGANJ_x000a_ROAD BRIDGE, KISHANGANJ"/>
    <x v="5"/>
    <n v="16"/>
    <n v="34"/>
    <n v="6.9"/>
    <n v="8.4"/>
    <n v="7.4"/>
    <n v="8"/>
    <n v="105"/>
    <n v="232"/>
    <n v="1.3"/>
    <n v="2.5"/>
    <n v="0.3"/>
    <n v="0.3"/>
    <n v="130"/>
    <n v="17000"/>
    <n v="220"/>
    <n v="54000"/>
    <m/>
    <m/>
    <n v="1.625"/>
  </r>
  <r>
    <n v="1336"/>
    <s v="RIVER BARAKAR AT ASANSOL (WATER INTAKE POINT),_x000a_BURDWAN,WEST BENGAL"/>
    <x v="7"/>
    <n v="22"/>
    <n v="34"/>
    <n v="7.6"/>
    <n v="8.9"/>
    <n v="7.4"/>
    <n v="8.1999999999999993"/>
    <n v="135"/>
    <n v="416"/>
    <n v="2"/>
    <n v="2.9"/>
    <n v="0.3"/>
    <n v="1.91"/>
    <n v="1700"/>
    <n v="3200"/>
    <n v="2100"/>
    <n v="4000"/>
    <n v="17"/>
    <n v="27"/>
    <n v="2.9"/>
  </r>
  <r>
    <n v="1331"/>
    <s v="RIVER DAMODAR AT DISHERGARH VILL.(NR.BIHAR-WEST BENGAL BORDER) , BURDWAN,WEST BENGAL"/>
    <x v="7"/>
    <n v="21"/>
    <n v="33"/>
    <n v="7.6"/>
    <n v="9"/>
    <n v="6.7"/>
    <n v="8.1"/>
    <n v="167"/>
    <n v="370"/>
    <n v="1.9"/>
    <n v="2.8"/>
    <n v="0.3"/>
    <n v="1.73"/>
    <n v="1400"/>
    <n v="3200"/>
    <n v="2400"/>
    <n v="4900"/>
    <n v="14"/>
    <n v="3300"/>
    <n v="2.6599999999999997"/>
  </r>
  <r>
    <n v="1332"/>
    <s v="RIVER DAMODAR AT D/S OF IISCO AFTER 3RD OUTFALL_x000a_AT DHENNA VILLAGE, BURDWAN,WEST BENGAL"/>
    <x v="7"/>
    <n v="21"/>
    <n v="33"/>
    <n v="7.6"/>
    <n v="8.8000000000000007"/>
    <n v="7.1"/>
    <n v="8.1999999999999993"/>
    <n v="193"/>
    <n v="407"/>
    <n v="2"/>
    <n v="2.7"/>
    <n v="0.3"/>
    <n v="1.42"/>
    <n v="1700"/>
    <n v="2700"/>
    <n v="2600"/>
    <n v="4700"/>
    <n v="17"/>
    <n v="26"/>
    <n v="2.7"/>
  </r>
  <r>
    <n v="1333"/>
    <s v="RIVER DAMODAR AT NARAINPUR AFTER CONFL. OF_x000a_NUNIA NALLAH, BURDWAN,WEST BENGAL"/>
    <x v="7"/>
    <n v="21"/>
    <n v="34"/>
    <n v="7.6"/>
    <n v="8.6999999999999993"/>
    <n v="6.8"/>
    <n v="7.9"/>
    <n v="172"/>
    <n v="625"/>
    <n v="2.1"/>
    <n v="2.9"/>
    <n v="0.3"/>
    <n v="2.91"/>
    <n v="1700"/>
    <n v="3200"/>
    <n v="2100"/>
    <n v="4000"/>
    <n v="17"/>
    <n v="32"/>
    <n v="3.0449999999999999"/>
  </r>
  <r>
    <n v="1334"/>
    <s v="RIVER DAMODAR NEAR MUJHER MANA VILLAGE AFTER_x000a_CONF. OF TAMLA NALLAH, BURDWAN,WEST BENGAL"/>
    <x v="7"/>
    <n v="19"/>
    <n v="34"/>
    <n v="6.7"/>
    <n v="8.5"/>
    <n v="6.9"/>
    <n v="8.1999999999999993"/>
    <n v="218"/>
    <n v="481"/>
    <n v="2.2000000000000002"/>
    <n v="3.8"/>
    <n v="0.3"/>
    <n v="2.48"/>
    <n v="1400"/>
    <n v="3300"/>
    <n v="1700"/>
    <n v="4000"/>
    <n v="17"/>
    <n v="26"/>
    <n v="4.18"/>
  </r>
  <r>
    <n v="2527"/>
    <s v="RIVER WATER INTAKE POINT FOR BURDWAN TOWN,_x000a_BURDWAN"/>
    <x v="7"/>
    <n v="19"/>
    <n v="33"/>
    <n v="7.5"/>
    <n v="8.9"/>
    <n v="6.2"/>
    <n v="8.3000000000000007"/>
    <n v="213"/>
    <n v="477"/>
    <n v="2"/>
    <n v="2.7"/>
    <n v="0.3"/>
    <n v="1.8"/>
    <n v="1100"/>
    <n v="2600"/>
    <n v="1700"/>
    <n v="3900"/>
    <n v="14"/>
    <n v="26"/>
    <n v="2.7"/>
  </r>
  <r>
    <n v="30066"/>
    <s v="RIVER DAMODAR AT SINDRI"/>
    <x v="6"/>
    <n v="20"/>
    <n v="35"/>
    <n v="5.2"/>
    <n v="10.8"/>
    <n v="7.3"/>
    <n v="8.5"/>
    <n v="304"/>
    <n v="513"/>
    <n v="1"/>
    <n v="4"/>
    <n v="0.32"/>
    <n v="0.99"/>
    <n v="2200"/>
    <n v="7900"/>
    <n v="17000"/>
    <n v="170000"/>
    <n v="45"/>
    <n v="130"/>
    <n v="2"/>
  </r>
  <r>
    <n v="30065"/>
    <s v="RIVER DAMODAR AT DISHERGARH (WEST BENGAL)"/>
    <x v="7"/>
    <n v="18"/>
    <n v="34"/>
    <n v="6.3"/>
    <n v="8.4"/>
    <n v="7"/>
    <n v="8"/>
    <n v="185"/>
    <n v="313"/>
    <n v="1"/>
    <n v="1"/>
    <n v="0.32"/>
    <n v="0.43"/>
    <n v="490"/>
    <n v="35000"/>
    <n v="1300"/>
    <n v="540000"/>
    <n v="2"/>
    <n v="2400"/>
    <n v="0.5"/>
  </r>
  <r>
    <n v="10107"/>
    <s v="RIVER DAMODAR AT ANDAL U/S, BURDWAN"/>
    <x v="7"/>
    <n v="21"/>
    <n v="34"/>
    <n v="7.5"/>
    <n v="9"/>
    <n v="7.2"/>
    <n v="8.1999999999999993"/>
    <n v="195"/>
    <n v="739"/>
    <n v="2.1"/>
    <n v="2.8"/>
    <n v="0.3"/>
    <n v="1.2"/>
    <n v="1400"/>
    <n v="2600"/>
    <n v="2600"/>
    <n v="4000"/>
    <n v="17"/>
    <n v="32"/>
    <n v="2.94"/>
  </r>
  <r>
    <n v="10108"/>
    <s v="RIVER DAMODAR AT ANDAL D/S, BURDWAN"/>
    <x v="7"/>
    <n v="20"/>
    <n v="35"/>
    <n v="7.6"/>
    <n v="8.9"/>
    <n v="7.4"/>
    <n v="8.1999999999999993"/>
    <n v="195"/>
    <n v="471"/>
    <n v="2.2999999999999998"/>
    <n v="2.8"/>
    <n v="0.3"/>
    <n v="1.3"/>
    <n v="1700"/>
    <n v="3300"/>
    <n v="2200"/>
    <n v="4000"/>
    <n v="17"/>
    <n v="26"/>
    <n v="3.2199999999999998"/>
  </r>
  <r>
    <n v="10109"/>
    <s v="RIVER DAMODAR AT ASANSOL U/S, BURDWAN"/>
    <x v="7"/>
    <n v="23"/>
    <n v="33"/>
    <n v="7.6"/>
    <n v="9"/>
    <n v="7.1"/>
    <n v="8.1999999999999993"/>
    <n v="159"/>
    <n v="432"/>
    <n v="1.7"/>
    <n v="2.1"/>
    <n v="0.3"/>
    <n v="1.52"/>
    <n v="1700"/>
    <n v="3200"/>
    <n v="2100"/>
    <n v="4600"/>
    <n v="14"/>
    <n v="36"/>
    <n v="1.7849999999999999"/>
  </r>
  <r>
    <n v="10110"/>
    <s v="RIVER DAMODAR AT DURGAPUR U/S, BURDWAN"/>
    <x v="7"/>
    <n v="21"/>
    <n v="35"/>
    <n v="7.6"/>
    <n v="8.9"/>
    <n v="7.5"/>
    <n v="8.4"/>
    <n v="194"/>
    <n v="475"/>
    <n v="2.2999999999999998"/>
    <n v="2.9"/>
    <n v="0.3"/>
    <n v="1.04"/>
    <n v="1400"/>
    <n v="3400"/>
    <n v="2100"/>
    <n v="4700"/>
    <n v="17"/>
    <n v="26"/>
    <n v="3.3349999999999995"/>
  </r>
  <r>
    <n v="10111"/>
    <s v="RIVER DAMODAR AT RANIGANJ D/S, BURDWAN"/>
    <x v="7"/>
    <n v="18"/>
    <n v="33"/>
    <n v="7.5"/>
    <n v="9"/>
    <n v="7.4"/>
    <n v="8"/>
    <n v="227"/>
    <n v="714"/>
    <n v="2.1"/>
    <n v="2.8"/>
    <n v="0.3"/>
    <n v="2.95"/>
    <n v="1400"/>
    <n v="3300"/>
    <n v="2600"/>
    <n v="4600"/>
    <n v="14"/>
    <n v="33"/>
    <n v="2.94"/>
  </r>
  <r>
    <n v="4742"/>
    <s v="RIVER GALUDIH BARRAGE, GALUDIH, E.S"/>
    <x v="6"/>
    <n v="16"/>
    <n v="35"/>
    <n v="6.9"/>
    <n v="8.1999999999999993"/>
    <n v="7.1"/>
    <n v="7.9"/>
    <n v="224"/>
    <n v="312"/>
    <n v="1.1000000000000001"/>
    <n v="5"/>
    <n v="0"/>
    <n v="0"/>
    <m/>
    <m/>
    <m/>
    <m/>
    <m/>
    <m/>
    <n v="2.75"/>
  </r>
  <r>
    <n v="2517"/>
    <s v="RIVER MATHABHANGA, GOBINDAPUR, NADIA"/>
    <x v="7"/>
    <n v="19"/>
    <n v="39"/>
    <n v="1"/>
    <n v="5.6"/>
    <n v="7"/>
    <n v="8.4"/>
    <n v="339"/>
    <n v="715"/>
    <n v="1.7"/>
    <n v="12.8"/>
    <n v="0.3"/>
    <n v="0.83"/>
    <n v="5400"/>
    <n v="79000"/>
    <n v="24000"/>
    <n v="130000"/>
    <n v="790"/>
    <n v="2400"/>
    <n v="10.88"/>
  </r>
  <r>
    <n v="30064"/>
    <s v="RIVER MATHABHANGA AT GOVINDPUR (WEST BENGAL)"/>
    <x v="7"/>
    <n v="25"/>
    <n v="33"/>
    <n v="0.3"/>
    <n v="1.5"/>
    <n v="7"/>
    <n v="7.7"/>
    <n v="255"/>
    <n v="696"/>
    <n v="4"/>
    <n v="6"/>
    <n v="0.32"/>
    <n v="0.34"/>
    <n v="5400"/>
    <n v="1100000"/>
    <n v="17000"/>
    <n v="4900000"/>
    <n v="45"/>
    <n v="1400"/>
    <n v="12"/>
  </r>
  <r>
    <n v="1764"/>
    <s v="RIVER CHURNI D/S OF RANAGHAT TOWN, WEST_x000a_BENGAL"/>
    <x v="7"/>
    <n v="18"/>
    <n v="36"/>
    <n v="1"/>
    <n v="3.6"/>
    <n v="6.8"/>
    <n v="8.3000000000000007"/>
    <n v="385"/>
    <n v="748"/>
    <n v="1.7"/>
    <n v="4.8"/>
    <n v="0.3"/>
    <n v="0.94"/>
    <n v="13000"/>
    <n v="130000"/>
    <n v="33000"/>
    <n v="170000"/>
    <n v="1100"/>
    <n v="2400"/>
    <n v="4.08"/>
  </r>
  <r>
    <n v="2518"/>
    <s v="RIVER CHURNI, MAJHADIA, NADIA"/>
    <x v="7"/>
    <n v="20"/>
    <n v="38"/>
    <n v="1"/>
    <n v="3.5"/>
    <n v="6.8"/>
    <n v="8.3000000000000007"/>
    <n v="328"/>
    <n v="769"/>
    <n v="1.7"/>
    <n v="10.5"/>
    <n v="0.3"/>
    <n v="0.49"/>
    <n v="3500"/>
    <n v="35000"/>
    <n v="7900"/>
    <n v="79000"/>
    <n v="240"/>
    <n v="1300"/>
    <n v="8.9249999999999989"/>
  </r>
  <r>
    <n v="2541"/>
    <s v="RIVER DWARAKESHWAR WATER INTAKE POINT FOR_x000a_BANKURA TOWN ON DWARAKESHWAR, BANKURA"/>
    <x v="7"/>
    <n v="18"/>
    <n v="33"/>
    <n v="7.6"/>
    <n v="9.1"/>
    <n v="7.5"/>
    <n v="8.1999999999999993"/>
    <n v="209"/>
    <n v="445"/>
    <n v="2.2000000000000002"/>
    <n v="3.5"/>
    <n v="0.3"/>
    <n v="3.17"/>
    <n v="1700"/>
    <n v="3200"/>
    <n v="2100"/>
    <n v="3900"/>
    <n v="17"/>
    <n v="32"/>
    <n v="3.8500000000000005"/>
  </r>
  <r>
    <n v="2514"/>
    <s v="RIVER JALANGI, D/S OF KRISHNA NAGAR, NADIA"/>
    <x v="7"/>
    <n v="18"/>
    <n v="37"/>
    <n v="1.1000000000000001"/>
    <n v="8.9"/>
    <n v="7"/>
    <n v="8.8000000000000007"/>
    <n v="263"/>
    <n v="624"/>
    <n v="1.7"/>
    <n v="4.0999999999999996"/>
    <n v="0.3"/>
    <n v="0.49"/>
    <n v="700"/>
    <n v="24000"/>
    <n v="1700"/>
    <n v="35000"/>
    <n v="49"/>
    <n v="1100"/>
    <n v="3.4849999999999994"/>
  </r>
  <r>
    <n v="1337"/>
    <s v="RIVER RUPNARAYAN BEFORE CONFL. TO GANGA NEAR_x000a_GEONKHALI,MEDINIPOREÂ€, WEST BENGAL"/>
    <x v="7"/>
    <n v="22"/>
    <n v="34"/>
    <n v="5.0999999999999996"/>
    <n v="7"/>
    <n v="7.5"/>
    <n v="8.9"/>
    <n v="416"/>
    <n v="3945"/>
    <n v="1"/>
    <n v="2.9"/>
    <n v="0.3"/>
    <n v="0.97"/>
    <n v="3200"/>
    <n v="4900"/>
    <n v="6300"/>
    <n v="9400"/>
    <n v="92"/>
    <n v="210"/>
    <n v="1.45"/>
  </r>
  <r>
    <n v="2509"/>
    <s v="RIVER D/S OF RUPNARAYAN AT KOLAGHAT, NEAR_x000a_KOLAGHAT RAIL BRIDGE NO.3,MEDINIPOREÂ€"/>
    <x v="7"/>
    <n v="21"/>
    <n v="35"/>
    <n v="5"/>
    <n v="9.6999999999999993"/>
    <n v="7.9"/>
    <n v="8.6999999999999993"/>
    <n v="232"/>
    <n v="1884"/>
    <n v="1"/>
    <n v="2.9"/>
    <n v="0.3"/>
    <n v="0.98"/>
    <n v="3300"/>
    <n v="4900"/>
    <n v="7000"/>
    <n v="11000"/>
    <n v="93"/>
    <n v="200"/>
    <n v="1.45"/>
  </r>
  <r>
    <n v="2531"/>
    <s v="RIVER U/S OF TARAPITH ON DWARKA AT SADHAK_x000a_BAMDEB GHAT, BIRBHUM"/>
    <x v="7"/>
    <n v="21"/>
    <n v="32"/>
    <n v="7.2"/>
    <n v="10.4"/>
    <n v="6.7"/>
    <n v="8.5"/>
    <n v="124"/>
    <n v="736"/>
    <n v="2.1"/>
    <n v="8.9"/>
    <n v="0.3"/>
    <n v="1.89"/>
    <n v="1700"/>
    <n v="3400"/>
    <n v="3200"/>
    <n v="4900"/>
    <n v="17"/>
    <n v="33"/>
    <n v="9.3450000000000006"/>
  </r>
  <r>
    <n v="2532"/>
    <s v="RIVER D/S OF TARAPITH ON DWARKA, SATIGHAT"/>
    <x v="7"/>
    <n v="21"/>
    <n v="32"/>
    <n v="6.9"/>
    <n v="10.6"/>
    <n v="6.9"/>
    <n v="8.1999999999999993"/>
    <n v="128"/>
    <n v="972"/>
    <n v="2.6"/>
    <n v="9.8000000000000007"/>
    <n v="0.3"/>
    <n v="3.5"/>
    <n v="1700"/>
    <n v="3900"/>
    <n v="2600"/>
    <n v="9400"/>
    <n v="17"/>
    <n v="27"/>
    <n v="12.740000000000002"/>
  </r>
  <r>
    <n v="2549"/>
    <s v="RIVER U/S OF BINDYADHARI AT HAROA BRIDGE, 24_x000a_PARGANAS(N)"/>
    <x v="7"/>
    <n v="19"/>
    <n v="35"/>
    <n v="0.3"/>
    <n v="1.5"/>
    <n v="7.1"/>
    <n v="7.7"/>
    <n v="601"/>
    <n v="2379"/>
    <n v="8.5"/>
    <n v="13"/>
    <n v="0.73"/>
    <n v="3.97"/>
    <n v="32000"/>
    <n v="79000"/>
    <n v="70000"/>
    <n v="140000"/>
    <n v="240"/>
    <n v="460"/>
    <n v="55.25"/>
  </r>
  <r>
    <n v="2550"/>
    <s v="RIVER D/S OF BIDYADHARI AT MALANCHA BURNING_x000a_GHAT"/>
    <x v="7"/>
    <n v="21"/>
    <n v="36"/>
    <n v="0.6"/>
    <n v="2.1"/>
    <n v="7.1"/>
    <n v="7.5"/>
    <n v="1293"/>
    <n v="20380"/>
    <n v="6"/>
    <n v="10.4"/>
    <n v="0.62"/>
    <n v="4.09"/>
    <n v="23000"/>
    <n v="49000"/>
    <n v="63000"/>
    <n v="79000"/>
    <n v="170"/>
    <n v="460"/>
    <n v="31.200000000000003"/>
  </r>
  <r>
    <n v="2507"/>
    <s v="RIVER D/S OF KANSI AT MIDNAPORE, NEAR NEW_x000a_HANUMAN MANDIR, GANDHIGHAT, MEDINIPORE(W)"/>
    <x v="7"/>
    <n v="20"/>
    <n v="36"/>
    <n v="5.0999999999999996"/>
    <n v="8.4"/>
    <n v="7.2"/>
    <n v="8.8000000000000007"/>
    <n v="193"/>
    <n v="636"/>
    <n v="1.2"/>
    <n v="2.9"/>
    <n v="0.3"/>
    <n v="0.54"/>
    <n v="2200"/>
    <n v="4600"/>
    <n v="4600"/>
    <n v="7900"/>
    <n v="68"/>
    <n v="170"/>
    <n v="1.74"/>
  </r>
  <r>
    <n v="2525"/>
    <s v="RIVER MAHANANDA D/S, RAMGHAT, DARJEELING"/>
    <x v="7"/>
    <n v="18"/>
    <n v="30"/>
    <n v="2.2000000000000002"/>
    <n v="5.7"/>
    <n v="6.1"/>
    <n v="7.6"/>
    <n v="117"/>
    <n v="240"/>
    <n v="7"/>
    <n v="23.5"/>
    <n v="0.3"/>
    <n v="1.54"/>
    <n v="110000"/>
    <n v="1400000"/>
    <n v="220000"/>
    <n v="5000000"/>
    <n v="1100"/>
    <n v="35000"/>
    <n v="82.25"/>
  </r>
  <r>
    <n v="1946"/>
    <s v="RIVER MAHANANDA AT SILIGURI, DARJEELING"/>
    <x v="7"/>
    <n v="17"/>
    <n v="29"/>
    <n v="5.9"/>
    <n v="7.9"/>
    <n v="6.7"/>
    <n v="7.6"/>
    <n v="65"/>
    <n v="202"/>
    <n v="1.6"/>
    <n v="3.2"/>
    <n v="0.3"/>
    <n v="0.68"/>
    <n v="14000"/>
    <n v="300000"/>
    <n v="90000"/>
    <n v="900000"/>
    <n v="14"/>
    <n v="930"/>
    <n v="2.5600000000000005"/>
  </r>
  <r>
    <n v="4727"/>
    <s v="RIVER MECHI AT NEHALJOTE"/>
    <x v="7"/>
    <n v="20"/>
    <n v="30"/>
    <n v="5.3"/>
    <n v="8"/>
    <n v="6.8"/>
    <n v="7.9"/>
    <n v="55"/>
    <n v="115"/>
    <n v="1"/>
    <n v="2.2000000000000002"/>
    <n v="0.3"/>
    <n v="0.54"/>
    <n v="1300"/>
    <n v="7000"/>
    <n v="2100"/>
    <n v="28000"/>
    <n v="17"/>
    <n v="350"/>
    <n v="1.1000000000000001"/>
  </r>
  <r>
    <n v="4722"/>
    <s v="RIVER BALASON AT KHAPRAIL MORE"/>
    <x v="7"/>
    <n v="12"/>
    <n v="30"/>
    <n v="5.3"/>
    <n v="8.6"/>
    <n v="6.1"/>
    <n v="7.9"/>
    <n v="42"/>
    <n v="103"/>
    <n v="1"/>
    <n v="2.5"/>
    <n v="0.3"/>
    <n v="0.63"/>
    <n v="2200"/>
    <n v="50000"/>
    <n v="11000"/>
    <n v="160000"/>
    <n v="14"/>
    <n v="110"/>
    <n v="1.25"/>
  </r>
  <r>
    <n v="2508"/>
    <s v="RIVER D/S OF SILABATI AT GHATAL, MEDINIPORE(W)"/>
    <x v="7"/>
    <n v="20"/>
    <n v="35"/>
    <n v="5.0999999999999996"/>
    <n v="8"/>
    <n v="7.5"/>
    <n v="8.6999999999999993"/>
    <n v="194"/>
    <n v="424"/>
    <n v="1.3"/>
    <n v="2.8"/>
    <n v="0.3"/>
    <n v="1.6"/>
    <n v="3200"/>
    <n v="4900"/>
    <n v="6300"/>
    <n v="9400"/>
    <n v="92"/>
    <n v="200"/>
    <n v="1.8199999999999998"/>
  </r>
  <r>
    <n v="2534"/>
    <s v="RIVER WATER INTAKE POINT FOR SURI TOWN ON_x000a_MAYURAKSHI, BIRBHUM"/>
    <x v="7"/>
    <n v="20"/>
    <n v="35"/>
    <n v="7.5"/>
    <n v="9.1"/>
    <n v="7"/>
    <n v="8.1999999999999993"/>
    <n v="97"/>
    <n v="251"/>
    <n v="1.5"/>
    <n v="2"/>
    <n v="0.3"/>
    <n v="2.2999999999999998"/>
    <n v="1400"/>
    <n v="2200"/>
    <n v="2100"/>
    <n v="3300"/>
    <n v="14"/>
    <n v="26"/>
    <n v="1.5"/>
  </r>
  <r>
    <n v="4710"/>
    <s v="RIVER HALDI AT NORGHAT"/>
    <x v="7"/>
    <n v="20"/>
    <n v="34"/>
    <n v="5"/>
    <n v="7"/>
    <n v="8"/>
    <n v="8.6"/>
    <n v="504"/>
    <n v="16200"/>
    <n v="1.1000000000000001"/>
    <n v="2.8"/>
    <n v="0.3"/>
    <n v="0.63"/>
    <n v="4000"/>
    <n v="4900"/>
    <n v="7000"/>
    <n v="11000"/>
    <n v="92"/>
    <n v="240"/>
    <n v="1.54"/>
  </r>
  <r>
    <n v="4711"/>
    <s v="RIVER RASULPUR AT RASULPUR GHAT"/>
    <x v="7"/>
    <n v="21"/>
    <n v="35"/>
    <n v="5.4"/>
    <n v="6.6"/>
    <n v="7.7"/>
    <n v="8.6"/>
    <n v="6245"/>
    <n v="27870"/>
    <n v="1"/>
    <n v="2.9"/>
    <n v="0.3"/>
    <n v="1.02"/>
    <n v="2100"/>
    <n v="4900"/>
    <n v="4900"/>
    <n v="8400"/>
    <n v="92"/>
    <n v="170"/>
    <n v="1.45"/>
  </r>
  <r>
    <n v="4717"/>
    <s v="RIVER JALDHAKA AT DHUPGURI"/>
    <x v="7"/>
    <n v="13"/>
    <n v="28"/>
    <n v="5.8"/>
    <n v="8.5"/>
    <n v="7"/>
    <n v="7.9"/>
    <n v="90"/>
    <n v="170"/>
    <n v="1"/>
    <n v="3.1"/>
    <n v="0.3"/>
    <n v="0.56000000000000005"/>
    <n v="2200"/>
    <n v="28000"/>
    <n v="8000"/>
    <n v="35000"/>
    <n v="13"/>
    <n v="240"/>
    <n v="1.55"/>
  </r>
  <r>
    <n v="4718"/>
    <s v="RIVER SILTORSA AT HASIMARA"/>
    <x v="7"/>
    <n v="15"/>
    <n v="27"/>
    <n v="6.3"/>
    <n v="8.9"/>
    <n v="7.1"/>
    <n v="7.8"/>
    <n v="74"/>
    <n v="190"/>
    <n v="1"/>
    <n v="2.1"/>
    <n v="0.3"/>
    <n v="0.59"/>
    <n v="2200"/>
    <n v="22000"/>
    <n v="5000"/>
    <n v="90000"/>
    <n v="17"/>
    <n v="170"/>
    <n v="1.05"/>
  </r>
  <r>
    <n v="1422"/>
    <s v="RIVER BURHIDIHING AT MARGHERITA, ASSAM"/>
    <x v="12"/>
    <n v="22"/>
    <n v="23"/>
    <n v="5.2"/>
    <n v="8.1999999999999993"/>
    <n v="7"/>
    <n v="7.9"/>
    <n v="106"/>
    <n v="148"/>
    <n v="2"/>
    <n v="2.5"/>
    <n v="0.6"/>
    <n v="1.4"/>
    <n v="360"/>
    <n v="730"/>
    <n v="910"/>
    <n v="1500"/>
    <n v="120"/>
    <n v="240"/>
    <n v="2.5"/>
  </r>
  <r>
    <n v="2062"/>
    <s v="RIVER BURHIDIHING NEAR DULIAJAN AT D/S, TINSUKIA,_x000a_ASSAM"/>
    <x v="12"/>
    <n v="23"/>
    <n v="24"/>
    <n v="5.0999999999999996"/>
    <n v="9"/>
    <n v="6.7"/>
    <n v="7.7"/>
    <n v="128"/>
    <n v="188"/>
    <n v="2.1"/>
    <n v="2.7"/>
    <n v="0.6"/>
    <n v="1.9"/>
    <n v="720"/>
    <n v="1100"/>
    <n v="1500"/>
    <n v="2100"/>
    <n v="210"/>
    <n v="490"/>
    <n v="2.8350000000000004"/>
  </r>
  <r>
    <n v="2230"/>
    <s v="RIVER BURHIDIHING AT DULIAJAN (INTAKE POINT OF OIL_x000a_INDIA LTD.), ASSAM"/>
    <x v="12"/>
    <n v="22"/>
    <n v="27"/>
    <n v="5"/>
    <n v="8"/>
    <n v="6.9"/>
    <n v="7.7"/>
    <n v="126"/>
    <n v="178"/>
    <n v="2"/>
    <n v="2.6"/>
    <n v="0.7"/>
    <n v="1.4"/>
    <n v="610"/>
    <n v="1100"/>
    <n v="1600"/>
    <n v="2800"/>
    <n v="210"/>
    <n v="290"/>
    <n v="2.6"/>
  </r>
  <r>
    <n v="1796"/>
    <s v="RIVER DHANSIRI AT FULL NAGARJAN BRIDGE"/>
    <x v="13"/>
    <n v="20.8"/>
    <n v="33.4"/>
    <n v="6.1"/>
    <n v="7.6"/>
    <n v="6.6"/>
    <n v="8.1"/>
    <n v="66"/>
    <n v="699"/>
    <n v="1.6"/>
    <n v="2.2999999999999998"/>
    <n v="0.3"/>
    <n v="1.7"/>
    <m/>
    <m/>
    <m/>
    <m/>
    <m/>
    <m/>
    <n v="1.8399999999999999"/>
  </r>
  <r>
    <n v="1797"/>
    <s v="RIVER DHANSIRI AT BRIDGE NEAR PURANA BAZAAR"/>
    <x v="13"/>
    <n v="20.3"/>
    <n v="33.299999999999997"/>
    <n v="5.8"/>
    <n v="7.5"/>
    <n v="6.7"/>
    <n v="8.1"/>
    <n v="74"/>
    <n v="305"/>
    <n v="1.4"/>
    <n v="2.5"/>
    <n v="0.4"/>
    <n v="2"/>
    <m/>
    <m/>
    <m/>
    <m/>
    <m/>
    <m/>
    <n v="1.75"/>
  </r>
  <r>
    <n v="1800"/>
    <s v="RIVER DHANSIRI AT NOTUN BOSTI NEAR NAGA_x000a_CEMETERY (OLD)"/>
    <x v="13"/>
    <n v="17.8"/>
    <n v="30.7"/>
    <n v="2.8"/>
    <n v="5.6"/>
    <n v="7"/>
    <n v="8"/>
    <n v="154"/>
    <n v="502"/>
    <n v="2.5"/>
    <n v="4.8"/>
    <n v="0.3"/>
    <n v="4.5"/>
    <m/>
    <m/>
    <m/>
    <m/>
    <m/>
    <m/>
    <n v="6"/>
  </r>
  <r>
    <n v="1798"/>
    <s v="RIVER DHANSIRI AT KUSHIABILL , NEAR KACHARI LOCAL_x000a_GROUND"/>
    <x v="13"/>
    <n v="21.4"/>
    <n v="34.299999999999997"/>
    <n v="5.6"/>
    <n v="8.5"/>
    <n v="6.8"/>
    <n v="8.1"/>
    <n v="85"/>
    <n v="279"/>
    <n v="1.5"/>
    <n v="2.4"/>
    <n v="0.4"/>
    <n v="1.4"/>
    <m/>
    <m/>
    <m/>
    <m/>
    <m/>
    <m/>
    <n v="1.7999999999999998"/>
  </r>
  <r>
    <n v="1799"/>
    <s v="RIVER DHANSIRI AT TOWN BOUNDARY BRIDGE (DIPHU_x000a_ROAD)"/>
    <x v="13"/>
    <n v="16"/>
    <n v="31.9"/>
    <n v="5.0999999999999996"/>
    <n v="6.3"/>
    <n v="6.7"/>
    <n v="8.1999999999999993"/>
    <n v="76"/>
    <n v="260"/>
    <n v="1.7"/>
    <n v="2.8"/>
    <n v="0.5"/>
    <n v="2.5"/>
    <m/>
    <m/>
    <m/>
    <m/>
    <m/>
    <m/>
    <n v="2.38"/>
  </r>
  <r>
    <n v="1928"/>
    <s v="RIVER DHANSIRI NEAR NAGALAND- ASSAM BORDER"/>
    <x v="13"/>
    <n v="18.600000000000001"/>
    <n v="33.299999999999997"/>
    <n v="5.9"/>
    <n v="6.8"/>
    <n v="7.2"/>
    <n v="7.7"/>
    <n v="76"/>
    <n v="900"/>
    <n v="1.2"/>
    <n v="2.4"/>
    <n v="0.3"/>
    <n v="2.4"/>
    <m/>
    <m/>
    <m/>
    <m/>
    <m/>
    <m/>
    <n v="1.44"/>
  </r>
  <r>
    <n v="1259"/>
    <s v="RIVER DHANSIRI AT GOLAGHAT, ASSAM"/>
    <x v="12"/>
    <n v="21"/>
    <n v="32"/>
    <n v="5"/>
    <n v="10.5"/>
    <n v="7"/>
    <n v="7.9"/>
    <n v="136"/>
    <n v="172"/>
    <n v="2"/>
    <n v="2.6"/>
    <n v="0.7"/>
    <n v="2"/>
    <n v="300"/>
    <n v="940"/>
    <n v="720"/>
    <n v="2000"/>
    <n v="95"/>
    <n v="290"/>
    <n v="2.6"/>
  </r>
  <r>
    <n v="3764"/>
    <s v="RIVER DHANSIRI NEAR BRIDGE AT NH-15, DHANSIRI_x000a_BHALUKMARI JUNGLE, UDALGURI"/>
    <x v="12"/>
    <n v="18"/>
    <n v="30"/>
    <n v="5.6"/>
    <n v="6.4"/>
    <n v="6.9"/>
    <n v="7.6"/>
    <n v="112"/>
    <n v="136"/>
    <n v="1.9"/>
    <n v="2.4"/>
    <n v="0.7"/>
    <n v="1.8"/>
    <n v="300"/>
    <n v="730"/>
    <n v="730"/>
    <n v="1500"/>
    <n v="95"/>
    <n v="240"/>
    <n v="2.2799999999999998"/>
  </r>
  <r>
    <n v="3792"/>
    <s v="RIVER DHANSIRI AT JAHAIGHAT"/>
    <x v="12"/>
    <n v="21"/>
    <n v="32"/>
    <n v="5.6"/>
    <n v="9.5"/>
    <n v="6.8"/>
    <n v="7.4"/>
    <n v="122"/>
    <n v="154"/>
    <n v="2"/>
    <n v="2.5"/>
    <n v="0.6"/>
    <n v="1.7"/>
    <n v="360"/>
    <n v="1400"/>
    <n v="910"/>
    <n v="2100"/>
    <n v="150"/>
    <n v="490"/>
    <n v="2.5"/>
  </r>
  <r>
    <n v="30070"/>
    <s v="RIVER DHANSIRI AT GANESH NAGAR"/>
    <x v="13"/>
    <n v="20.100000000000001"/>
    <n v="31.7"/>
    <n v="7"/>
    <n v="9.6"/>
    <n v="7.7"/>
    <n v="7.9"/>
    <n v="119"/>
    <n v="236"/>
    <n v="1"/>
    <n v="9"/>
    <n v="0.32"/>
    <n v="0.33"/>
    <n v="2"/>
    <n v="2"/>
    <n v="2"/>
    <n v="20"/>
    <n v="2"/>
    <n v="2"/>
    <n v="4.5"/>
  </r>
  <r>
    <n v="30071"/>
    <s v="RIVER DHANSIRI AT NAGARJAN BRIDGE"/>
    <x v="13"/>
    <n v="19.100000000000001"/>
    <n v="32"/>
    <n v="6.3"/>
    <n v="11.1"/>
    <n v="7.5"/>
    <n v="8"/>
    <n v="123"/>
    <n v="195"/>
    <n v="1.1000000000000001"/>
    <n v="2.9"/>
    <n v="0.32"/>
    <n v="0.34"/>
    <n v="2"/>
    <n v="4000"/>
    <n v="2"/>
    <n v="56000"/>
    <n v="2"/>
    <n v="2"/>
    <n v="1.595"/>
  </r>
  <r>
    <n v="30072"/>
    <s v="RIVER DHANSIRI AT KHATKATI GATE"/>
    <x v="13"/>
    <n v="18"/>
    <n v="32.700000000000003"/>
    <n v="5.4"/>
    <n v="7.9"/>
    <n v="7.2"/>
    <n v="7.6"/>
    <n v="128"/>
    <n v="250"/>
    <n v="1.5"/>
    <n v="3.4"/>
    <n v="0.32"/>
    <n v="1"/>
    <n v="2"/>
    <n v="7500"/>
    <n v="2"/>
    <n v="312000"/>
    <n v="2"/>
    <n v="2"/>
    <n v="2.5499999999999998"/>
  </r>
  <r>
    <n v="30073"/>
    <s v="RIVER DHANSIRI AT BOKAJAN"/>
    <x v="12"/>
    <n v="18.5"/>
    <n v="33.6"/>
    <n v="5.9"/>
    <n v="9.4"/>
    <n v="7.3"/>
    <n v="7.6"/>
    <n v="130"/>
    <n v="239"/>
    <n v="1.6"/>
    <n v="4.3"/>
    <n v="0.32"/>
    <n v="1.08"/>
    <n v="2"/>
    <n v="8000"/>
    <n v="2"/>
    <n v="92000"/>
    <n v="2"/>
    <n v="2"/>
    <n v="3.44"/>
  </r>
  <r>
    <n v="30074"/>
    <s v="RIVER DHANSIRI AT NUMALIGARH"/>
    <x v="12"/>
    <n v="19.100000000000001"/>
    <n v="32.200000000000003"/>
    <n v="6.6"/>
    <n v="9.6"/>
    <n v="7.4"/>
    <n v="7.6"/>
    <n v="124"/>
    <n v="1021"/>
    <n v="1.1000000000000001"/>
    <n v="2.1"/>
    <n v="0.32"/>
    <n v="1.1000000000000001"/>
    <n v="2"/>
    <n v="19000"/>
    <n v="2"/>
    <n v="396000"/>
    <n v="2"/>
    <n v="2"/>
    <n v="1.1550000000000002"/>
  </r>
  <r>
    <n v="1528"/>
    <s v="RIVER BHARALU AT GUWAHATI, ASSAM"/>
    <x v="12"/>
    <n v="21"/>
    <n v="36"/>
    <n v="0.3"/>
    <n v="1"/>
    <n v="6.9"/>
    <n v="7.6"/>
    <n v="520"/>
    <n v="610"/>
    <n v="30.8"/>
    <n v="37.9"/>
    <n v="2"/>
    <n v="3.8"/>
    <n v="2300"/>
    <n v="2900"/>
    <n v="4200"/>
    <n v="5300"/>
    <n v="460"/>
    <n v="490"/>
    <n v="583.66"/>
  </r>
  <r>
    <n v="3759"/>
    <s v="RIVER DIKRONG NEAR BRIDGE AT NH-52, BANDARDEWA"/>
    <x v="12"/>
    <n v="20"/>
    <n v="28"/>
    <n v="5.5"/>
    <n v="6.3"/>
    <n v="7"/>
    <n v="7.9"/>
    <n v="120"/>
    <n v="166"/>
    <n v="1.8"/>
    <n v="2.6"/>
    <n v="0.5"/>
    <n v="2.1"/>
    <n v="300"/>
    <n v="730"/>
    <n v="910"/>
    <n v="1600"/>
    <n v="96"/>
    <n v="240"/>
    <n v="2.3400000000000003"/>
  </r>
  <r>
    <n v="3786"/>
    <s v="RIVER GAI NADI AT SOMARAJAN, DHEMAJI"/>
    <x v="12"/>
    <n v="22"/>
    <n v="24"/>
    <n v="5.2"/>
    <n v="7.8"/>
    <n v="6.9"/>
    <n v="7.8"/>
    <n v="140"/>
    <n v="174"/>
    <n v="2"/>
    <n v="2.6"/>
    <n v="0.6"/>
    <n v="1"/>
    <n v="360"/>
    <n v="720"/>
    <n v="910"/>
    <n v="1400"/>
    <n v="120"/>
    <n v="240"/>
    <n v="2.6"/>
  </r>
  <r>
    <n v="3807"/>
    <s v="RIVER DIGARU AT NH CROSSING"/>
    <x v="12"/>
    <n v="19"/>
    <n v="28"/>
    <n v="4.2"/>
    <n v="9.8000000000000007"/>
    <n v="7"/>
    <n v="7.6"/>
    <n v="101"/>
    <n v="136"/>
    <n v="2"/>
    <n v="2.5"/>
    <n v="0.6"/>
    <n v="1.3"/>
    <n v="620"/>
    <n v="1100"/>
    <n v="1200"/>
    <n v="2000"/>
    <n v="210"/>
    <n v="290"/>
    <n v="2.5"/>
  </r>
  <r>
    <n v="1530"/>
    <s v="RIVER DIGBOI AT LAKHIPATHE, RESERVE FOREST,_x000a_DIGBOI, ASSAM"/>
    <x v="12"/>
    <n v="22"/>
    <n v="24"/>
    <n v="2.2999999999999998"/>
    <n v="5.5"/>
    <n v="6.8"/>
    <n v="7.8"/>
    <n v="152"/>
    <n v="276"/>
    <n v="3"/>
    <n v="3.4"/>
    <n v="0.7"/>
    <n v="2"/>
    <n v="300"/>
    <n v="940"/>
    <n v="720"/>
    <n v="2000"/>
    <n v="95"/>
    <n v="290"/>
    <n v="5.0999999999999996"/>
  </r>
  <r>
    <n v="2231"/>
    <s v="RIVER DIKHOW AT DIKHOW BRIDGE SIVASAGAR, ASSAM"/>
    <x v="12"/>
    <n v="20"/>
    <n v="31"/>
    <n v="6"/>
    <n v="8"/>
    <n v="6.8"/>
    <n v="7.5"/>
    <n v="122"/>
    <n v="172"/>
    <n v="1.8"/>
    <n v="2.5"/>
    <n v="0.8"/>
    <n v="1.6"/>
    <n v="360"/>
    <n v="910"/>
    <n v="720"/>
    <n v="2100"/>
    <n v="120"/>
    <n v="340"/>
    <n v="2.25"/>
  </r>
  <r>
    <n v="3776"/>
    <s v="RIVER DIKHOW AT NAGINI MORA (INTER-STATE_x000a_BOUNDARIES, ASSAM-NAGALAND)"/>
    <x v="12"/>
    <n v="18"/>
    <n v="30"/>
    <n v="5.7"/>
    <n v="8"/>
    <n v="6.7"/>
    <n v="7.5"/>
    <n v="126"/>
    <n v="166"/>
    <n v="1.7"/>
    <n v="2.6"/>
    <n v="0.6"/>
    <n v="1"/>
    <n v="360"/>
    <n v="910"/>
    <n v="1100"/>
    <n v="2100"/>
    <n v="110"/>
    <n v="340"/>
    <n v="2.21"/>
  </r>
  <r>
    <n v="3778"/>
    <s v="RIVER DIKHOW AT DIKHOWMUKH CONFLUENCE WITH_x000a_BRAHAMPUTRA"/>
    <x v="12"/>
    <n v="20"/>
    <n v="32"/>
    <n v="5.8"/>
    <n v="7.9"/>
    <n v="6.7"/>
    <n v="7.6"/>
    <n v="138"/>
    <n v="209"/>
    <n v="1.8"/>
    <n v="2.5"/>
    <n v="0.8"/>
    <n v="1.1000000000000001"/>
    <n v="300"/>
    <n v="730"/>
    <n v="730"/>
    <n v="2800"/>
    <n v="110"/>
    <n v="280"/>
    <n v="2.25"/>
  </r>
  <r>
    <n v="2524"/>
    <s v="RIVER KALJANI D/S OF ALIPURDWAR, MUNICIPALITY_x000a_DISCHARGE POINT, COOCHBEHAR"/>
    <x v="7"/>
    <n v="20"/>
    <n v="31"/>
    <n v="6.1"/>
    <n v="8.1"/>
    <n v="7.2"/>
    <n v="7.9"/>
    <n v="62"/>
    <n v="134"/>
    <n v="1"/>
    <n v="2.8"/>
    <n v="0.3"/>
    <n v="0.38"/>
    <n v="2200"/>
    <n v="17000"/>
    <n v="11000"/>
    <n v="50000"/>
    <n v="13"/>
    <n v="350"/>
    <n v="1.4"/>
  </r>
  <r>
    <n v="1298"/>
    <s v="RIVER DISANG AT GUDAMGHAT, ASSAM"/>
    <x v="12"/>
    <n v="18"/>
    <n v="29"/>
    <n v="5.7"/>
    <n v="6.9"/>
    <n v="6.9"/>
    <n v="7.9"/>
    <n v="98"/>
    <n v="126"/>
    <n v="1.8"/>
    <n v="2.2999999999999998"/>
    <n v="0.6"/>
    <n v="1.2"/>
    <n v="360"/>
    <n v="910"/>
    <n v="730"/>
    <n v="2300"/>
    <n v="130"/>
    <n v="340"/>
    <n v="2.0699999999999998"/>
  </r>
  <r>
    <n v="2058"/>
    <s v="RIVER DISANG AT DILLIGHAT, DIBRUGARH DIST.,_x000a_ASSAM"/>
    <x v="12"/>
    <n v="23"/>
    <n v="23"/>
    <n v="5.3"/>
    <n v="10.5"/>
    <n v="7"/>
    <n v="7.5"/>
    <n v="120"/>
    <n v="188"/>
    <n v="1.8"/>
    <n v="2.4"/>
    <n v="0.4"/>
    <n v="1.6"/>
    <n v="360"/>
    <n v="1100"/>
    <n v="910"/>
    <n v="2100"/>
    <n v="120"/>
    <n v="290"/>
    <n v="2.16"/>
  </r>
  <r>
    <n v="4005"/>
    <s v="RIVER DISANG AT NH CROSSING"/>
    <x v="12"/>
    <n v="20"/>
    <n v="31"/>
    <n v="5.5"/>
    <n v="7.3"/>
    <n v="7"/>
    <n v="7.7"/>
    <n v="110"/>
    <n v="138"/>
    <n v="1.6"/>
    <n v="2.6"/>
    <n v="0.7"/>
    <n v="1.1000000000000001"/>
    <n v="360"/>
    <n v="720"/>
    <n v="730"/>
    <n v="1500"/>
    <n v="110"/>
    <n v="260"/>
    <n v="2.08"/>
  </r>
  <r>
    <n v="3763"/>
    <s v="RIVER GABHARU NEAR BRIDGE AT NH-52, NEAR_x000a_TUMIUKI, SONITPUR"/>
    <x v="12"/>
    <n v="16"/>
    <n v="28"/>
    <n v="5"/>
    <n v="6.3"/>
    <n v="6.8"/>
    <n v="7.8"/>
    <n v="106"/>
    <n v="132"/>
    <n v="2.1"/>
    <n v="2.5"/>
    <n v="0.7"/>
    <n v="1.3"/>
    <n v="360"/>
    <n v="730"/>
    <n v="1100"/>
    <n v="1500"/>
    <n v="120"/>
    <n v="240"/>
    <n v="2.625"/>
  </r>
  <r>
    <n v="4011"/>
    <s v="RIVER TOCKLAI NEAR BRIDGE AT JORHAT"/>
    <x v="12"/>
    <n v="21"/>
    <n v="34"/>
    <n v="5"/>
    <n v="6.8"/>
    <n v="6.6"/>
    <n v="7.8"/>
    <n v="188"/>
    <n v="272"/>
    <n v="2"/>
    <n v="2.8"/>
    <n v="0.8"/>
    <n v="1.3"/>
    <n v="720"/>
    <n v="1100"/>
    <n v="1400"/>
    <n v="2800"/>
    <n v="260"/>
    <n v="420"/>
    <n v="2.8"/>
  </r>
  <r>
    <n v="4012"/>
    <s v="RIVER TUNIA AT D/S BRPL"/>
    <x v="12"/>
    <n v="21"/>
    <n v="35"/>
    <n v="5.0999999999999996"/>
    <n v="5.4"/>
    <n v="6.8"/>
    <n v="7.7"/>
    <n v="138"/>
    <n v="164"/>
    <n v="1.9"/>
    <n v="2.6"/>
    <n v="0.7"/>
    <n v="2"/>
    <n v="620"/>
    <n v="940"/>
    <n v="1200"/>
    <n v="1900"/>
    <n v="210"/>
    <n v="290"/>
    <n v="2.4699999999999998"/>
  </r>
  <r>
    <n v="4329"/>
    <s v="RIVER LARSING NEAR LOCL DEPO AT MOINARBOND"/>
    <x v="12"/>
    <n v="20"/>
    <n v="23"/>
    <n v="5"/>
    <n v="5.4"/>
    <n v="7"/>
    <n v="7.3"/>
    <n v="92"/>
    <n v="133"/>
    <n v="2"/>
    <n v="2.2999999999999998"/>
    <n v="0.7"/>
    <n v="1"/>
    <n v="360"/>
    <n v="730"/>
    <n v="910"/>
    <n v="1500"/>
    <n v="120"/>
    <n v="240"/>
    <n v="2.2999999999999998"/>
  </r>
  <r>
    <n v="4331"/>
    <s v="RIVER DHATESHWARI D/S OF HAILAKANDI"/>
    <x v="12"/>
    <n v="21"/>
    <n v="24"/>
    <n v="4.2"/>
    <n v="5.7"/>
    <n v="6.6"/>
    <n v="7.2"/>
    <n v="128"/>
    <n v="162"/>
    <n v="2"/>
    <n v="2.8"/>
    <n v="0.9"/>
    <n v="1.3"/>
    <n v="620"/>
    <n v="910"/>
    <n v="1300"/>
    <n v="2000"/>
    <n v="210"/>
    <n v="290"/>
    <n v="2.8"/>
  </r>
  <r>
    <n v="4332"/>
    <s v="RIVER DEMOW AT DEMOW TOWN"/>
    <x v="12"/>
    <n v="21"/>
    <n v="33"/>
    <n v="5.5"/>
    <n v="7.8"/>
    <n v="6.8"/>
    <n v="7.5"/>
    <n v="108"/>
    <n v="132"/>
    <n v="1.9"/>
    <n v="2.6"/>
    <n v="0.8"/>
    <n v="1.2"/>
    <n v="360"/>
    <n v="910"/>
    <n v="1100"/>
    <n v="2300"/>
    <n v="140"/>
    <n v="350"/>
    <n v="2.4699999999999998"/>
  </r>
  <r>
    <n v="4336"/>
    <s v="RIVER BORSILA AT BORSILA, DEOPANI, NAMTI"/>
    <x v="12"/>
    <n v="18"/>
    <n v="31"/>
    <n v="5"/>
    <n v="7.9"/>
    <n v="6.6"/>
    <n v="7.4"/>
    <n v="83"/>
    <n v="102"/>
    <n v="1.8"/>
    <n v="2.4"/>
    <n v="0.6"/>
    <n v="1.2"/>
    <n v="360"/>
    <n v="730"/>
    <n v="720"/>
    <n v="2100"/>
    <n v="110"/>
    <n v="280"/>
    <n v="2.16"/>
  </r>
  <r>
    <n v="4341"/>
    <s v="RIVER BARNADI NEAR BRIDGE, NH-52, DUMUNICHOWKI_x000a_KAMRUP"/>
    <x v="12"/>
    <n v="19"/>
    <n v="37"/>
    <n v="5.5"/>
    <n v="9.3000000000000007"/>
    <n v="7"/>
    <n v="7.8"/>
    <n v="120"/>
    <n v="148"/>
    <n v="2"/>
    <n v="2.4"/>
    <n v="0.5"/>
    <n v="1.3"/>
    <n v="360"/>
    <n v="910"/>
    <n v="910"/>
    <n v="2000"/>
    <n v="150"/>
    <n v="240"/>
    <n v="2.4"/>
  </r>
  <r>
    <n v="2838"/>
    <s v="RIVER NONEY/IJEI AT NONEY BRIDGE, NONEY"/>
    <x v="14"/>
    <n v="20"/>
    <n v="24"/>
    <n v="7.1"/>
    <n v="7.4"/>
    <n v="7.2"/>
    <n v="7.3"/>
    <n v="160"/>
    <n v="190"/>
    <n v="3.2"/>
    <n v="3.3"/>
    <n v="0"/>
    <n v="0"/>
    <n v="40"/>
    <n v="75"/>
    <n v="85"/>
    <n v="165"/>
    <m/>
    <m/>
    <n v="5.28"/>
  </r>
  <r>
    <n v="2240"/>
    <s v="RIVER BARAK AT D/S OF SILCHAR, ASSAM"/>
    <x v="12"/>
    <n v="22"/>
    <n v="24"/>
    <n v="5"/>
    <n v="5.6"/>
    <n v="7"/>
    <n v="7.3"/>
    <n v="90"/>
    <n v="116"/>
    <n v="2"/>
    <n v="2.8"/>
    <n v="0.6"/>
    <n v="1.2"/>
    <n v="300"/>
    <n v="1100"/>
    <n v="730"/>
    <n v="2800"/>
    <n v="95"/>
    <n v="490"/>
    <n v="2.8"/>
  </r>
  <r>
    <n v="1262"/>
    <s v="RIVER BRAHMAPUTRA AT NIMATIGHAT, ASSAM"/>
    <x v="12"/>
    <n v="18"/>
    <n v="30"/>
    <n v="6.3"/>
    <n v="8.4"/>
    <n v="7"/>
    <n v="7.6"/>
    <n v="124"/>
    <n v="186"/>
    <n v="2"/>
    <n v="2.5"/>
    <n v="0.6"/>
    <n v="1.4"/>
    <n v="300"/>
    <n v="730"/>
    <n v="600"/>
    <n v="2000"/>
    <n v="110"/>
    <n v="280"/>
    <n v="2.5"/>
  </r>
  <r>
    <n v="1526"/>
    <s v="RIVER BRAHMPUTRA RIVER AT DHENUKHAPAHAR,_x000a_ASSAM"/>
    <x v="12"/>
    <n v="18"/>
    <n v="26"/>
    <n v="7"/>
    <n v="7.7"/>
    <n v="6.8"/>
    <n v="7.6"/>
    <n v="120"/>
    <n v="146"/>
    <n v="2"/>
    <n v="2.5"/>
    <n v="0.7"/>
    <n v="1.7"/>
    <n v="360"/>
    <n v="1100"/>
    <n v="910"/>
    <n v="2000"/>
    <n v="120"/>
    <n v="290"/>
    <n v="2.5"/>
  </r>
  <r>
    <n v="1030"/>
    <s v="RIVER BRAHMAPUTRA AT DIBRUGARH, ASSAM"/>
    <x v="12"/>
    <n v="21"/>
    <n v="25"/>
    <n v="5"/>
    <n v="7.5"/>
    <n v="6.8"/>
    <n v="7.5"/>
    <n v="102"/>
    <n v="152"/>
    <n v="2"/>
    <n v="2.7"/>
    <n v="0.7"/>
    <n v="1.6"/>
    <n v="360"/>
    <n v="1100"/>
    <n v="730"/>
    <n v="2100"/>
    <n v="120"/>
    <n v="290"/>
    <n v="2.7"/>
  </r>
  <r>
    <n v="1031"/>
    <s v="RIVER BRAHMAPUTRA AT PANDU, ASSAM"/>
    <x v="12"/>
    <n v="19"/>
    <n v="30"/>
    <n v="6.1"/>
    <n v="8.6999999999999993"/>
    <n v="6.7"/>
    <n v="7.8"/>
    <n v="126"/>
    <n v="166"/>
    <n v="2"/>
    <n v="2.7"/>
    <n v="0.6"/>
    <n v="1.5"/>
    <n v="730"/>
    <n v="1100"/>
    <n v="1500"/>
    <n v="2100"/>
    <n v="150"/>
    <n v="290"/>
    <n v="2.7"/>
  </r>
  <r>
    <n v="1299"/>
    <s v="RIVER BRAHMAPUTRA AT JOGIGHOPA NEAR BRIDGE,_x000a_ASSAM"/>
    <x v="12"/>
    <n v="22"/>
    <n v="36"/>
    <n v="5.4"/>
    <n v="6.5"/>
    <n v="7"/>
    <n v="7.8"/>
    <n v="146"/>
    <n v="170"/>
    <n v="2"/>
    <n v="2.6"/>
    <n v="0.7"/>
    <n v="2.2999999999999998"/>
    <n v="360"/>
    <n v="1100"/>
    <n v="1100"/>
    <n v="2100"/>
    <n v="120"/>
    <n v="290"/>
    <n v="2.6"/>
  </r>
  <r>
    <n v="2069"/>
    <s v="RIVER BRAHMPUTRA NEAR WATER INTAKE POINT AT_x000a_KACHARIGHAT, PANBAZAR, GUWAHATI, ASSAM"/>
    <x v="12"/>
    <n v="19"/>
    <n v="32"/>
    <n v="5.4"/>
    <n v="8.9"/>
    <n v="7.2"/>
    <n v="7.9"/>
    <n v="132"/>
    <n v="214"/>
    <n v="2.1"/>
    <n v="2.6"/>
    <n v="0.6"/>
    <n v="1.8"/>
    <n v="360"/>
    <n v="1100"/>
    <n v="910"/>
    <n v="2700"/>
    <n v="120"/>
    <n v="490"/>
    <n v="2.7300000000000004"/>
  </r>
  <r>
    <n v="2064"/>
    <s v="RIVER BRAHMAPUTRA AT CHANDRAPUR, GUWAHATI,_x000a_ASSAM"/>
    <x v="12"/>
    <n v="18"/>
    <n v="29"/>
    <n v="6.9"/>
    <n v="9.6999999999999993"/>
    <n v="6.8"/>
    <n v="8"/>
    <n v="128"/>
    <n v="178"/>
    <n v="2"/>
    <n v="2.6"/>
    <n v="0.6"/>
    <n v="1.7"/>
    <n v="610"/>
    <n v="2800"/>
    <n v="1500"/>
    <n v="3600"/>
    <n v="210"/>
    <n v="490"/>
    <n v="2.6"/>
  </r>
  <r>
    <n v="2067"/>
    <s v="RIVER BRAHMPUTRA AT SUALKUCHI, DIST. KAMRUP,_x000a_ASSAM"/>
    <x v="12"/>
    <n v="22"/>
    <n v="30"/>
    <n v="5"/>
    <n v="8.1999999999999993"/>
    <n v="7.1"/>
    <n v="7.9"/>
    <n v="115"/>
    <n v="130"/>
    <n v="2.1"/>
    <n v="2.8"/>
    <n v="0.6"/>
    <n v="1.7"/>
    <n v="360"/>
    <n v="1500"/>
    <n v="1100"/>
    <n v="2100"/>
    <n v="95"/>
    <n v="490"/>
    <n v="2.94"/>
  </r>
  <r>
    <n v="2066"/>
    <s v="RIVER BRAHMAPUTRA AT DHUBRI, ASSAM"/>
    <x v="12"/>
    <n v="20"/>
    <n v="34"/>
    <n v="5.2"/>
    <n v="5.7"/>
    <n v="6.9"/>
    <n v="7.6"/>
    <n v="130"/>
    <n v="168"/>
    <n v="2"/>
    <n v="2.5"/>
    <n v="0.7"/>
    <n v="1.7"/>
    <n v="360"/>
    <n v="1100"/>
    <n v="910"/>
    <n v="2100"/>
    <n v="120"/>
    <n v="290"/>
    <n v="2.5"/>
  </r>
  <r>
    <n v="3781"/>
    <s v="RIVER BRAHAMPUTRA AT BOGIBEEL BRIDGE,_x000a_BOGIBEEL, DIBRUGARH"/>
    <x v="12"/>
    <n v="22"/>
    <n v="28"/>
    <n v="5"/>
    <n v="7.3"/>
    <n v="7"/>
    <n v="7.4"/>
    <n v="120"/>
    <n v="146"/>
    <n v="2"/>
    <n v="2.5"/>
    <n v="0.6"/>
    <n v="1.4"/>
    <n v="300"/>
    <n v="910"/>
    <n v="730"/>
    <n v="2000"/>
    <n v="95"/>
    <n v="290"/>
    <n v="2.5"/>
  </r>
  <r>
    <n v="4004"/>
    <s v="RIVER BRAHMAPUTRA AT BISWANATH GHAT"/>
    <x v="12"/>
    <n v="18"/>
    <n v="24"/>
    <n v="7"/>
    <n v="7.3"/>
    <n v="6.8"/>
    <n v="7.8"/>
    <n v="108"/>
    <n v="176"/>
    <n v="2"/>
    <n v="2.7"/>
    <n v="0.7"/>
    <n v="1.5"/>
    <n v="610"/>
    <n v="1100"/>
    <n v="1400"/>
    <n v="2100"/>
    <n v="210"/>
    <n v="490"/>
    <n v="2.7"/>
  </r>
  <r>
    <n v="5610"/>
    <s v="RIVER BRAHMAPUTRA AT MATIA (BAHATI GHAT)"/>
    <x v="12"/>
    <n v="21"/>
    <n v="36"/>
    <n v="5.4"/>
    <n v="5.6"/>
    <n v="7"/>
    <n v="7.3"/>
    <n v="120"/>
    <n v="130"/>
    <n v="2"/>
    <n v="2.2999999999999998"/>
    <n v="0.7"/>
    <n v="0.9"/>
    <n v="360"/>
    <n v="1100"/>
    <n v="910"/>
    <n v="2700"/>
    <n v="120"/>
    <n v="290"/>
    <n v="2.2999999999999998"/>
  </r>
  <r>
    <n v="5612"/>
    <s v="RIVER BRAHMAPUTRA NEWR DHOLA SADIA BRIDGE"/>
    <x v="12"/>
    <n v="22"/>
    <n v="26"/>
    <n v="5.5"/>
    <n v="8.1999999999999993"/>
    <n v="6.9"/>
    <n v="7.8"/>
    <n v="98"/>
    <n v="130"/>
    <n v="2"/>
    <n v="2.2999999999999998"/>
    <n v="0.6"/>
    <n v="0.8"/>
    <n v="730"/>
    <n v="1500"/>
    <n v="1500"/>
    <n v="2800"/>
    <n v="240"/>
    <n v="490"/>
    <n v="2.2999999999999998"/>
  </r>
  <r>
    <n v="2950"/>
    <s v="RIVER BANAS AT DHANARI DAM, NEAR SWAROOPGANJ,_x000a_SIROHI, RAJASTHAN"/>
    <x v="11"/>
    <n v="21.5"/>
    <n v="32.299999999999997"/>
    <n v="4.5999999999999996"/>
    <n v="6.4"/>
    <n v="7.1"/>
    <n v="8.3000000000000007"/>
    <n v="358"/>
    <n v="611"/>
    <n v="1"/>
    <n v="4"/>
    <n v="1.94"/>
    <n v="3.49"/>
    <n v="2"/>
    <n v="5"/>
    <n v="2"/>
    <n v="16"/>
    <n v="2"/>
    <n v="2"/>
    <n v="2"/>
  </r>
  <r>
    <n v="2951"/>
    <s v="RIVER BANAS BISULPUR DAM, TONK, RAJASTHAN"/>
    <x v="11"/>
    <n v="18"/>
    <n v="32"/>
    <n v="5.2"/>
    <n v="6.6"/>
    <n v="7.9"/>
    <n v="8.5"/>
    <n v="386"/>
    <n v="607"/>
    <n v="1"/>
    <n v="2.2999999999999998"/>
    <n v="0.5"/>
    <n v="1.82"/>
    <n v="58"/>
    <n v="170"/>
    <n v="170"/>
    <n v="280"/>
    <n v="25"/>
    <n v="39"/>
    <n v="1.1499999999999999"/>
  </r>
  <r>
    <n v="4167"/>
    <s v="RIVER BANAS AT TRIVENI SANGAM, BHILWARA"/>
    <x v="11"/>
    <n v="19"/>
    <n v="23"/>
    <n v="4.7"/>
    <n v="5.9"/>
    <n v="7.8"/>
    <n v="8.6999999999999993"/>
    <n v="499"/>
    <n v="876"/>
    <n v="1.3"/>
    <n v="2.2999999999999998"/>
    <n v="1.1200000000000001"/>
    <n v="3.52"/>
    <n v="130"/>
    <n v="350"/>
    <n v="220"/>
    <n v="540"/>
    <n v="31"/>
    <n v="49"/>
    <n v="1.4949999999999999"/>
  </r>
  <r>
    <n v="2952"/>
    <s v="RIVER NEAR NEWTA DAM,JAIPUR,RAJSTHAN"/>
    <x v="11"/>
    <n v="19"/>
    <n v="29"/>
    <n v="0.6"/>
    <n v="5.2"/>
    <n v="7.8"/>
    <n v="9.4"/>
    <n v="1434"/>
    <n v="2440"/>
    <n v="3.6"/>
    <n v="16"/>
    <n v="1.1200000000000001"/>
    <n v="5.13"/>
    <n v="70"/>
    <n v="350"/>
    <n v="430"/>
    <n v="1600"/>
    <n v="7"/>
    <n v="63"/>
    <n v="28.8"/>
  </r>
  <r>
    <n v="4790"/>
    <s v="RIVER PIPLADAT PIPLAD DAM, BHAWANI MANDI"/>
    <x v="11"/>
    <n v="20"/>
    <n v="31"/>
    <n v="4.2"/>
    <n v="5.8"/>
    <n v="8"/>
    <n v="9.4"/>
    <n v="490"/>
    <n v="754"/>
    <n v="1.9"/>
    <n v="4.0999999999999996"/>
    <n v="1.1200000000000001"/>
    <n v="2.42"/>
    <n v="130"/>
    <n v="240"/>
    <n v="240"/>
    <n v="430"/>
    <n v="26"/>
    <n v="47"/>
    <n v="3.8949999999999996"/>
  </r>
  <r>
    <n v="4770"/>
    <s v="RIVER KOTHARI AT MEJA DAM BHILWARA (UPSTREAM_x000a_OF KOTHARI RIVER)"/>
    <x v="11"/>
    <n v="18.5"/>
    <n v="22"/>
    <n v="4.5999999999999996"/>
    <n v="6.5"/>
    <n v="7.5"/>
    <n v="9.9"/>
    <n v="237"/>
    <n v="623"/>
    <n v="1.4"/>
    <n v="2.5"/>
    <n v="0.52"/>
    <n v="1.94"/>
    <n v="110"/>
    <n v="280"/>
    <n v="280"/>
    <n v="540"/>
    <n v="33"/>
    <n v="120"/>
    <n v="1.75"/>
  </r>
  <r>
    <n v="5468"/>
    <s v="RIVER KOTHARI AT KOTHARI DAM, BHILWARA"/>
    <x v="11"/>
    <n v="20.5"/>
    <n v="23.5"/>
    <n v="4.2"/>
    <n v="5.9"/>
    <n v="8"/>
    <n v="9.4"/>
    <n v="761"/>
    <n v="988"/>
    <n v="1.8"/>
    <n v="3.6"/>
    <n v="0.62"/>
    <n v="2.12"/>
    <n v="210"/>
    <n v="350"/>
    <n v="350"/>
    <n v="540"/>
    <n v="31"/>
    <n v="84"/>
    <n v="3.24"/>
  </r>
  <r>
    <n v="4172"/>
    <s v="RIVER BERACH AT GHOSUNDA DAM, CHITTORGARH"/>
    <x v="11"/>
    <n v="17"/>
    <n v="30"/>
    <n v="4.2"/>
    <n v="6.5"/>
    <n v="7.1"/>
    <n v="7.7"/>
    <n v="720"/>
    <n v="1023"/>
    <n v="2"/>
    <n v="2.9"/>
    <n v="1.82"/>
    <n v="2.95"/>
    <n v="110"/>
    <n v="170"/>
    <n v="170"/>
    <n v="280"/>
    <n v="21"/>
    <n v="58"/>
    <n v="2.9"/>
  </r>
  <r>
    <n v="4175"/>
    <s v="RIVER BERACH, NEAR HOTEL PADMINI, CHITTORGARH"/>
    <x v="11"/>
    <n v="17"/>
    <n v="30"/>
    <n v="3.2"/>
    <n v="6.2"/>
    <n v="7.1"/>
    <n v="7.9"/>
    <n v="720"/>
    <n v="1448"/>
    <n v="2"/>
    <n v="3.6"/>
    <n v="1.82"/>
    <n v="4.62"/>
    <n v="110"/>
    <n v="170"/>
    <n v="170"/>
    <n v="280"/>
    <n v="21"/>
    <n v="34"/>
    <n v="3.6"/>
  </r>
  <r>
    <n v="4804"/>
    <s v="RIVER BERACH NEAR VILLAGE-NAGARI, CHITTORGARH"/>
    <x v="11"/>
    <n v="16"/>
    <n v="30"/>
    <n v="4.2"/>
    <n v="6.6"/>
    <n v="7.3"/>
    <n v="8.1"/>
    <n v="672"/>
    <n v="902"/>
    <n v="1"/>
    <n v="3"/>
    <n v="2.2200000000000002"/>
    <n v="5.12"/>
    <n v="84"/>
    <n v="220"/>
    <n v="94"/>
    <n v="500"/>
    <n v="14"/>
    <n v="140"/>
    <n v="1.5"/>
  </r>
  <r>
    <n v="4173"/>
    <s v="RIVER GAMBHIRI AT GAMBHIRI DAM, NIMBAHERA-TEHSIL, CHITTORGARH"/>
    <x v="11"/>
    <n v="16"/>
    <n v="30"/>
    <n v="4.0999999999999996"/>
    <n v="6.9"/>
    <n v="7.1"/>
    <n v="7.9"/>
    <n v="372"/>
    <n v="682"/>
    <n v="1"/>
    <n v="2.2000000000000002"/>
    <n v="1.82"/>
    <n v="3.69"/>
    <n v="90"/>
    <n v="170"/>
    <n v="170"/>
    <n v="300"/>
    <n v="24"/>
    <n v="70"/>
    <n v="1.1000000000000001"/>
  </r>
  <r>
    <n v="4174"/>
    <s v="RIVER GAMBHIRI NEAR BUS STAND (OLD CITY BRIDGE),_x000a_CHITTORGARH,RAJASTHAN"/>
    <x v="11"/>
    <n v="18"/>
    <n v="30"/>
    <n v="4"/>
    <n v="6.6"/>
    <n v="7.1"/>
    <n v="7.9"/>
    <n v="605"/>
    <n v="945"/>
    <n v="1.9"/>
    <n v="3.5"/>
    <n v="3.19"/>
    <n v="7.01"/>
    <n v="110"/>
    <n v="220"/>
    <n v="150"/>
    <n v="350"/>
    <n v="24"/>
    <n v="79"/>
    <n v="3.3249999999999997"/>
  </r>
  <r>
    <n v="2945"/>
    <s v="RIVER CHHAPI AT CHHAPI DAM UPSTREAM , JHALAWAR,_x000a_RAJASTHAN"/>
    <x v="11"/>
    <n v="20"/>
    <n v="32"/>
    <n v="5.0999999999999996"/>
    <n v="6.2"/>
    <n v="7.8"/>
    <n v="8.5"/>
    <n v="229"/>
    <n v="439"/>
    <n v="1"/>
    <n v="2.2000000000000002"/>
    <n v="0.82"/>
    <n v="2.64"/>
    <n v="110"/>
    <n v="170"/>
    <n v="210"/>
    <n v="350"/>
    <n v="22"/>
    <n v="34"/>
    <n v="1.1000000000000001"/>
  </r>
  <r>
    <n v="2946"/>
    <s v="RIVER UJAD AT BHIM SAGAR DAM UPSTREAM ,_x000a_JHALAWAR, RAJASTHAN"/>
    <x v="11"/>
    <n v="20"/>
    <n v="32"/>
    <n v="4.0999999999999996"/>
    <n v="5.9"/>
    <n v="7.6"/>
    <n v="8.5"/>
    <n v="247"/>
    <n v="448"/>
    <n v="1"/>
    <n v="2"/>
    <n v="0.82"/>
    <n v="3.93"/>
    <n v="79"/>
    <n v="170"/>
    <n v="150"/>
    <n v="280"/>
    <n v="21"/>
    <n v="31"/>
    <n v="1"/>
  </r>
  <r>
    <n v="2869"/>
    <s v="RIVER BARAK AT SENAPATI"/>
    <x v="14"/>
    <n v="19"/>
    <n v="22"/>
    <n v="7.2"/>
    <n v="7.5"/>
    <n v="7.3"/>
    <n v="7.3"/>
    <n v="210"/>
    <n v="262"/>
    <n v="3"/>
    <n v="3.3"/>
    <n v="0"/>
    <n v="0"/>
    <n v="10"/>
    <n v="30"/>
    <n v="45"/>
    <n v="80"/>
    <m/>
    <m/>
    <n v="4.9499999999999993"/>
  </r>
  <r>
    <n v="2875"/>
    <s v="RIVER BARAK AT N.H. 53, TAMENGLONG"/>
    <x v="14"/>
    <n v="18"/>
    <n v="23"/>
    <n v="7"/>
    <n v="7.4"/>
    <n v="7.1"/>
    <n v="7.3"/>
    <n v="140"/>
    <n v="184"/>
    <n v="3.1"/>
    <n v="3.3"/>
    <n v="0"/>
    <n v="0"/>
    <n v="15"/>
    <n v="25"/>
    <n v="40"/>
    <n v="45"/>
    <m/>
    <m/>
    <n v="5.1150000000000002"/>
  </r>
  <r>
    <n v="1423"/>
    <s v="RIVER BARAK RIVER AT PANCHAGRAM , ASSAM"/>
    <x v="12"/>
    <n v="20"/>
    <n v="23"/>
    <n v="6"/>
    <n v="6.3"/>
    <n v="6.8"/>
    <n v="7.4"/>
    <n v="102"/>
    <n v="134"/>
    <n v="2.1"/>
    <n v="2.7"/>
    <n v="0.6"/>
    <n v="1.2"/>
    <n v="620"/>
    <n v="940"/>
    <n v="1400"/>
    <n v="2000"/>
    <n v="210"/>
    <n v="290"/>
    <n v="2.8350000000000004"/>
  </r>
  <r>
    <n v="4649"/>
    <s v="RIVER MANU AT MANUBAZAR"/>
    <x v="15"/>
    <n v="21"/>
    <n v="31"/>
    <n v="5.2"/>
    <n v="6.4"/>
    <n v="6.9"/>
    <n v="7.6"/>
    <n v="134"/>
    <n v="191"/>
    <n v="1.2"/>
    <n v="2.1"/>
    <n v="0.9"/>
    <n v="2.7"/>
    <n v="33"/>
    <n v="63"/>
    <n v="110"/>
    <n v="280"/>
    <m/>
    <m/>
    <n v="1.26"/>
  </r>
  <r>
    <n v="4650"/>
    <s v="RIVER MANU AT CHAILENGTA"/>
    <x v="15"/>
    <n v="21"/>
    <n v="30.5"/>
    <n v="5.2"/>
    <n v="6.2"/>
    <n v="6.6"/>
    <n v="7.2"/>
    <n v="142"/>
    <n v="189"/>
    <n v="1.1000000000000001"/>
    <n v="1.9"/>
    <n v="0.9"/>
    <n v="2.4"/>
    <n v="27"/>
    <n v="58"/>
    <n v="94"/>
    <n v="240"/>
    <m/>
    <m/>
    <n v="1.0449999999999999"/>
  </r>
  <r>
    <n v="2877"/>
    <s v="RIVER KHUGA (TUITHA) DAM ON KHUGA RIVER"/>
    <x v="14"/>
    <n v="19"/>
    <n v="22"/>
    <n v="7.2"/>
    <n v="7.4"/>
    <n v="7.1"/>
    <n v="7.3"/>
    <n v="170"/>
    <n v="190"/>
    <n v="3"/>
    <n v="3.3"/>
    <n v="0"/>
    <n v="0"/>
    <n v="20"/>
    <n v="25"/>
    <n v="55"/>
    <n v="65"/>
    <m/>
    <m/>
    <n v="4.9499999999999993"/>
  </r>
  <r>
    <n v="2878"/>
    <s v="RIVER THONGJAOROK AT THONGJAOROK BRIDGE"/>
    <x v="14"/>
    <n v="19"/>
    <n v="28"/>
    <n v="7.1"/>
    <n v="7.5"/>
    <n v="7"/>
    <n v="7.4"/>
    <n v="150"/>
    <n v="190"/>
    <n v="3.2"/>
    <n v="3.5"/>
    <n v="0"/>
    <n v="140"/>
    <n v="40"/>
    <n v="65"/>
    <n v="45"/>
    <n v="155"/>
    <m/>
    <m/>
    <n v="5.6000000000000005"/>
  </r>
  <r>
    <n v="2242"/>
    <s v="RIVER KUSHIARA AT KARIMGANJ, ASSAM"/>
    <x v="12"/>
    <n v="20"/>
    <n v="24"/>
    <n v="5.2"/>
    <n v="6.8"/>
    <n v="7"/>
    <n v="7.3"/>
    <n v="84"/>
    <n v="108"/>
    <n v="2"/>
    <n v="2.5"/>
    <n v="0.6"/>
    <n v="1.3"/>
    <n v="360"/>
    <n v="730"/>
    <n v="910"/>
    <n v="1600"/>
    <n v="120"/>
    <n v="290"/>
    <n v="2.5"/>
  </r>
  <r>
    <n v="1925"/>
    <s v="RIVER KHUGA (TUITHA) AT RENGKAI,_x000a_CHURACHANDPUR"/>
    <x v="14"/>
    <n v="19"/>
    <n v="24"/>
    <n v="5.4"/>
    <n v="7.3"/>
    <n v="7.1"/>
    <n v="7.2"/>
    <n v="140"/>
    <n v="574"/>
    <n v="3.2"/>
    <n v="4.5999999999999996"/>
    <n v="0"/>
    <n v="0"/>
    <n v="60"/>
    <n v="230"/>
    <n v="195"/>
    <n v="780"/>
    <m/>
    <m/>
    <n v="7.3599999999999994"/>
  </r>
  <r>
    <n v="2880"/>
    <s v="RIVER NAMBUL AT BISHNUPUR"/>
    <x v="14"/>
    <n v="18"/>
    <n v="29"/>
    <n v="7.1"/>
    <n v="7.4"/>
    <n v="7"/>
    <n v="7.4"/>
    <n v="162"/>
    <n v="215"/>
    <n v="3.3"/>
    <n v="3.4"/>
    <n v="0"/>
    <n v="0"/>
    <n v="70"/>
    <n v="105"/>
    <n v="165"/>
    <n v="230"/>
    <m/>
    <m/>
    <n v="5.6099999999999994"/>
  </r>
  <r>
    <n v="3107"/>
    <s v="RIVER DIHING AT MIAO (U/S OF NOA DIHING)"/>
    <x v="16"/>
    <n v="19.399999999999999"/>
    <n v="27.6"/>
    <n v="6.9"/>
    <n v="9.8000000000000007"/>
    <n v="7.4"/>
    <n v="8.1"/>
    <n v="79"/>
    <n v="428"/>
    <n v="1"/>
    <n v="2"/>
    <n v="0"/>
    <n v="0"/>
    <m/>
    <m/>
    <m/>
    <m/>
    <m/>
    <m/>
    <n v="1"/>
  </r>
  <r>
    <n v="3095"/>
    <s v="RIVER SENKI AT CHANDRANAGAR, ITANAGAR, (U/S OF_x000a_PACHIN RIVER)"/>
    <x v="16"/>
    <n v="20.3"/>
    <n v="29.4"/>
    <n v="6.2"/>
    <n v="8.9"/>
    <n v="7"/>
    <n v="8.8000000000000007"/>
    <n v="57"/>
    <n v="296"/>
    <n v="1"/>
    <n v="2.6"/>
    <n v="0"/>
    <n v="0"/>
    <m/>
    <m/>
    <m/>
    <m/>
    <m/>
    <m/>
    <n v="1.3"/>
  </r>
  <r>
    <n v="3096"/>
    <s v="RIVER DIKRONG AT NIRJULI (U/S)"/>
    <x v="16"/>
    <n v="21.4"/>
    <n v="32.799999999999997"/>
    <n v="6"/>
    <n v="9.1999999999999993"/>
    <n v="6.7"/>
    <n v="8.6999999999999993"/>
    <n v="65"/>
    <n v="219"/>
    <n v="1"/>
    <n v="2.6"/>
    <n v="0"/>
    <n v="0"/>
    <m/>
    <m/>
    <m/>
    <m/>
    <m/>
    <m/>
    <n v="1.3"/>
  </r>
  <r>
    <n v="3777"/>
    <s v="RIVER DORIKA NEAR MSW DUMPING SITE, SIVASAGAR"/>
    <x v="12"/>
    <n v="20"/>
    <n v="33"/>
    <n v="4.2"/>
    <n v="5.8"/>
    <n v="6.6"/>
    <n v="7.6"/>
    <n v="108"/>
    <n v="208"/>
    <n v="1.9"/>
    <n v="2.8"/>
    <n v="0.6"/>
    <n v="1.3"/>
    <n v="720"/>
    <n v="1100"/>
    <n v="1500"/>
    <n v="2800"/>
    <n v="270"/>
    <n v="390"/>
    <n v="2.6599999999999997"/>
  </r>
  <r>
    <n v="3105"/>
    <s v="RIVER GAI NADI, NEAR HSS LIKABALI (D/S)"/>
    <x v="16"/>
    <n v="22"/>
    <n v="27.9"/>
    <n v="6.4"/>
    <n v="9.4"/>
    <n v="7.1"/>
    <n v="8.6"/>
    <n v="85"/>
    <n v="470"/>
    <n v="1"/>
    <n v="1"/>
    <n v="0"/>
    <n v="0"/>
    <m/>
    <m/>
    <m/>
    <m/>
    <m/>
    <m/>
    <n v="0.5"/>
  </r>
  <r>
    <n v="1261"/>
    <s v="RIVER SUBANSIRI AT GERUKAMUKH (BEFORE_x000a_CONFLUENCE WITH RIVER BRAHMAPUTRA)"/>
    <x v="12"/>
    <n v="22"/>
    <n v="23"/>
    <n v="6.2"/>
    <n v="8.3000000000000007"/>
    <n v="7"/>
    <n v="7.6"/>
    <n v="108"/>
    <n v="138"/>
    <n v="2"/>
    <n v="2.4"/>
    <n v="0.4"/>
    <n v="1.6"/>
    <n v="360"/>
    <n v="940"/>
    <n v="910"/>
    <n v="2100"/>
    <n v="120"/>
    <n v="290"/>
    <n v="2.4"/>
  </r>
  <r>
    <n v="3097"/>
    <s v="RIVER SUBANSIRI AT GERUKAMUKH"/>
    <x v="16"/>
    <n v="19"/>
    <n v="27.5"/>
    <n v="6.2"/>
    <n v="9.6"/>
    <n v="7"/>
    <n v="7.9"/>
    <n v="56"/>
    <n v="1012"/>
    <n v="1"/>
    <n v="1"/>
    <n v="0"/>
    <n v="0"/>
    <m/>
    <m/>
    <m/>
    <m/>
    <m/>
    <m/>
    <n v="0.5"/>
  </r>
  <r>
    <n v="3098"/>
    <s v="RIVER SIANG AT RANAGHAT, NEAR RCC BRIDGE,_x000a_PASIGHAT(U/S)"/>
    <x v="16"/>
    <n v="20"/>
    <n v="28.1"/>
    <n v="7.6"/>
    <n v="9.8000000000000007"/>
    <n v="7.4"/>
    <n v="9.3000000000000007"/>
    <n v="98"/>
    <n v="1579"/>
    <n v="1"/>
    <n v="1"/>
    <n v="0"/>
    <n v="0"/>
    <m/>
    <m/>
    <m/>
    <m/>
    <m/>
    <m/>
    <n v="0.5"/>
  </r>
  <r>
    <n v="4342"/>
    <s v="RIVER BARALIA (NEAR CHATPUJA GHAT) RANGIA,_x000a_KAMRUP"/>
    <x v="12"/>
    <n v="19"/>
    <n v="36"/>
    <n v="5.9"/>
    <n v="8.5"/>
    <n v="7.2"/>
    <n v="7.9"/>
    <n v="136"/>
    <n v="176"/>
    <n v="2.2000000000000002"/>
    <n v="2.7"/>
    <n v="0.6"/>
    <n v="1.4"/>
    <n v="620"/>
    <n v="1100"/>
    <n v="1100"/>
    <n v="2100"/>
    <n v="210"/>
    <n v="290"/>
    <n v="2.9700000000000006"/>
  </r>
  <r>
    <n v="4343"/>
    <s v="RIVER BURALIA (NEAR BRIDGE ALONG NH-31) NALBARI"/>
    <x v="12"/>
    <n v="20"/>
    <n v="31"/>
    <n v="5.0999999999999996"/>
    <n v="9.5"/>
    <n v="7"/>
    <n v="8"/>
    <n v="116"/>
    <n v="140"/>
    <n v="2.1"/>
    <n v="2.6"/>
    <n v="0.5"/>
    <n v="1.8"/>
    <n v="600"/>
    <n v="910"/>
    <n v="1200"/>
    <n v="2000"/>
    <n v="160"/>
    <n v="290"/>
    <n v="2.7300000000000004"/>
  </r>
  <r>
    <n v="2888"/>
    <s v="RIVER CHATHE AT BRIDGE NEAR CIHSR"/>
    <x v="13"/>
    <n v="21.3"/>
    <n v="36.799999999999997"/>
    <n v="6.3"/>
    <n v="8.8000000000000007"/>
    <n v="6.9"/>
    <n v="8.5"/>
    <n v="80"/>
    <n v="737"/>
    <n v="1.4"/>
    <n v="1.7"/>
    <n v="0.4"/>
    <n v="6.8"/>
    <m/>
    <m/>
    <m/>
    <m/>
    <m/>
    <m/>
    <n v="1.19"/>
  </r>
  <r>
    <n v="2891"/>
    <s v="DZUCHA RU"/>
    <x v="13"/>
    <n v="17.600000000000001"/>
    <n v="28"/>
    <n v="6.3"/>
    <n v="7.4"/>
    <n v="6.7"/>
    <n v="8.5"/>
    <n v="142"/>
    <n v="315"/>
    <n v="1.4"/>
    <n v="1.8"/>
    <n v="0.5"/>
    <n v="10.6"/>
    <m/>
    <m/>
    <m/>
    <m/>
    <m/>
    <m/>
    <n v="1.26"/>
  </r>
  <r>
    <n v="2889"/>
    <s v="DZUDZA RU BELOW HYDRO PROJECT STATION"/>
    <x v="13"/>
    <n v="15.6"/>
    <n v="29.2"/>
    <n v="6.8"/>
    <n v="7.5"/>
    <n v="6.5"/>
    <n v="8.6999999999999993"/>
    <n v="66"/>
    <n v="263"/>
    <n v="1.2"/>
    <n v="1.9"/>
    <n v="0.3"/>
    <n v="9.4"/>
    <m/>
    <m/>
    <m/>
    <m/>
    <m/>
    <m/>
    <n v="1.1399999999999999"/>
  </r>
  <r>
    <n v="2892"/>
    <s v="KHA RU ADJOINING MUNICIPAL COUNCIL SWM SITE"/>
    <x v="13"/>
    <n v="17.5"/>
    <n v="28.9"/>
    <n v="6.2"/>
    <n v="7.4"/>
    <n v="6.5"/>
    <n v="8.3000000000000007"/>
    <n v="88"/>
    <n v="1343"/>
    <n v="1.4"/>
    <n v="1.9"/>
    <n v="0.3"/>
    <n v="3.3"/>
    <m/>
    <m/>
    <m/>
    <m/>
    <m/>
    <m/>
    <n v="1.3299999999999998"/>
  </r>
  <r>
    <n v="2893"/>
    <s v="RIVER DZUCHA CONFLUENCE OF DZUCHA AND KHA RU"/>
    <x v="13"/>
    <n v="17.899999999999999"/>
    <n v="27.7"/>
    <n v="6.1"/>
    <n v="7.6"/>
    <n v="6.9"/>
    <n v="8.5"/>
    <n v="85"/>
    <n v="866"/>
    <n v="1.4"/>
    <n v="2.1"/>
    <n v="0.5"/>
    <n v="4.7"/>
    <m/>
    <m/>
    <m/>
    <m/>
    <m/>
    <m/>
    <n v="1.47"/>
  </r>
  <r>
    <n v="2228"/>
    <s v="GELA BEEL AT DERGAON, ASSAM"/>
    <x v="12"/>
    <n v="20"/>
    <n v="30"/>
    <n v="5"/>
    <n v="9.6"/>
    <n v="6.8"/>
    <n v="7.5"/>
    <n v="122"/>
    <n v="150"/>
    <n v="2"/>
    <n v="2.7"/>
    <n v="0.6"/>
    <n v="1.5"/>
    <n v="300"/>
    <n v="730"/>
    <n v="910"/>
    <n v="1500"/>
    <n v="120"/>
    <n v="240"/>
    <n v="2.7"/>
  </r>
  <r>
    <n v="4719"/>
    <s v="RIVER TORSA D/S OF GHUGHUMARI"/>
    <x v="7"/>
    <n v="15"/>
    <n v="28"/>
    <n v="6.3"/>
    <n v="8.9"/>
    <n v="7"/>
    <n v="7.9"/>
    <n v="83"/>
    <n v="155"/>
    <n v="1"/>
    <n v="2.8"/>
    <n v="0.3"/>
    <n v="0.66"/>
    <n v="1300"/>
    <n v="30000"/>
    <n v="3000"/>
    <n v="160000"/>
    <n v="14"/>
    <n v="140"/>
    <n v="1.4"/>
  </r>
  <r>
    <n v="4724"/>
    <s v="RIVER TORSA AT HASIMARA"/>
    <x v="7"/>
    <n v="18"/>
    <n v="27"/>
    <n v="7.3"/>
    <n v="8.9"/>
    <n v="7.2"/>
    <n v="7.8"/>
    <n v="60"/>
    <n v="131"/>
    <n v="1"/>
    <n v="2.7"/>
    <n v="0.3"/>
    <n v="0.49"/>
    <n v="2300"/>
    <n v="5000"/>
    <n v="7000"/>
    <n v="30000"/>
    <n v="12"/>
    <n v="1600"/>
    <n v="1.35"/>
  </r>
  <r>
    <n v="2238"/>
    <s v="RIVER BEKI AT NH-37 CROSSING AT BARPETA ROAD,_x000a_ASSAM"/>
    <x v="12"/>
    <n v="16"/>
    <n v="30"/>
    <n v="5.3"/>
    <n v="5.6"/>
    <n v="6.8"/>
    <n v="7.6"/>
    <n v="138"/>
    <n v="168"/>
    <n v="2"/>
    <n v="2.7"/>
    <n v="0.7"/>
    <n v="2.1"/>
    <n v="360"/>
    <n v="730"/>
    <n v="1100"/>
    <n v="1500"/>
    <n v="120"/>
    <n v="240"/>
    <n v="2.7"/>
  </r>
  <r>
    <n v="3108"/>
    <s v="RIVER BERENG AT CHOWKHAM"/>
    <x v="16"/>
    <n v="15.3"/>
    <n v="27.6"/>
    <n v="0.4"/>
    <n v="8.9"/>
    <n v="7.4"/>
    <n v="8.8000000000000007"/>
    <n v="105"/>
    <n v="204"/>
    <n v="1"/>
    <n v="1"/>
    <n v="0"/>
    <n v="0"/>
    <m/>
    <m/>
    <m/>
    <m/>
    <m/>
    <m/>
    <n v="0.5"/>
  </r>
  <r>
    <n v="1527"/>
    <s v="RIVER BHOGDOI AT JORHAT , ASSAM"/>
    <x v="12"/>
    <n v="21"/>
    <n v="33"/>
    <n v="5.2"/>
    <n v="8.5"/>
    <n v="6.6"/>
    <n v="7.3"/>
    <n v="140"/>
    <n v="258"/>
    <n v="1.9"/>
    <n v="2.5"/>
    <n v="0.6"/>
    <n v="1.4"/>
    <n v="360"/>
    <n v="910"/>
    <n v="910"/>
    <n v="2000"/>
    <n v="140"/>
    <n v="340"/>
    <n v="2.375"/>
  </r>
  <r>
    <n v="3769"/>
    <s v="RIVER BHOGDOI (PUJADUBI GHAT) INTAKE POINT OF_x000a_URBAN WATER SUPPLY, JORHAT"/>
    <x v="12"/>
    <n v="21"/>
    <n v="33"/>
    <n v="6"/>
    <n v="8"/>
    <n v="6.6"/>
    <n v="7.7"/>
    <n v="138"/>
    <n v="228"/>
    <n v="1.6"/>
    <n v="2.8"/>
    <n v="0.6"/>
    <n v="1.4"/>
    <n v="300"/>
    <n v="730"/>
    <n v="700"/>
    <n v="1100"/>
    <n v="110"/>
    <n v="280"/>
    <n v="2.2399999999999998"/>
  </r>
  <r>
    <n v="1258"/>
    <s v="RIVER JHANJI AT N.H. CROSSING JORHAT, ASSAM"/>
    <x v="12"/>
    <n v="19"/>
    <n v="32"/>
    <n v="5.5"/>
    <n v="8.1"/>
    <n v="6.6"/>
    <n v="7.4"/>
    <n v="110"/>
    <n v="132"/>
    <n v="2.1"/>
    <n v="2.6"/>
    <n v="0.6"/>
    <n v="1.4"/>
    <n v="300"/>
    <n v="360"/>
    <n v="720"/>
    <n v="2100"/>
    <n v="110"/>
    <n v="340"/>
    <n v="2.7300000000000004"/>
  </r>
  <r>
    <n v="2063"/>
    <s v="RIVER JIA BHARALI AT BISWANATH CHARALI, SONITPUR"/>
    <x v="12"/>
    <n v="18"/>
    <n v="25"/>
    <n v="6.8"/>
    <n v="7"/>
    <n v="7"/>
    <n v="7.5"/>
    <n v="126"/>
    <n v="142"/>
    <n v="2"/>
    <n v="2.5"/>
    <n v="0.7"/>
    <n v="1.8"/>
    <n v="360"/>
    <n v="730"/>
    <n v="910"/>
    <n v="2000"/>
    <n v="120"/>
    <n v="290"/>
    <n v="2.5"/>
  </r>
  <r>
    <n v="2239"/>
    <s v="RIVER SANKOSH DHUBRI, ASSAM"/>
    <x v="12"/>
    <n v="21"/>
    <n v="33"/>
    <n v="5.2"/>
    <n v="5.4"/>
    <n v="6.9"/>
    <n v="7.7"/>
    <n v="126"/>
    <n v="152"/>
    <n v="2"/>
    <n v="2.5"/>
    <n v="0.6"/>
    <n v="1.8"/>
    <n v="300"/>
    <n v="910"/>
    <n v="620"/>
    <n v="2000"/>
    <n v="96"/>
    <n v="290"/>
    <n v="2.5"/>
  </r>
  <r>
    <n v="2890"/>
    <s v="SANUO RU BELOW NEW SECRETARIAT"/>
    <x v="13"/>
    <n v="17.399999999999999"/>
    <n v="26.1"/>
    <n v="6.3"/>
    <n v="7.5"/>
    <n v="6.5"/>
    <n v="9"/>
    <n v="152"/>
    <n v="754"/>
    <n v="1.4"/>
    <n v="2"/>
    <n v="0.3"/>
    <n v="4.8"/>
    <m/>
    <m/>
    <m/>
    <m/>
    <m/>
    <m/>
    <n v="1.4"/>
  </r>
  <r>
    <n v="2233"/>
    <s v="RIVER BOGINADI NEAR BRIDGE NH-52, LAKHIMPUR,_x000a_ASSAM"/>
    <x v="12"/>
    <n v="19"/>
    <n v="32"/>
    <n v="5.5"/>
    <n v="6.3"/>
    <n v="7.2"/>
    <n v="7.9"/>
    <n v="112"/>
    <n v="136"/>
    <n v="2"/>
    <n v="2.4"/>
    <n v="0.5"/>
    <n v="2"/>
    <n v="620"/>
    <n v="930"/>
    <n v="1300"/>
    <n v="2000"/>
    <n v="210"/>
    <n v="290"/>
    <n v="2.4"/>
  </r>
  <r>
    <n v="3372"/>
    <s v="RIVER RILANG AT MAWKYRWAT,"/>
    <x v="17"/>
    <n v="14"/>
    <n v="19"/>
    <n v="7.3"/>
    <n v="8.8000000000000007"/>
    <n v="6.8"/>
    <n v="7.2"/>
    <n v="30"/>
    <n v="39"/>
    <n v="1"/>
    <n v="1.1000000000000001"/>
    <n v="0.32"/>
    <n v="0.41"/>
    <n v="2"/>
    <n v="2"/>
    <n v="24"/>
    <n v="64"/>
    <n v="2"/>
    <n v="2"/>
    <n v="0.55000000000000004"/>
  </r>
  <r>
    <n v="3377"/>
    <s v="RIVER MYNTANG AT NARTIANG"/>
    <x v="17"/>
    <n v="12"/>
    <n v="20"/>
    <n v="6.6"/>
    <n v="8.1999999999999993"/>
    <n v="6.8"/>
    <n v="7.1"/>
    <n v="34"/>
    <n v="45"/>
    <n v="1.3"/>
    <n v="2.2999999999999998"/>
    <n v="0.32"/>
    <n v="5.37"/>
    <n v="2"/>
    <n v="48"/>
    <n v="230"/>
    <n v="540"/>
    <n v="2"/>
    <n v="14"/>
    <n v="1.4949999999999999"/>
  </r>
  <r>
    <n v="3378"/>
    <s v="RIVER MYNTANG AT MYNSO"/>
    <x v="17"/>
    <n v="10"/>
    <n v="20"/>
    <n v="7.1"/>
    <n v="8.6999999999999993"/>
    <n v="6.7"/>
    <n v="7.1"/>
    <n v="36"/>
    <n v="46"/>
    <n v="1"/>
    <n v="1.5"/>
    <n v="0.34"/>
    <n v="5.41"/>
    <n v="2"/>
    <n v="6"/>
    <n v="23"/>
    <n v="49"/>
    <n v="2"/>
    <n v="2"/>
    <n v="0.75"/>
  </r>
  <r>
    <n v="3380"/>
    <s v="RIVER DAMRING (KRISHNAI RIVER) AT RESUBELPARA"/>
    <x v="17"/>
    <n v="15"/>
    <n v="22"/>
    <n v="7"/>
    <n v="7.9"/>
    <n v="6.9"/>
    <n v="7.6"/>
    <n v="58"/>
    <n v="76"/>
    <n v="1.3"/>
    <n v="2.1"/>
    <n v="0.32"/>
    <n v="0.5"/>
    <n v="12"/>
    <n v="63"/>
    <n v="350"/>
    <n v="700"/>
    <n v="2"/>
    <n v="21"/>
    <n v="1.3650000000000002"/>
  </r>
  <r>
    <n v="3381"/>
    <s v="RIVER MANDA (DUDHNOI RIVER) AT JAMGE,"/>
    <x v="17"/>
    <n v="15"/>
    <n v="22"/>
    <n v="6.6"/>
    <n v="7.6"/>
    <n v="6.6"/>
    <n v="6.9"/>
    <n v="60"/>
    <n v="74"/>
    <n v="1.5"/>
    <n v="2.5"/>
    <n v="0.32"/>
    <n v="0.54"/>
    <n v="23"/>
    <n v="120"/>
    <n v="310"/>
    <n v="790"/>
    <n v="2"/>
    <n v="30"/>
    <n v="1.875"/>
  </r>
  <r>
    <n v="3382"/>
    <s v="RIVER MANDA (DUDHNOI RIVER) AT WAGEASI"/>
    <x v="17"/>
    <n v="15"/>
    <n v="22"/>
    <n v="7"/>
    <n v="7.6"/>
    <n v="7"/>
    <n v="7.5"/>
    <n v="57"/>
    <n v="77"/>
    <n v="1.5"/>
    <n v="2.2999999999999998"/>
    <n v="0.32"/>
    <n v="0.45"/>
    <n v="12"/>
    <n v="110"/>
    <n v="310"/>
    <n v="630"/>
    <n v="2"/>
    <n v="27"/>
    <n v="1.7249999999999999"/>
  </r>
  <r>
    <n v="2050"/>
    <s v="RIVER TLAWNG MID STREAM, REIEK KAI, AIZAWL,U/S_x000a_OF TLAWNG BRIDGE"/>
    <x v="18"/>
    <n v="19"/>
    <n v="25"/>
    <n v="5.0999999999999996"/>
    <n v="8.1999999999999993"/>
    <n v="7.3"/>
    <n v="8.4"/>
    <n v="102"/>
    <n v="367"/>
    <n v="1"/>
    <n v="1.3"/>
    <n v="0.02"/>
    <n v="0.56999999999999995"/>
    <n v="2"/>
    <n v="150"/>
    <n v="210"/>
    <n v="2400"/>
    <n v="17"/>
    <n v="17"/>
    <n v="0.65"/>
  </r>
  <r>
    <n v="2051"/>
    <s v="RIVER TLAWNG MID STREAM, REIEK KAI, AIZAWL,D/S OF_x000a_TLAWNG BRIDGE"/>
    <x v="18"/>
    <n v="19"/>
    <n v="25"/>
    <n v="5.3"/>
    <n v="8.4"/>
    <n v="7.3"/>
    <n v="8.3000000000000007"/>
    <n v="110"/>
    <n v="364"/>
    <n v="1"/>
    <n v="1.5"/>
    <n v="0.02"/>
    <n v="0.6"/>
    <n v="2"/>
    <n v="150"/>
    <n v="210"/>
    <n v="2400"/>
    <n v="17"/>
    <n v="17"/>
    <n v="0.75"/>
  </r>
  <r>
    <n v="2053"/>
    <s v="RIVER TUIRIAL MID STREAM, TUIRIAL VILLAGE,D/S OF_x000a_TUIRIAL BRIDGE"/>
    <x v="18"/>
    <n v="19"/>
    <n v="24"/>
    <n v="4.2"/>
    <n v="8.3000000000000007"/>
    <n v="6.7"/>
    <n v="8.4"/>
    <n v="145"/>
    <n v="428"/>
    <n v="1"/>
    <n v="1.2"/>
    <n v="0.02"/>
    <n v="1.08"/>
    <n v="3"/>
    <n v="240"/>
    <n v="1100"/>
    <n v="2400"/>
    <n v="21"/>
    <n v="21"/>
    <n v="0.6"/>
  </r>
  <r>
    <n v="3709"/>
    <s v="RIVER TLAWNG SAIRANG"/>
    <x v="18"/>
    <n v="19"/>
    <n v="26"/>
    <n v="5.7"/>
    <n v="10.6"/>
    <n v="7.2"/>
    <n v="8.6"/>
    <n v="131"/>
    <n v="329"/>
    <n v="1"/>
    <n v="1.8"/>
    <n v="0.02"/>
    <n v="4.88"/>
    <n v="2"/>
    <n v="240"/>
    <n v="1100"/>
    <n v="2400"/>
    <n v="23"/>
    <n v="23"/>
    <n v="0.9"/>
  </r>
  <r>
    <n v="3754"/>
    <s v="RIVER TLAWNG D/S, RIMAWI VENG, BAIRABI,KOLASIB_x000a_DIST."/>
    <x v="18"/>
    <n v="11"/>
    <n v="25"/>
    <n v="5.5"/>
    <n v="10"/>
    <n v="6.8"/>
    <n v="7.9"/>
    <n v="148"/>
    <n v="280"/>
    <n v="1"/>
    <n v="1.6"/>
    <n v="0.02"/>
    <n v="2.4"/>
    <m/>
    <m/>
    <m/>
    <m/>
    <m/>
    <m/>
    <n v="0.8"/>
  </r>
  <r>
    <n v="4121"/>
    <s v="RIVER TLAWNG D/S,SUARPUI, BAIRABI HEPP DAM SITE,_x000a_BAIRABI,KOLASIB DIST."/>
    <x v="18"/>
    <n v="10"/>
    <n v="25"/>
    <n v="5.4"/>
    <n v="7.5"/>
    <n v="6.8"/>
    <n v="8.1"/>
    <n v="107"/>
    <n v="265"/>
    <n v="1"/>
    <n v="1.4"/>
    <n v="0.02"/>
    <n v="1.8"/>
    <m/>
    <m/>
    <m/>
    <m/>
    <m/>
    <m/>
    <n v="0.7"/>
  </r>
  <r>
    <n v="3734"/>
    <s v="RIVER TLAWNG U/S, ZOBAWK VILLAGE, LUNGLEI DIST."/>
    <x v="18"/>
    <n v="14"/>
    <n v="26"/>
    <n v="6.9"/>
    <n v="9.6"/>
    <n v="6.1"/>
    <n v="7.2"/>
    <n v="36"/>
    <n v="214"/>
    <n v="1"/>
    <n v="1.4"/>
    <n v="0.02"/>
    <n v="5.28"/>
    <m/>
    <m/>
    <m/>
    <m/>
    <m/>
    <m/>
    <n v="0.7"/>
  </r>
  <r>
    <n v="3736"/>
    <s v="RIVER TLAWNG U/S, PIALTHLENG ZOTLANG, LUNGLEI"/>
    <x v="18"/>
    <n v="20"/>
    <n v="28"/>
    <n v="6.2"/>
    <n v="9.1999999999999993"/>
    <n v="7.3"/>
    <n v="8"/>
    <n v="77"/>
    <n v="225"/>
    <n v="1.1000000000000001"/>
    <n v="1.3"/>
    <n v="0.02"/>
    <n v="0.96"/>
    <m/>
    <m/>
    <m/>
    <m/>
    <m/>
    <m/>
    <n v="0.71500000000000008"/>
  </r>
  <r>
    <n v="3710"/>
    <s v="RIVER, SERLUI STREAM, REIEK KAI,_x000a_NEAR PHE WATER TREATMENT PLANT, AIZAWL"/>
    <x v="18"/>
    <n v="18"/>
    <n v="24"/>
    <n v="5.7"/>
    <n v="8.1999999999999993"/>
    <n v="7.3"/>
    <n v="8.5"/>
    <n v="18"/>
    <n v="422"/>
    <n v="1"/>
    <n v="1.3"/>
    <n v="0.02"/>
    <n v="31.02"/>
    <m/>
    <m/>
    <m/>
    <m/>
    <m/>
    <m/>
    <n v="0.65"/>
  </r>
  <r>
    <n v="3711"/>
    <s v="VAIPUANPHO STREAM, AILAWNG, MAMIT DIST."/>
    <x v="18"/>
    <n v="20"/>
    <n v="24"/>
    <n v="4.9000000000000004"/>
    <n v="8.1999999999999993"/>
    <n v="7.2"/>
    <n v="8.1"/>
    <n v="38"/>
    <n v="126"/>
    <n v="1"/>
    <n v="1.3"/>
    <n v="0.02"/>
    <n v="0.92"/>
    <m/>
    <m/>
    <m/>
    <m/>
    <m/>
    <m/>
    <n v="0.65"/>
  </r>
  <r>
    <n v="3712"/>
    <s v="TUIKUAL STREAM, D/S, REIEK KAI, NEAR PHE WATER_x000a_TREATMENT PLANT, AIZAWL"/>
    <x v="18"/>
    <n v="19"/>
    <n v="25"/>
    <n v="3.9"/>
    <n v="8.1999999999999993"/>
    <n v="7.6"/>
    <n v="8.4"/>
    <n v="113"/>
    <n v="359"/>
    <n v="1"/>
    <n v="5.5"/>
    <n v="0.02"/>
    <n v="1.42"/>
    <n v="2"/>
    <n v="210"/>
    <n v="210"/>
    <n v="2400"/>
    <n v="26"/>
    <n v="26"/>
    <n v="2.75"/>
  </r>
  <r>
    <n v="3713"/>
    <s v="SAKHISIH STREAM,_x000a_MISSION VENGTHLANG, AIZAWL"/>
    <x v="18"/>
    <n v="15"/>
    <n v="24"/>
    <n v="4.0999999999999996"/>
    <n v="6.9"/>
    <n v="5.6"/>
    <n v="8.1"/>
    <n v="182"/>
    <n v="746"/>
    <n v="1"/>
    <n v="2.9"/>
    <n v="0.02"/>
    <n v="10.92"/>
    <m/>
    <m/>
    <m/>
    <m/>
    <m/>
    <m/>
    <n v="1.45"/>
  </r>
  <r>
    <n v="3714"/>
    <s v="RIVER TUIRIAL UPSTREAM, SUMSUIH,AIZAWL DIST"/>
    <x v="18"/>
    <n v="11"/>
    <n v="22"/>
    <n v="6.6"/>
    <n v="7.8"/>
    <n v="6"/>
    <n v="7.6"/>
    <n v="24"/>
    <n v="280"/>
    <n v="1"/>
    <n v="1.8"/>
    <n v="0.02"/>
    <n v="1.3"/>
    <m/>
    <m/>
    <m/>
    <m/>
    <m/>
    <m/>
    <n v="0.9"/>
  </r>
  <r>
    <n v="3715"/>
    <s v="RIVER TUIRIAL MID STREAM, AIRFIELD, U/S OF TUIRIAL_x000a_WASTE MANAGEMENT CENTRE,AIZAWL DIST."/>
    <x v="18"/>
    <n v="19"/>
    <n v="24"/>
    <n v="4.2"/>
    <n v="8.1"/>
    <n v="7.4"/>
    <n v="8.4"/>
    <n v="143"/>
    <n v="413"/>
    <n v="1"/>
    <n v="1.4"/>
    <n v="0.02"/>
    <n v="5.32"/>
    <m/>
    <m/>
    <m/>
    <m/>
    <m/>
    <m/>
    <n v="0.7"/>
  </r>
  <r>
    <n v="4118"/>
    <s v="RIVER TUIRIAL D/S, HEPP DAM, SAIPUM, KOLASIB DIST."/>
    <x v="18"/>
    <n v="19"/>
    <n v="36"/>
    <n v="5.3"/>
    <n v="9.1"/>
    <n v="6.9"/>
    <n v="7.5"/>
    <n v="81"/>
    <n v="119"/>
    <n v="1"/>
    <n v="1.4"/>
    <n v="0.02"/>
    <n v="0.78"/>
    <m/>
    <m/>
    <m/>
    <m/>
    <m/>
    <m/>
    <n v="0.7"/>
  </r>
  <r>
    <n v="3717"/>
    <s v="RIVER TUIRIAL MID STREAM, AIRFIELD, D/S OF TUIRIAL_x000a_WASTE MANAGEMENT CENTRE,AIZAWL DIST"/>
    <x v="18"/>
    <n v="19"/>
    <n v="24"/>
    <n v="4.0999999999999996"/>
    <n v="8.1999999999999993"/>
    <n v="7.5"/>
    <n v="8.5"/>
    <n v="167"/>
    <n v="480"/>
    <n v="1"/>
    <n v="1.4"/>
    <n v="0.02"/>
    <n v="1.63"/>
    <m/>
    <m/>
    <m/>
    <m/>
    <m/>
    <m/>
    <n v="0.7"/>
  </r>
  <r>
    <n v="2052"/>
    <s v="RIVER TUIRIAL MID STREAM, TUIRIAL VILLAGE,U/S OF_x000a_TUIRIAL BRIDGE"/>
    <x v="18"/>
    <n v="19"/>
    <n v="24"/>
    <n v="4"/>
    <n v="8"/>
    <n v="6.5"/>
    <n v="8.4"/>
    <n v="149"/>
    <n v="405"/>
    <n v="1"/>
    <n v="1.3"/>
    <n v="0.02"/>
    <n v="1.46"/>
    <n v="3"/>
    <n v="240"/>
    <n v="1100"/>
    <n v="2400"/>
    <n v="21"/>
    <n v="21"/>
    <n v="0.65"/>
  </r>
  <r>
    <n v="3716"/>
    <s v="DAMDIAI STREAM, AIRFIELD,NEAR TUIRIAL WASTE_x000a_MANAGEMENT CENTRE,AIZAWL DIST"/>
    <x v="18"/>
    <n v="19"/>
    <n v="24"/>
    <n v="5.0999999999999996"/>
    <n v="9"/>
    <n v="7.7"/>
    <n v="8.4"/>
    <n v="119"/>
    <n v="320"/>
    <n v="1"/>
    <n v="1.6"/>
    <n v="0.02"/>
    <n v="0.86"/>
    <m/>
    <m/>
    <m/>
    <m/>
    <m/>
    <m/>
    <n v="0.8"/>
  </r>
  <r>
    <n v="3718"/>
    <s v="CHITE STREAM, ARMED VENG,_x000a_NEAR MINI SPORTS COMPLEX, AIZAWL"/>
    <x v="18"/>
    <n v="20"/>
    <n v="24"/>
    <n v="1.5"/>
    <n v="7.1"/>
    <n v="7.3"/>
    <n v="8.1999999999999993"/>
    <n v="371"/>
    <n v="914"/>
    <n v="1.2"/>
    <n v="29"/>
    <n v="0.02"/>
    <n v="18"/>
    <n v="2"/>
    <n v="1100"/>
    <n v="1600"/>
    <n v="2400"/>
    <n v="240"/>
    <n v="240"/>
    <n v="17.399999999999999"/>
  </r>
  <r>
    <n v="3719"/>
    <s v="TUIRINI RIVER, SELING, SAITUAL DIST"/>
    <x v="18"/>
    <n v="16"/>
    <n v="26"/>
    <n v="7.5"/>
    <n v="9.8000000000000007"/>
    <n v="6.8"/>
    <n v="8"/>
    <n v="93"/>
    <n v="217"/>
    <n v="1"/>
    <n v="1.5"/>
    <n v="0.02"/>
    <n v="1.3"/>
    <m/>
    <m/>
    <m/>
    <m/>
    <m/>
    <m/>
    <n v="0.75"/>
  </r>
  <r>
    <n v="3720"/>
    <s v="TUIVAWL RIVER, KEIFANG VILLAGE, NEAR TUIVAWL_x000a_BRIDGE,SAITUAL DIST"/>
    <x v="18"/>
    <n v="16"/>
    <n v="26"/>
    <n v="6.8"/>
    <n v="9.9"/>
    <n v="6.6"/>
    <n v="7.7"/>
    <n v="97"/>
    <n v="215"/>
    <n v="1"/>
    <n v="1.4"/>
    <n v="0.02"/>
    <n v="0.59"/>
    <m/>
    <m/>
    <m/>
    <m/>
    <m/>
    <m/>
    <n v="0.7"/>
  </r>
  <r>
    <n v="3721"/>
    <s v="LAWIBUAL STREAM,_x000a_I.T.I VENG, AIZAWL"/>
    <x v="18"/>
    <n v="18"/>
    <n v="24"/>
    <n v="0.3"/>
    <n v="6.9"/>
    <n v="5.6"/>
    <n v="8.1999999999999993"/>
    <n v="166"/>
    <n v="855"/>
    <n v="1"/>
    <n v="14.3"/>
    <n v="0.02"/>
    <n v="8.1999999999999993"/>
    <n v="3"/>
    <n v="210"/>
    <n v="2400"/>
    <n v="2400"/>
    <m/>
    <m/>
    <n v="7.15"/>
  </r>
  <r>
    <n v="3724"/>
    <s v="CHALLUI STREAM, LENGPUI, AIZAWL DIST"/>
    <x v="18"/>
    <n v="18"/>
    <n v="24"/>
    <n v="5.9"/>
    <n v="9.6"/>
    <n v="6.7"/>
    <n v="8.1"/>
    <n v="104"/>
    <n v="259"/>
    <n v="1"/>
    <n v="1.6"/>
    <n v="0.02"/>
    <n v="1.1399999999999999"/>
    <m/>
    <m/>
    <m/>
    <m/>
    <m/>
    <m/>
    <n v="0.8"/>
  </r>
  <r>
    <n v="3735"/>
    <s v="MAT RIVER, DAWN VILLAGE, NEAR MAT_x000a_BRIDGE,LUNGLEI DIST."/>
    <x v="18"/>
    <n v="15"/>
    <n v="26"/>
    <n v="6"/>
    <n v="10.5"/>
    <n v="5.7"/>
    <n v="7.5"/>
    <n v="37"/>
    <n v="1209"/>
    <n v="1"/>
    <n v="1.5"/>
    <n v="0.02"/>
    <n v="8.4499999999999993"/>
    <m/>
    <m/>
    <m/>
    <m/>
    <m/>
    <m/>
    <n v="0.75"/>
  </r>
  <r>
    <n v="3740"/>
    <s v="SAIKAH STREAM, LAWNGTLAI"/>
    <x v="18"/>
    <n v="21"/>
    <n v="25"/>
    <n v="5"/>
    <n v="7.2"/>
    <n v="6.5"/>
    <n v="7.6"/>
    <n v="60"/>
    <n v="479"/>
    <n v="1"/>
    <n v="1.5"/>
    <n v="0.02"/>
    <n v="1.55"/>
    <m/>
    <m/>
    <m/>
    <m/>
    <m/>
    <m/>
    <n v="0.75"/>
  </r>
  <r>
    <n v="3744"/>
    <s v="CHHIMTUIPUI RIVER, KAWLCHAW, NEAR CHHIMTUPUI_x000a_BRIDGE, SAIHA DIST."/>
    <x v="18"/>
    <n v="15"/>
    <n v="34"/>
    <n v="6"/>
    <n v="8.9"/>
    <n v="6.8"/>
    <n v="8"/>
    <n v="99"/>
    <n v="557"/>
    <n v="1"/>
    <n v="1.4"/>
    <n v="0.02"/>
    <n v="2.35"/>
    <m/>
    <m/>
    <m/>
    <m/>
    <m/>
    <m/>
    <n v="0.7"/>
  </r>
  <r>
    <n v="3746"/>
    <s v="TUIKUM RIVER,_x000a_NEAR PHE WATER TREATMENT PLANT, SERCHHIP"/>
    <x v="18"/>
    <n v="14"/>
    <n v="25"/>
    <n v="5.7"/>
    <n v="8.1999999999999993"/>
    <n v="6.3"/>
    <n v="7.8"/>
    <n v="69"/>
    <n v="306"/>
    <n v="1"/>
    <n v="1.5"/>
    <n v="0.02"/>
    <n v="1.06"/>
    <m/>
    <m/>
    <m/>
    <m/>
    <m/>
    <m/>
    <n v="0.75"/>
  </r>
  <r>
    <n v="3747"/>
    <s v="SESAH STREAM, DINTHAR, SERCHHIP"/>
    <x v="18"/>
    <n v="13"/>
    <n v="24"/>
    <n v="6.7"/>
    <n v="9.1999999999999993"/>
    <n v="6.9"/>
    <n v="7.9"/>
    <n v="75"/>
    <n v="232"/>
    <n v="1"/>
    <n v="1.4"/>
    <n v="0.02"/>
    <n v="0.7"/>
    <m/>
    <m/>
    <m/>
    <m/>
    <m/>
    <m/>
    <n v="0.7"/>
  </r>
  <r>
    <n v="3749"/>
    <s v="RIVER PHE RESERVIOR (LAHMUN RIVER), MIZO VENG,_x000a_MAMIT"/>
    <x v="18"/>
    <n v="17"/>
    <n v="23"/>
    <n v="6.6"/>
    <n v="7.9"/>
    <n v="7.2"/>
    <n v="8.1999999999999993"/>
    <n v="72"/>
    <n v="212"/>
    <n v="1"/>
    <n v="1.6"/>
    <n v="0.02"/>
    <n v="0.92"/>
    <m/>
    <m/>
    <m/>
    <m/>
    <m/>
    <m/>
    <n v="0.8"/>
  </r>
  <r>
    <n v="3750"/>
    <s v="RIVER TEIREI BAWNGVA, MAMIT DIST."/>
    <x v="18"/>
    <n v="16"/>
    <n v="25"/>
    <n v="6"/>
    <n v="8.6"/>
    <n v="7.1"/>
    <n v="8"/>
    <n v="148"/>
    <n v="273"/>
    <n v="1"/>
    <n v="1.4"/>
    <n v="0.02"/>
    <n v="1.95"/>
    <m/>
    <m/>
    <m/>
    <m/>
    <m/>
    <m/>
    <n v="0.7"/>
  </r>
  <r>
    <n v="3751"/>
    <s v="RIVER TUT DAPCHHUAH, MAMIT DIST."/>
    <x v="18"/>
    <n v="15"/>
    <n v="25"/>
    <n v="7.7"/>
    <n v="8.8000000000000007"/>
    <n v="6.4"/>
    <n v="8.1"/>
    <n v="109"/>
    <n v="673"/>
    <n v="1"/>
    <n v="1.5"/>
    <n v="0.02"/>
    <n v="2.48"/>
    <m/>
    <m/>
    <m/>
    <m/>
    <m/>
    <m/>
    <n v="0.75"/>
  </r>
  <r>
    <n v="3752"/>
    <s v="RIVER TUICHHUAHEN STREAM,_x000a_NEAR PHE WATER TREATMENT PLANT, KOLASIB"/>
    <x v="18"/>
    <n v="16"/>
    <n v="23"/>
    <n v="6.6"/>
    <n v="8.4"/>
    <n v="6"/>
    <n v="7.7"/>
    <n v="70"/>
    <n v="668"/>
    <n v="1"/>
    <n v="1.4"/>
    <n v="0.02"/>
    <n v="2.25"/>
    <m/>
    <m/>
    <m/>
    <m/>
    <m/>
    <m/>
    <n v="0.7"/>
  </r>
  <r>
    <n v="3756"/>
    <s v="RIVER TIAU, ZOKHAWTHAR,_x000a_NEAR TIAU BRIDGE,CHAMPHAI DIST."/>
    <x v="18"/>
    <n v="17"/>
    <n v="23"/>
    <n v="5.0999999999999996"/>
    <n v="9.1999999999999993"/>
    <n v="7.2"/>
    <n v="8.4"/>
    <n v="137"/>
    <n v="643"/>
    <n v="1"/>
    <n v="1.2"/>
    <n v="0.02"/>
    <n v="6.02"/>
    <m/>
    <m/>
    <m/>
    <m/>
    <m/>
    <m/>
    <n v="0.6"/>
  </r>
  <r>
    <n v="3757"/>
    <s v="RIVER TUIPUI NEAR PHE WATER TREATMENT PLANT,_x000a_CHAMPHAI DIST."/>
    <x v="18"/>
    <n v="17"/>
    <n v="22"/>
    <n v="5.0999999999999996"/>
    <n v="7.8"/>
    <n v="6.4"/>
    <n v="7.9"/>
    <n v="73"/>
    <n v="194"/>
    <n v="1"/>
    <n v="5.6"/>
    <n v="0.02"/>
    <n v="1.31"/>
    <m/>
    <m/>
    <m/>
    <m/>
    <m/>
    <m/>
    <n v="2.8"/>
  </r>
  <r>
    <n v="5500"/>
    <s v="RIVER LEIMAKHONG NEAR KANTO AWANG LEIKAI"/>
    <x v="14"/>
    <n v="19"/>
    <n v="29"/>
    <n v="7.1"/>
    <n v="7.3"/>
    <n v="7.1"/>
    <n v="7.3"/>
    <n v="95"/>
    <n v="240"/>
    <n v="3.2"/>
    <n v="3.5"/>
    <n v="0"/>
    <n v="0"/>
    <n v="50"/>
    <n v="75"/>
    <n v="75"/>
    <n v="190"/>
    <m/>
    <m/>
    <n v="5.6000000000000005"/>
  </r>
  <r>
    <n v="5501"/>
    <s v="TUPUL RIVER AT TUPUL BRIDGE, NONEY"/>
    <x v="14"/>
    <n v="18"/>
    <n v="20"/>
    <n v="7.2"/>
    <n v="7.4"/>
    <n v="7.2"/>
    <n v="7.4"/>
    <n v="290"/>
    <n v="320"/>
    <n v="3"/>
    <n v="3.1"/>
    <n v="0"/>
    <n v="0"/>
    <n v="20"/>
    <n v="35"/>
    <n v="50"/>
    <n v="65"/>
    <m/>
    <m/>
    <n v="4.6500000000000004"/>
  </r>
  <r>
    <n v="5502"/>
    <s v="RIVER KONGBA AT IRONG"/>
    <x v="14"/>
    <n v="18.2"/>
    <n v="29"/>
    <n v="7"/>
    <n v="7.3"/>
    <n v="7"/>
    <n v="7.8"/>
    <n v="120"/>
    <n v="215"/>
    <n v="3.2"/>
    <n v="3.4"/>
    <n v="0"/>
    <n v="0"/>
    <n v="125"/>
    <n v="170"/>
    <n v="245"/>
    <n v="315"/>
    <m/>
    <m/>
    <n v="5.44"/>
  </r>
  <r>
    <n v="5503"/>
    <s v="RIVER KONGBA AT IRANPHAM"/>
    <x v="14"/>
    <n v="20"/>
    <n v="29"/>
    <n v="6.8"/>
    <n v="7.3"/>
    <n v="6.8"/>
    <n v="7.4"/>
    <n v="180"/>
    <n v="498"/>
    <n v="3.3"/>
    <n v="3.5"/>
    <n v="0"/>
    <n v="0"/>
    <n v="170"/>
    <n v="300"/>
    <n v="335"/>
    <n v="465"/>
    <m/>
    <m/>
    <n v="5.7749999999999995"/>
  </r>
  <r>
    <n v="4110"/>
    <s v="RIVER NONGAL AT NANGALBIBRA"/>
    <x v="17"/>
    <n v="15"/>
    <n v="23"/>
    <n v="6.9"/>
    <n v="7.7"/>
    <n v="4"/>
    <n v="4.5"/>
    <n v="130"/>
    <n v="154"/>
    <n v="1.3"/>
    <n v="2"/>
    <n v="0.32"/>
    <n v="0.49"/>
    <n v="9"/>
    <n v="43"/>
    <n v="350"/>
    <n v="630"/>
    <n v="2"/>
    <n v="13"/>
    <n v="1.3"/>
  </r>
  <r>
    <n v="4113"/>
    <s v="RIVER DAMRING AT BOLDAMGRE"/>
    <x v="17"/>
    <n v="16"/>
    <n v="22"/>
    <n v="7"/>
    <n v="7.4"/>
    <n v="7"/>
    <n v="8"/>
    <n v="65"/>
    <n v="769"/>
    <n v="1.3"/>
    <n v="2.1"/>
    <n v="0.34"/>
    <n v="0.55000000000000004"/>
    <n v="9"/>
    <n v="49"/>
    <n v="330"/>
    <n v="630"/>
    <n v="4"/>
    <n v="17"/>
    <n v="1.3650000000000002"/>
  </r>
  <r>
    <n v="4114"/>
    <s v="RIVER CHITE STREAM, NEAR SIPMIU'S STP,_x000a_BETHLEHEM VENGTHLANG, AIZAWL"/>
    <x v="18"/>
    <n v="20"/>
    <n v="24"/>
    <n v="2.2000000000000002"/>
    <n v="7.4"/>
    <n v="7.2"/>
    <n v="8.1999999999999993"/>
    <n v="505"/>
    <n v="994"/>
    <n v="1.2"/>
    <n v="29"/>
    <n v="0.02"/>
    <n v="14.31"/>
    <n v="9"/>
    <n v="170"/>
    <n v="1600"/>
    <n v="2400"/>
    <n v="240"/>
    <n v="240"/>
    <n v="17.399999999999999"/>
  </r>
  <r>
    <n v="4115"/>
    <s v="RIVER TUIKUAL STREAM, U/S,_x000a_MIZORAM NEW CAPITAL COMPLEX , DINTHAR, AIZAWL"/>
    <x v="18"/>
    <n v="16"/>
    <n v="26"/>
    <n v="0.3"/>
    <n v="5.4"/>
    <n v="6.9"/>
    <n v="8"/>
    <n v="76"/>
    <n v="1020"/>
    <n v="2.2000000000000002"/>
    <n v="29.1"/>
    <n v="0.02"/>
    <n v="8.73"/>
    <n v="2"/>
    <n v="1100"/>
    <n v="1100"/>
    <n v="2400"/>
    <n v="26"/>
    <n v="26"/>
    <n v="32.010000000000005"/>
  </r>
  <r>
    <n v="4118"/>
    <s v="RIVER TUIRIAL D/S, HEPP DAM, SAIPUM, KOLASIB DIST."/>
    <x v="18"/>
    <n v="19"/>
    <n v="36"/>
    <n v="5.3"/>
    <n v="9.1"/>
    <n v="6.9"/>
    <n v="7.5"/>
    <n v="81"/>
    <n v="119"/>
    <n v="1"/>
    <n v="1.4"/>
    <n v="0.02"/>
    <n v="0.78"/>
    <m/>
    <m/>
    <m/>
    <m/>
    <m/>
    <m/>
    <n v="0.7"/>
  </r>
  <r>
    <n v="4119"/>
    <s v="RIVER SERLUI D/S, SERLUI 'B' HEPP DAM,_x000a_BILKHAWTHLIR, KOLASIB DIST."/>
    <x v="18"/>
    <n v="19"/>
    <n v="38"/>
    <n v="5.8"/>
    <n v="9.1"/>
    <n v="6.3"/>
    <n v="7.3"/>
    <n v="93"/>
    <n v="331"/>
    <n v="1"/>
    <n v="1.4"/>
    <n v="0.02"/>
    <n v="0.76"/>
    <m/>
    <m/>
    <m/>
    <m/>
    <m/>
    <m/>
    <n v="0.7"/>
  </r>
  <r>
    <n v="4120"/>
    <s v="RIVER TEIREI D/S_x000a_NR CONFLUENCE PT WITH TLAWNG RIVER, SAPMARA,_x000a_BAIRABI,KOLASIB DIST."/>
    <x v="18"/>
    <n v="10"/>
    <n v="25"/>
    <n v="5.4"/>
    <n v="7.1"/>
    <n v="6.4"/>
    <n v="8.4"/>
    <n v="92"/>
    <n v="453"/>
    <n v="1"/>
    <n v="1.4"/>
    <n v="0.02"/>
    <n v="1.9"/>
    <m/>
    <m/>
    <m/>
    <m/>
    <m/>
    <m/>
    <n v="0.7"/>
  </r>
  <r>
    <n v="4122"/>
    <s v="RIVER KHAWTHLANGTUIPUI ,TLABUNG, LUNGLEI DIST."/>
    <x v="18"/>
    <n v="20"/>
    <n v="28"/>
    <n v="5.4"/>
    <n v="9.6999999999999993"/>
    <n v="6.7"/>
    <n v="7.6"/>
    <n v="46"/>
    <n v="272"/>
    <n v="1"/>
    <n v="1.4"/>
    <n v="0.02"/>
    <n v="0.77"/>
    <m/>
    <m/>
    <m/>
    <m/>
    <m/>
    <m/>
    <n v="0.7"/>
  </r>
  <r>
    <n v="4123"/>
    <s v="RIVER, TUIPUI D DARZOKAI, HNAHTHIAL DIST."/>
    <x v="18"/>
    <n v="17"/>
    <n v="30"/>
    <n v="5.8"/>
    <n v="12.7"/>
    <n v="6.8"/>
    <n v="8.1"/>
    <n v="51"/>
    <n v="233"/>
    <n v="1"/>
    <n v="1.4"/>
    <n v="0.02"/>
    <n v="0.83"/>
    <m/>
    <m/>
    <m/>
    <m/>
    <m/>
    <m/>
    <n v="0.7"/>
  </r>
  <r>
    <n v="4125"/>
    <s v="RIVER TUIPUI U/S,_x000a_NR CONFLUENCE PT KEILUNGLIAH STREAM,_x000a_VENGTHAR, CHAMPHAI"/>
    <x v="18"/>
    <n v="17"/>
    <n v="25"/>
    <n v="2.5"/>
    <n v="7.6"/>
    <n v="6.4"/>
    <n v="7.3"/>
    <n v="40"/>
    <n v="240"/>
    <n v="1"/>
    <n v="1.2"/>
    <n v="0.02"/>
    <n v="3.11"/>
    <m/>
    <m/>
    <m/>
    <m/>
    <m/>
    <m/>
    <n v="0.6"/>
  </r>
  <r>
    <n v="4130"/>
    <s v="RIVER NGENGPUI STREAM,NR KALADAN MULTI MODAL_x000a_RD, LAWNGTLAI DIST."/>
    <x v="18"/>
    <n v="21"/>
    <n v="24"/>
    <n v="5.0999999999999996"/>
    <n v="7.5"/>
    <n v="6.3"/>
    <n v="7.6"/>
    <n v="74"/>
    <n v="175"/>
    <n v="1"/>
    <n v="1.6"/>
    <n v="0.02"/>
    <n v="0.85"/>
    <m/>
    <m/>
    <m/>
    <m/>
    <m/>
    <m/>
    <n v="0.8"/>
  </r>
  <r>
    <n v="4132"/>
    <s v="RIVER VANTAWNG WATER FALL, THENZAWL, SERCHHIP_x000a_DIST."/>
    <x v="18"/>
    <n v="14"/>
    <n v="27"/>
    <n v="5.0999999999999996"/>
    <n v="7.2"/>
    <n v="6.5"/>
    <n v="7.1"/>
    <n v="30"/>
    <n v="128"/>
    <n v="1"/>
    <n v="1.5"/>
    <n v="0.02"/>
    <n v="1.43"/>
    <m/>
    <m/>
    <m/>
    <m/>
    <m/>
    <m/>
    <n v="0.75"/>
  </r>
  <r>
    <n v="2232"/>
    <s v="RIVER KOHORA AT N.H. CROSSING, KOHORA, ASSAM_x000a_(BRAHMAPUTRA)"/>
    <x v="12"/>
    <n v="22"/>
    <n v="32"/>
    <n v="3.7"/>
    <n v="9.1999999999999993"/>
    <n v="6.8"/>
    <n v="7.4"/>
    <n v="106"/>
    <n v="176"/>
    <n v="2"/>
    <n v="2.4"/>
    <n v="0.7"/>
    <n v="2"/>
    <n v="360"/>
    <n v="1100"/>
    <n v="1100"/>
    <n v="2100"/>
    <n v="120"/>
    <n v="290"/>
    <n v="2.4"/>
  </r>
  <r>
    <n v="4304"/>
    <s v="RIVER SDERKARIAH AT SOHRA (CHERRAPUNJEE)"/>
    <x v="17"/>
    <n v="14"/>
    <n v="19"/>
    <n v="6.6"/>
    <n v="8.1"/>
    <n v="4"/>
    <n v="5.5"/>
    <n v="66"/>
    <n v="130"/>
    <n v="1"/>
    <n v="1.7"/>
    <n v="0.32"/>
    <n v="0.59"/>
    <n v="2"/>
    <n v="4"/>
    <n v="12"/>
    <n v="79"/>
    <n v="2"/>
    <n v="4"/>
    <n v="0.85"/>
  </r>
  <r>
    <n v="4305"/>
    <s v="RIVER LAITRYNGEW AT LAITRYNGEW"/>
    <x v="17"/>
    <n v="14"/>
    <n v="18"/>
    <n v="6.7"/>
    <n v="7.7"/>
    <n v="3.8"/>
    <n v="5.4"/>
    <n v="86"/>
    <n v="178"/>
    <n v="1"/>
    <n v="1.8"/>
    <n v="0.32"/>
    <n v="0.62"/>
    <n v="2"/>
    <n v="4"/>
    <n v="21"/>
    <n v="84"/>
    <n v="2"/>
    <n v="4"/>
    <n v="0.9"/>
  </r>
  <r>
    <n v="4306"/>
    <s v="RIVER WAHKHLEK KHLEK AT SAITSOHPEN"/>
    <x v="17"/>
    <n v="14"/>
    <n v="18"/>
    <n v="7.2"/>
    <n v="8.5"/>
    <n v="6.9"/>
    <n v="7.6"/>
    <n v="81"/>
    <n v="116"/>
    <n v="1.1000000000000001"/>
    <n v="1.6"/>
    <n v="0.32"/>
    <n v="5.64"/>
    <n v="2"/>
    <n v="4"/>
    <n v="23"/>
    <n v="49"/>
    <n v="2"/>
    <n v="2"/>
    <n v="0.88000000000000012"/>
  </r>
  <r>
    <n v="4307"/>
    <s v="RIVER WAHREW AT MAJAI"/>
    <x v="17"/>
    <n v="17"/>
    <n v="19"/>
    <n v="7.6"/>
    <n v="8.5"/>
    <n v="6.9"/>
    <n v="7.3"/>
    <n v="33"/>
    <n v="58"/>
    <n v="1"/>
    <n v="1.4"/>
    <n v="0.32"/>
    <n v="5.51"/>
    <n v="2"/>
    <n v="2"/>
    <n v="27"/>
    <n v="79"/>
    <n v="2"/>
    <n v="2"/>
    <n v="0.7"/>
  </r>
  <r>
    <n v="4308"/>
    <s v="RIVER UMNGI AT JAKREM"/>
    <x v="17"/>
    <n v="9"/>
    <n v="20"/>
    <n v="7.1"/>
    <n v="8.5"/>
    <n v="6.8"/>
    <n v="7.2"/>
    <n v="30"/>
    <n v="45"/>
    <n v="1"/>
    <n v="1.4"/>
    <n v="0.32"/>
    <n v="0.46"/>
    <n v="2"/>
    <n v="4"/>
    <n v="23"/>
    <n v="70"/>
    <n v="2"/>
    <n v="2"/>
    <n v="0.7"/>
  </r>
  <r>
    <n v="4309"/>
    <s v="RIVER UMNGI AT UMPUNG"/>
    <x v="17"/>
    <n v="15"/>
    <n v="21"/>
    <n v="7.2"/>
    <n v="8.6"/>
    <n v="7"/>
    <n v="7.8"/>
    <n v="38"/>
    <n v="55"/>
    <n v="1"/>
    <n v="1.7"/>
    <n v="0.32"/>
    <n v="5.32"/>
    <n v="2"/>
    <n v="6"/>
    <n v="27"/>
    <n v="130"/>
    <n v="2"/>
    <n v="4"/>
    <n v="0.85"/>
  </r>
  <r>
    <n v="4310"/>
    <s v="RIVER RWIANG AT RWIANG"/>
    <x v="17"/>
    <n v="14.2"/>
    <n v="21"/>
    <n v="6.9"/>
    <n v="8.4"/>
    <n v="6.7"/>
    <n v="7.3"/>
    <n v="34"/>
    <n v="53"/>
    <n v="1"/>
    <n v="1.7"/>
    <n v="0.32"/>
    <n v="5.45"/>
    <n v="2"/>
    <n v="17"/>
    <n v="33"/>
    <n v="170"/>
    <n v="2"/>
    <n v="4"/>
    <n v="0.85"/>
  </r>
  <r>
    <n v="4311"/>
    <s v="RIVER KALIPAI AT RYMBAI"/>
    <x v="17"/>
    <n v="14.6"/>
    <n v="20"/>
    <n v="4.2"/>
    <n v="7.8"/>
    <n v="2.7"/>
    <n v="3.2"/>
    <n v="315"/>
    <n v="1095"/>
    <n v="1.2"/>
    <n v="2.7"/>
    <n v="0.32"/>
    <n v="5.32"/>
    <n v="2"/>
    <n v="2"/>
    <n v="2"/>
    <n v="2"/>
    <n v="2"/>
    <n v="2"/>
    <n v="1.62"/>
  </r>
  <r>
    <n v="4312"/>
    <s v="RIVER KMAI UM AT RYMBAI"/>
    <x v="17"/>
    <n v="14.4"/>
    <n v="20"/>
    <n v="6.6"/>
    <n v="7.9"/>
    <n v="2.6"/>
    <n v="3"/>
    <n v="680"/>
    <n v="1505"/>
    <n v="1"/>
    <n v="2.2999999999999998"/>
    <n v="0.32"/>
    <n v="0.65"/>
    <n v="2"/>
    <n v="2"/>
    <n v="2"/>
    <n v="2"/>
    <n v="2"/>
    <n v="2"/>
    <n v="1.1499999999999999"/>
  </r>
  <r>
    <n v="4313"/>
    <s v="RIVER WAIKHRWI AT MOOPALA"/>
    <x v="17"/>
    <n v="9"/>
    <n v="19"/>
    <n v="6.7"/>
    <n v="7.8"/>
    <n v="2.7"/>
    <n v="3"/>
    <n v="464"/>
    <n v="1160"/>
    <n v="1.1000000000000001"/>
    <n v="1.9"/>
    <n v="0.32"/>
    <n v="0.34"/>
    <n v="2"/>
    <n v="2"/>
    <n v="2"/>
    <n v="2"/>
    <n v="2"/>
    <n v="2"/>
    <n v="1.0449999999999999"/>
  </r>
  <r>
    <n v="4314"/>
    <s v="RIVER KWAI AT SUTNGA, JALAPHET"/>
    <x v="17"/>
    <n v="12"/>
    <n v="20"/>
    <n v="6.2"/>
    <n v="7.8"/>
    <n v="3.6"/>
    <n v="4.3"/>
    <n v="126"/>
    <n v="360"/>
    <n v="1.2"/>
    <n v="2.1"/>
    <n v="0.32"/>
    <n v="0.32"/>
    <n v="2"/>
    <n v="2"/>
    <n v="2"/>
    <n v="2"/>
    <n v="2"/>
    <n v="2"/>
    <n v="1.26"/>
  </r>
  <r>
    <n v="4315"/>
    <s v="RIVER LUKHA AT KHADDUM"/>
    <x v="17"/>
    <n v="14.2"/>
    <n v="19.3"/>
    <n v="6.8"/>
    <n v="8.8000000000000007"/>
    <n v="4.7"/>
    <n v="7.8"/>
    <n v="150"/>
    <n v="550"/>
    <n v="1.2"/>
    <n v="1.9"/>
    <n v="0.32"/>
    <n v="1.22"/>
    <n v="2"/>
    <n v="6"/>
    <n v="49"/>
    <n v="170"/>
    <n v="2"/>
    <n v="2"/>
    <n v="1.1399999999999999"/>
  </r>
  <r>
    <n v="4316"/>
    <s v="RIVER MYNTDU AT MIHMYNTDU"/>
    <x v="17"/>
    <n v="12"/>
    <n v="20"/>
    <n v="6.6"/>
    <n v="7.6"/>
    <n v="6.6"/>
    <n v="6.9"/>
    <n v="36"/>
    <n v="61"/>
    <n v="1.3"/>
    <n v="2.1"/>
    <n v="0.32"/>
    <n v="0.71"/>
    <n v="46"/>
    <n v="140"/>
    <n v="430"/>
    <n v="1200"/>
    <n v="4"/>
    <n v="30"/>
    <n v="1.3650000000000002"/>
  </r>
  <r>
    <n v="3379"/>
    <s v="RIVER MYNTDU AT LESHKA"/>
    <x v="17"/>
    <n v="13"/>
    <n v="21"/>
    <n v="7"/>
    <n v="8.4"/>
    <n v="5"/>
    <n v="7.1"/>
    <n v="41"/>
    <n v="76"/>
    <n v="1"/>
    <n v="1.9"/>
    <n v="0.35"/>
    <n v="0.63"/>
    <n v="11"/>
    <n v="63"/>
    <n v="170"/>
    <n v="2400"/>
    <n v="2"/>
    <n v="21"/>
    <n v="0.95"/>
  </r>
  <r>
    <n v="1631"/>
    <s v="RIVER MYNTDU JOWAI"/>
    <x v="17"/>
    <n v="15"/>
    <n v="20"/>
    <n v="6.7"/>
    <n v="7.4"/>
    <n v="6.7"/>
    <n v="7.1"/>
    <n v="36"/>
    <n v="58"/>
    <n v="1.6"/>
    <n v="2.4"/>
    <n v="0.32"/>
    <n v="0.96"/>
    <n v="220"/>
    <n v="480"/>
    <n v="1400"/>
    <n v="3100"/>
    <n v="130"/>
    <n v="240"/>
    <n v="1.92"/>
  </r>
  <r>
    <n v="1428"/>
    <s v="RIVER KYRHUHKHLA KHLIEHRIAT"/>
    <x v="17"/>
    <n v="13"/>
    <n v="19"/>
    <n v="6.6"/>
    <n v="7.2"/>
    <n v="2.8"/>
    <n v="4.0999999999999996"/>
    <n v="111"/>
    <n v="550"/>
    <n v="1.9"/>
    <n v="2.7"/>
    <n v="0.32"/>
    <n v="0.7"/>
    <n v="2"/>
    <n v="2"/>
    <n v="2"/>
    <n v="2"/>
    <n v="2"/>
    <n v="2"/>
    <n v="2.5649999999999999"/>
  </r>
  <r>
    <n v="4317"/>
    <s v="RIVER LAMU AT LESHKA"/>
    <x v="17"/>
    <n v="12.6"/>
    <n v="20"/>
    <n v="6.6"/>
    <n v="8.5"/>
    <n v="6.8"/>
    <n v="7.6"/>
    <n v="40"/>
    <n v="75"/>
    <n v="1"/>
    <n v="1.8"/>
    <n v="0.32"/>
    <n v="0.46"/>
    <n v="4"/>
    <n v="23"/>
    <n v="110"/>
    <n v="240"/>
    <n v="2"/>
    <n v="4"/>
    <n v="0.9"/>
  </r>
  <r>
    <n v="4318"/>
    <s v="RIVER LYNRIANG AT LESHKA POWER HOUSE"/>
    <x v="17"/>
    <n v="13.8"/>
    <n v="20"/>
    <n v="6.4"/>
    <n v="7.6"/>
    <n v="2.7"/>
    <n v="3.5"/>
    <n v="433"/>
    <n v="1270"/>
    <n v="1.1000000000000001"/>
    <n v="2"/>
    <n v="0.32"/>
    <n v="0.47"/>
    <n v="2"/>
    <n v="2"/>
    <n v="2"/>
    <n v="2"/>
    <n v="2"/>
    <n v="2"/>
    <n v="1.1000000000000001"/>
  </r>
  <r>
    <n v="4319"/>
    <s v="RIVER UMIUREM AT LALE"/>
    <x v="17"/>
    <n v="14"/>
    <n v="19"/>
    <n v="6.8"/>
    <n v="8.4"/>
    <n v="3.8"/>
    <n v="4.5"/>
    <n v="158"/>
    <n v="595"/>
    <n v="1"/>
    <n v="2"/>
    <n v="0.32"/>
    <n v="0.47"/>
    <n v="2"/>
    <n v="2"/>
    <n v="2"/>
    <n v="2"/>
    <n v="2"/>
    <n v="2"/>
    <n v="1"/>
  </r>
  <r>
    <n v="4320"/>
    <s v="RIVER KUPLI AT LOOSKI"/>
    <x v="17"/>
    <n v="14.6"/>
    <n v="19"/>
    <n v="6.6"/>
    <n v="8.4"/>
    <n v="3.8"/>
    <n v="4.5"/>
    <n v="143"/>
    <n v="308"/>
    <n v="1.2"/>
    <n v="1.9"/>
    <n v="0.32"/>
    <n v="0.43"/>
    <n v="2"/>
    <n v="2"/>
    <n v="2"/>
    <n v="2"/>
    <n v="2"/>
    <n v="2"/>
    <n v="1.1399999999999999"/>
  </r>
  <r>
    <n v="4321"/>
    <s v="RIVER KUPLI AT KHANDONG"/>
    <x v="17"/>
    <n v="14"/>
    <n v="19"/>
    <n v="6.6"/>
    <n v="7.8"/>
    <n v="3.7"/>
    <n v="4.7"/>
    <n v="140"/>
    <n v="301"/>
    <n v="1.2"/>
    <n v="1.9"/>
    <n v="0.32"/>
    <n v="0.56000000000000005"/>
    <n v="2"/>
    <n v="2"/>
    <n v="2"/>
    <n v="84"/>
    <n v="2"/>
    <n v="2"/>
    <n v="1.1399999999999999"/>
  </r>
  <r>
    <n v="4322"/>
    <s v="RIVER THLU UMWI AT THLU UMWI"/>
    <x v="17"/>
    <n v="10"/>
    <n v="21"/>
    <n v="6.7"/>
    <n v="7.9"/>
    <n v="4"/>
    <n v="4.9000000000000004"/>
    <n v="36"/>
    <n v="58"/>
    <n v="1.2"/>
    <n v="2"/>
    <n v="0.32"/>
    <n v="0.39"/>
    <n v="2"/>
    <n v="9"/>
    <n v="12"/>
    <n v="120"/>
    <n v="2"/>
    <n v="4"/>
    <n v="1.2"/>
  </r>
  <r>
    <n v="1633"/>
    <s v="RIVER SIMSANG WILLIAMNAGAR"/>
    <x v="17"/>
    <n v="15"/>
    <n v="23"/>
    <n v="6.8"/>
    <n v="7.8"/>
    <n v="6.9"/>
    <n v="7.7"/>
    <n v="50"/>
    <n v="73"/>
    <n v="1.2"/>
    <n v="2"/>
    <n v="0.32"/>
    <n v="0.45"/>
    <n v="23"/>
    <n v="170"/>
    <n v="330"/>
    <n v="790"/>
    <n v="4"/>
    <n v="58"/>
    <n v="1.2"/>
  </r>
  <r>
    <n v="1801"/>
    <s v="RIVER TEESTA AFTER CONFLUENCS OF RIVERS_x000a_LACHENCHU AND LACHUNGCHU AT CHUNGTHANG"/>
    <x v="19"/>
    <n v="9.1999999999999993"/>
    <n v="18"/>
    <n v="7"/>
    <n v="8.6999999999999993"/>
    <n v="6.8"/>
    <n v="7.2"/>
    <n v="91"/>
    <n v="180"/>
    <n v="2"/>
    <n v="2.2999999999999998"/>
    <n v="1"/>
    <n v="3.8"/>
    <n v="24"/>
    <n v="61"/>
    <n v="56"/>
    <n v="130"/>
    <m/>
    <m/>
    <n v="2.2999999999999998"/>
  </r>
  <r>
    <n v="1807"/>
    <s v="RIVER TEESTA AFTER CONFLUENCS WITH RANICHU AT_x000a_SINGTAM"/>
    <x v="19"/>
    <n v="14"/>
    <n v="24"/>
    <n v="7.4"/>
    <n v="9.4"/>
    <n v="6.6"/>
    <n v="7.4"/>
    <n v="139"/>
    <n v="173"/>
    <n v="2"/>
    <n v="2.4"/>
    <n v="1.9"/>
    <n v="4.4000000000000004"/>
    <n v="31"/>
    <n v="85"/>
    <n v="66"/>
    <n v="178"/>
    <m/>
    <m/>
    <n v="2.4"/>
  </r>
  <r>
    <n v="1808"/>
    <s v="RIVER TEESTA AFTER CONFLUENCS WITH RONGPOCHU_x000a_AFTER MEETING THE INDUSTRIAL EFFLUENTS FROM_x000a_THE TOWN RANGPO"/>
    <x v="19"/>
    <n v="16"/>
    <n v="23"/>
    <n v="7.9"/>
    <n v="9.1"/>
    <n v="6.7"/>
    <n v="7.4"/>
    <n v="139"/>
    <n v="170"/>
    <n v="1.6"/>
    <n v="2.2999999999999998"/>
    <n v="2"/>
    <n v="4.7"/>
    <n v="29"/>
    <n v="105"/>
    <n v="61"/>
    <n v="185"/>
    <m/>
    <m/>
    <n v="1.8399999999999999"/>
  </r>
  <r>
    <n v="1809"/>
    <s v="RIVER TEESTA AT MELLI DOWNSTREAM MELLI"/>
    <x v="19"/>
    <n v="14"/>
    <n v="23"/>
    <n v="8"/>
    <n v="9.4"/>
    <n v="6.8"/>
    <n v="7.6"/>
    <n v="132"/>
    <n v="182"/>
    <n v="2"/>
    <n v="2.4"/>
    <n v="2"/>
    <n v="5"/>
    <n v="32"/>
    <n v="100"/>
    <n v="64"/>
    <n v="185"/>
    <m/>
    <m/>
    <n v="2.4"/>
  </r>
  <r>
    <n v="1947"/>
    <s v="RIVER TEESTA AT SEVOKE, SILIGURI, DARJEELING"/>
    <x v="7"/>
    <n v="11"/>
    <n v="27"/>
    <n v="7.1"/>
    <n v="8.9"/>
    <n v="6.3"/>
    <n v="8"/>
    <n v="36"/>
    <n v="86"/>
    <n v="1"/>
    <n v="2.1"/>
    <n v="0.3"/>
    <n v="0.75"/>
    <n v="800"/>
    <n v="24000"/>
    <n v="2300"/>
    <n v="50000"/>
    <n v="11"/>
    <n v="140"/>
    <n v="1.05"/>
  </r>
  <r>
    <n v="4723"/>
    <s v="RIVER TEESTA AT JALPESH"/>
    <x v="7"/>
    <n v="11"/>
    <n v="29"/>
    <n v="6"/>
    <n v="8.6"/>
    <n v="6.9"/>
    <n v="7.7"/>
    <n v="52"/>
    <n v="8136"/>
    <n v="1"/>
    <n v="2.8"/>
    <n v="0.3"/>
    <n v="0.56999999999999995"/>
    <n v="1100"/>
    <n v="7000"/>
    <n v="2100"/>
    <n v="50000"/>
    <n v="17"/>
    <n v="130"/>
    <n v="1.4"/>
  </r>
  <r>
    <n v="4728"/>
    <s v="RIVER RAIDAK AT ALIPURDUAR"/>
    <x v="7"/>
    <n v="20"/>
    <n v="29"/>
    <n v="6"/>
    <n v="9"/>
    <n v="7.3"/>
    <n v="7.9"/>
    <n v="110"/>
    <n v="179"/>
    <n v="1.1000000000000001"/>
    <n v="2.4"/>
    <n v="0.3"/>
    <n v="0.3"/>
    <n v="800"/>
    <n v="3400"/>
    <n v="1700"/>
    <n v="17000"/>
    <n v="17"/>
    <n v="70"/>
    <n v="1.32"/>
  </r>
  <r>
    <n v="2241"/>
    <s v="RIVER SONAI AT SONAI, ASSAM"/>
    <x v="12"/>
    <n v="21"/>
    <n v="25"/>
    <n v="5"/>
    <n v="5.6"/>
    <n v="7.2"/>
    <n v="7.4"/>
    <n v="88"/>
    <n v="120"/>
    <n v="2.2000000000000002"/>
    <n v="2.5"/>
    <n v="0.7"/>
    <n v="1.1000000000000001"/>
    <n v="600"/>
    <n v="1100"/>
    <n v="1100"/>
    <n v="2000"/>
    <n v="210"/>
    <n v="290"/>
    <n v="2.75"/>
  </r>
  <r>
    <n v="2234"/>
    <s v="RIVER RANGA NADI D/S OF HYDEL PROJECT, ASSAM"/>
    <x v="12"/>
    <n v="19"/>
    <n v="28"/>
    <n v="5.4"/>
    <n v="6.2"/>
    <n v="6.9"/>
    <n v="8"/>
    <n v="122"/>
    <n v="168"/>
    <n v="2"/>
    <n v="2.6"/>
    <n v="0.6"/>
    <n v="1.4"/>
    <n v="300"/>
    <n v="730"/>
    <n v="730"/>
    <n v="1600"/>
    <n v="95"/>
    <n v="290"/>
    <n v="2.6"/>
  </r>
  <r>
    <n v="2034"/>
    <s v="RIVER RANGIT AT DAM SITE (NHPC)"/>
    <x v="19"/>
    <n v="10"/>
    <n v="23"/>
    <n v="8"/>
    <n v="8.6"/>
    <n v="6.9"/>
    <n v="7.3"/>
    <n v="142"/>
    <n v="177"/>
    <n v="1.7"/>
    <n v="2.4"/>
    <n v="2"/>
    <n v="4.7"/>
    <n v="19"/>
    <n v="71"/>
    <n v="46"/>
    <n v="134"/>
    <m/>
    <m/>
    <n v="2.04"/>
  </r>
  <r>
    <n v="2035"/>
    <s v="RIVER RANGIT AT LEGSHIP"/>
    <x v="19"/>
    <n v="13"/>
    <n v="23"/>
    <n v="7.9"/>
    <n v="9.8000000000000007"/>
    <n v="6.9"/>
    <n v="7.4"/>
    <n v="131"/>
    <n v="192"/>
    <n v="1.5"/>
    <n v="2.2999999999999998"/>
    <n v="2"/>
    <n v="4.5"/>
    <n v="20"/>
    <n v="87"/>
    <n v="52"/>
    <n v="154"/>
    <m/>
    <m/>
    <n v="1.7249999999999999"/>
  </r>
  <r>
    <n v="2036"/>
    <s v="RIVER RANGIT AT RESHI"/>
    <x v="19"/>
    <n v="13"/>
    <n v="22"/>
    <n v="8"/>
    <n v="9.1999999999999993"/>
    <n v="6.7"/>
    <n v="7.3"/>
    <n v="148"/>
    <n v="181"/>
    <n v="1.8"/>
    <n v="2.2999999999999998"/>
    <n v="2"/>
    <n v="5"/>
    <n v="23"/>
    <n v="82"/>
    <n v="56"/>
    <n v="140"/>
    <m/>
    <m/>
    <n v="2.0699999999999998"/>
  </r>
  <r>
    <n v="2037"/>
    <s v="RIVER RANGIT AT JORETHANG"/>
    <x v="19"/>
    <n v="15"/>
    <n v="23"/>
    <n v="8"/>
    <n v="9.1999999999999993"/>
    <n v="6.6"/>
    <n v="7.5"/>
    <n v="137"/>
    <n v="184"/>
    <n v="2"/>
    <n v="2.4"/>
    <n v="2"/>
    <n v="4.4000000000000004"/>
    <n v="22"/>
    <n v="99"/>
    <n v="35"/>
    <n v="162"/>
    <m/>
    <m/>
    <n v="2.4"/>
  </r>
  <r>
    <n v="2038"/>
    <s v="RIVER RANGIT AT TRIVENI MELLI"/>
    <x v="19"/>
    <n v="14"/>
    <n v="23"/>
    <n v="8.1"/>
    <n v="9"/>
    <n v="6.7"/>
    <n v="7.5"/>
    <n v="139"/>
    <n v="179"/>
    <n v="2"/>
    <n v="2.5"/>
    <n v="2"/>
    <n v="4.3"/>
    <n v="32"/>
    <n v="100"/>
    <n v="56"/>
    <n v="172"/>
    <m/>
    <m/>
    <n v="2.5"/>
  </r>
  <r>
    <n v="5553"/>
    <s v="RIVER RANGIT AT UPSTREAM OF DAM , RANGIT STAGE-IV RESHI NHPC RESHI SORENG,DIST"/>
    <x v="19"/>
    <n v="15"/>
    <n v="24"/>
    <n v="7.8"/>
    <n v="8.4"/>
    <n v="6.9"/>
    <n v="7.3"/>
    <n v="51"/>
    <n v="89"/>
    <n v="1.8"/>
    <n v="2.2000000000000002"/>
    <n v="2"/>
    <n v="4.5"/>
    <n v="30"/>
    <n v="84"/>
    <n v="63"/>
    <n v="125"/>
    <m/>
    <m/>
    <n v="1.9800000000000002"/>
  </r>
  <r>
    <n v="5554"/>
    <s v="RIVER RANGIT AT JORETHANG (MAJIGOAN), NAMCHI"/>
    <x v="19"/>
    <n v="16"/>
    <n v="24"/>
    <n v="7.8"/>
    <n v="8.6"/>
    <n v="6.7"/>
    <n v="7.3"/>
    <n v="25"/>
    <n v="97"/>
    <n v="1.9"/>
    <n v="2.4"/>
    <n v="1.8"/>
    <n v="21"/>
    <n v="30"/>
    <n v="80"/>
    <n v="72"/>
    <n v="105"/>
    <m/>
    <m/>
    <n v="2.2799999999999998"/>
  </r>
  <r>
    <n v="5555"/>
    <s v="RIVER RANGIT AT MANPUR(BELOW INDUSTRIAL_x000a_AREA),NAMCHI DIST SIKKIM"/>
    <x v="19"/>
    <n v="15"/>
    <n v="23"/>
    <n v="7.8"/>
    <n v="8.4"/>
    <n v="6.6"/>
    <n v="7.3"/>
    <n v="48"/>
    <n v="125"/>
    <n v="1.9"/>
    <n v="2.1"/>
    <n v="1.8"/>
    <n v="4.9000000000000004"/>
    <n v="27"/>
    <n v="80"/>
    <n v="61"/>
    <n v="120"/>
    <m/>
    <m/>
    <n v="1.9949999999999999"/>
  </r>
  <r>
    <n v="5556"/>
    <s v="RIVER TEESTA AT MAMRING BELOW MAMRING_x000a_BRIDGE,NAMCHI, DIST , SIKKIM"/>
    <x v="19"/>
    <n v="15"/>
    <n v="23"/>
    <n v="3.5"/>
    <n v="8.9"/>
    <n v="7"/>
    <n v="7.4"/>
    <n v="51"/>
    <n v="109"/>
    <n v="2"/>
    <n v="2.2999999999999998"/>
    <n v="2"/>
    <n v="4.5999999999999996"/>
    <n v="31"/>
    <n v="103"/>
    <n v="70"/>
    <n v="153"/>
    <m/>
    <m/>
    <n v="2.2999999999999998"/>
  </r>
  <r>
    <n v="5557"/>
    <s v="RIVER TEESTA AT BARDANG BELOW ATTC, PAKYONG_x000a_DIST"/>
    <x v="19"/>
    <n v="16"/>
    <n v="24"/>
    <n v="7.9"/>
    <n v="9"/>
    <n v="6.8"/>
    <n v="7.2"/>
    <n v="54"/>
    <n v="115"/>
    <n v="1.9"/>
    <n v="2.2999999999999998"/>
    <n v="2"/>
    <n v="4.3"/>
    <n v="35"/>
    <n v="94"/>
    <n v="67"/>
    <n v="112"/>
    <m/>
    <m/>
    <n v="2.1849999999999996"/>
  </r>
  <r>
    <n v="1805"/>
    <s v="RIVER AFTER CONFLUENCE OF RANICHU AND_x000a_RORACHU AT RANIPOOL"/>
    <x v="19"/>
    <n v="14"/>
    <n v="24"/>
    <n v="7.8"/>
    <n v="9"/>
    <n v="6.7"/>
    <n v="7.4"/>
    <n v="121"/>
    <n v="180"/>
    <n v="2.1"/>
    <n v="2.6"/>
    <n v="1.6"/>
    <n v="4.8"/>
    <n v="34"/>
    <n v="105"/>
    <n v="45"/>
    <n v="187"/>
    <m/>
    <m/>
    <n v="2.7300000000000004"/>
  </r>
  <r>
    <n v="1806"/>
    <s v="RIVER RANICHU BEFORE CONFLUENCE WITH TEESTA_x000a_AT SINGTAM, SIKKIM"/>
    <x v="19"/>
    <n v="15"/>
    <n v="23"/>
    <n v="8.1"/>
    <n v="9.1"/>
    <n v="6.6"/>
    <n v="7.5"/>
    <n v="119"/>
    <n v="181"/>
    <n v="2"/>
    <n v="2.5"/>
    <n v="1.6"/>
    <n v="25"/>
    <n v="22"/>
    <n v="100"/>
    <n v="54"/>
    <n v="170"/>
    <m/>
    <m/>
    <n v="2.5"/>
  </r>
  <r>
    <n v="1802"/>
    <s v="RIVER DIKCHU BEFORE CONFLUENCS WITH RIVER_x000a_TEESTA NEAR NHPC HYDROELECTRIC POWER_x000a_PROJECT DIKCHU"/>
    <x v="19"/>
    <n v="8"/>
    <n v="18"/>
    <n v="7.8"/>
    <n v="9.1"/>
    <n v="6.6"/>
    <n v="7.4"/>
    <n v="105"/>
    <n v="190"/>
    <n v="1.7"/>
    <n v="2.2999999999999998"/>
    <n v="1.5"/>
    <n v="4.0999999999999996"/>
    <n v="31"/>
    <n v="76"/>
    <n v="54"/>
    <n v="155"/>
    <m/>
    <m/>
    <n v="1.9549999999999998"/>
  </r>
  <r>
    <n v="5281"/>
    <s v="RIVER RANGPO U/S DAM SITE"/>
    <x v="19"/>
    <n v="15"/>
    <n v="22"/>
    <n v="8.1"/>
    <n v="8.8000000000000007"/>
    <n v="6.7"/>
    <n v="7.4"/>
    <n v="149"/>
    <n v="172"/>
    <n v="1.9"/>
    <n v="2.4"/>
    <n v="2"/>
    <n v="4.5"/>
    <n v="32"/>
    <n v="70"/>
    <n v="67"/>
    <n v="120"/>
    <m/>
    <m/>
    <n v="2.2799999999999998"/>
  </r>
  <r>
    <n v="5282"/>
    <s v="RIVER RANGPO D/S DAM SITE"/>
    <x v="19"/>
    <n v="14"/>
    <n v="23"/>
    <n v="8"/>
    <n v="8.6999999999999993"/>
    <n v="6.7"/>
    <n v="7.5"/>
    <n v="157"/>
    <n v="171"/>
    <n v="2"/>
    <n v="2.2999999999999998"/>
    <n v="2.1"/>
    <n v="4.7"/>
    <n v="28"/>
    <n v="100"/>
    <n v="64"/>
    <n v="149"/>
    <m/>
    <m/>
    <n v="2.2999999999999998"/>
  </r>
  <r>
    <n v="5283"/>
    <s v="RIVER RONGLI U/S DAM SITE"/>
    <x v="19"/>
    <n v="14"/>
    <n v="22"/>
    <n v="8"/>
    <n v="8.5"/>
    <n v="6.6"/>
    <n v="7.4"/>
    <n v="129"/>
    <n v="159"/>
    <n v="2"/>
    <n v="2.4"/>
    <n v="2"/>
    <n v="4.5999999999999996"/>
    <n v="30"/>
    <n v="102"/>
    <n v="69"/>
    <n v="189"/>
    <m/>
    <m/>
    <n v="2.4"/>
  </r>
  <r>
    <n v="5284"/>
    <s v="RIVER RONGLI D/S DAM SITE"/>
    <x v="19"/>
    <n v="14"/>
    <n v="22"/>
    <n v="8"/>
    <n v="8.6"/>
    <n v="6.6"/>
    <n v="7.3"/>
    <n v="99"/>
    <n v="139"/>
    <n v="2"/>
    <n v="2.2999999999999998"/>
    <n v="2.1"/>
    <n v="4.8"/>
    <n v="28"/>
    <n v="105"/>
    <n v="71"/>
    <n v="134"/>
    <m/>
    <m/>
    <n v="2.2999999999999998"/>
  </r>
  <r>
    <n v="5285"/>
    <s v="RIVER RANGPO AT POWER HOUSE D/S OF GATI_x000a_INFRASTRUCTURE PVT. LTD."/>
    <x v="19"/>
    <n v="14"/>
    <n v="22"/>
    <n v="8"/>
    <n v="8.6999999999999993"/>
    <n v="6.6"/>
    <n v="7.3"/>
    <n v="35"/>
    <n v="127"/>
    <n v="1.7"/>
    <n v="2.1"/>
    <n v="2"/>
    <n v="5.0999999999999996"/>
    <n v="21"/>
    <n v="88"/>
    <n v="61"/>
    <n v="165"/>
    <m/>
    <m/>
    <n v="1.7849999999999999"/>
  </r>
  <r>
    <n v="5286"/>
    <s v="RIVER RANGPO AT U/S OF RORATHANG BAZAR (ABOVE_x000a_SWISS GARNIER)"/>
    <x v="19"/>
    <n v="13"/>
    <n v="21"/>
    <n v="7.5"/>
    <n v="8.8000000000000007"/>
    <n v="6.5"/>
    <n v="7.3"/>
    <n v="34"/>
    <n v="148"/>
    <n v="1.5"/>
    <n v="2.2000000000000002"/>
    <n v="1.8"/>
    <n v="5.2"/>
    <n v="24"/>
    <n v="120"/>
    <n v="79"/>
    <n v="200"/>
    <m/>
    <m/>
    <n v="1.6500000000000001"/>
  </r>
  <r>
    <n v="5287"/>
    <s v="RIVER RANGPO AT D/S OF RORATHANG BRIDGE"/>
    <x v="19"/>
    <n v="13"/>
    <n v="22"/>
    <n v="7.9"/>
    <n v="8.6999999999999993"/>
    <n v="6.7"/>
    <n v="7.3"/>
    <n v="32"/>
    <n v="112"/>
    <n v="1.6"/>
    <n v="2.4"/>
    <n v="1.8"/>
    <n v="4.5"/>
    <n v="29"/>
    <n v="123"/>
    <n v="52"/>
    <n v="173"/>
    <m/>
    <m/>
    <n v="1.92"/>
  </r>
  <r>
    <n v="5288"/>
    <s v="RIVER RANGPO AT D/S OF PHARMA PLANT KUMREK"/>
    <x v="19"/>
    <n v="13"/>
    <n v="22"/>
    <n v="7"/>
    <n v="8.4"/>
    <n v="6.7"/>
    <n v="7.4"/>
    <n v="33"/>
    <n v="135"/>
    <n v="2"/>
    <n v="2.2999999999999998"/>
    <n v="2"/>
    <n v="4.5999999999999996"/>
    <n v="36"/>
    <n v="100"/>
    <n v="67"/>
    <n v="168"/>
    <m/>
    <m/>
    <n v="2.2999999999999998"/>
  </r>
  <r>
    <n v="5289"/>
    <s v="RIVER RANGPO AT D/S OF POWER HOUSE OF MADHYA_x000a_BHARAT"/>
    <x v="19"/>
    <n v="15"/>
    <n v="23"/>
    <n v="7.3"/>
    <n v="8.4"/>
    <n v="6.7"/>
    <n v="7.5"/>
    <n v="34"/>
    <n v="132"/>
    <n v="2"/>
    <n v="2.5"/>
    <n v="1.9"/>
    <n v="4.4000000000000004"/>
    <n v="32"/>
    <n v="112"/>
    <n v="79"/>
    <n v="175"/>
    <m/>
    <m/>
    <n v="2.5"/>
  </r>
  <r>
    <n v="2236"/>
    <s v="RIVER KAPILI AT DHARMTUL BRIDGE, NH-31,_x000a_MORIGAON, ASSAM"/>
    <x v="12"/>
    <n v="18"/>
    <n v="30"/>
    <n v="5"/>
    <n v="9.1999999999999993"/>
    <n v="6.8"/>
    <n v="7.5"/>
    <n v="120"/>
    <n v="176"/>
    <n v="2.1"/>
    <n v="2.5"/>
    <n v="0.7"/>
    <n v="1.7"/>
    <n v="360"/>
    <n v="930"/>
    <n v="910"/>
    <n v="1600"/>
    <n v="120"/>
    <n v="290"/>
    <n v="2.625"/>
  </r>
  <r>
    <n v="2523"/>
    <s v="RIVER KAROLA, D/S OF JALPAIGURI, NEAR MIN_x000a_BHAWAN, JALPAIGURI"/>
    <x v="7"/>
    <n v="21"/>
    <n v="29"/>
    <n v="4"/>
    <n v="8.1999999999999993"/>
    <n v="6.8"/>
    <n v="7.8"/>
    <n v="70"/>
    <n v="164"/>
    <n v="1"/>
    <n v="8"/>
    <n v="0.3"/>
    <n v="0.77"/>
    <n v="2200"/>
    <n v="24000"/>
    <n v="5000"/>
    <n v="90000"/>
    <n v="23"/>
    <n v="540"/>
    <n v="4"/>
  </r>
  <r>
    <n v="2068"/>
    <s v="RIVER KATHAKAL U/S AT MATIJURI, DIST. HAILAKANDI,_x000a_ASSAM"/>
    <x v="12"/>
    <n v="22"/>
    <n v="24"/>
    <n v="5.3"/>
    <n v="6.2"/>
    <n v="6.8"/>
    <n v="7.2"/>
    <n v="104"/>
    <n v="134"/>
    <n v="2"/>
    <n v="2.4"/>
    <n v="0.7"/>
    <n v="1.1000000000000001"/>
    <n v="610"/>
    <n v="1500"/>
    <n v="1100"/>
    <n v="2100"/>
    <n v="210"/>
    <n v="460"/>
    <n v="2.4"/>
  </r>
  <r>
    <n v="2061"/>
    <s v="RIVER KHARSANG B/C WITH BURIDIHING NEAR_x000a_KHARSANG (ASSAM-ARUNANCHAL BORDER), ASSAM"/>
    <x v="12"/>
    <n v="21"/>
    <n v="24"/>
    <n v="5.0999999999999996"/>
    <n v="8.1"/>
    <n v="6.9"/>
    <n v="7.6"/>
    <n v="128"/>
    <n v="166"/>
    <n v="2"/>
    <n v="2.6"/>
    <n v="0.4"/>
    <n v="1"/>
    <n v="300"/>
    <n v="730"/>
    <n v="720"/>
    <n v="1600"/>
    <n v="120"/>
    <n v="240"/>
    <n v="2.6"/>
  </r>
  <r>
    <n v="2059"/>
    <s v="RIVER KOLONG AT MARIGAON, ASSAM"/>
    <x v="12"/>
    <n v="18"/>
    <n v="33"/>
    <n v="5"/>
    <n v="8.4"/>
    <n v="6.9"/>
    <n v="7.8"/>
    <n v="140"/>
    <n v="176"/>
    <n v="2"/>
    <n v="2.5"/>
    <n v="0.7"/>
    <n v="1.5"/>
    <n v="360"/>
    <n v="930"/>
    <n v="910"/>
    <n v="2000"/>
    <n v="120"/>
    <n v="290"/>
    <n v="2.5"/>
  </r>
  <r>
    <n v="2237"/>
    <s v="RIVER KOLONG AT U/S OF ANANDARAM DEKIAL PHUKAN_x000a_BRIDGE, NAGAON, ASSAM"/>
    <x v="12"/>
    <n v="17"/>
    <n v="29"/>
    <n v="5"/>
    <n v="7.4"/>
    <n v="6.8"/>
    <n v="7.5"/>
    <n v="118"/>
    <n v="180"/>
    <n v="2"/>
    <n v="2.5"/>
    <n v="0.8"/>
    <n v="1.9"/>
    <n v="620"/>
    <n v="1100"/>
    <n v="1500"/>
    <n v="2000"/>
    <n v="210"/>
    <n v="290"/>
    <n v="2.5"/>
  </r>
  <r>
    <n v="2229"/>
    <s v="RIVER KUNDLI AT KUNDLI/ SAPAKHOWA, SADIA, ASSAM"/>
    <x v="12"/>
    <n v="21"/>
    <n v="25"/>
    <n v="5"/>
    <n v="8.4"/>
    <n v="7"/>
    <n v="7.7"/>
    <n v="126"/>
    <n v="172"/>
    <n v="2"/>
    <n v="2.6"/>
    <n v="0.6"/>
    <n v="1.6"/>
    <n v="300"/>
    <n v="910"/>
    <n v="1400"/>
    <n v="2000"/>
    <n v="120"/>
    <n v="290"/>
    <n v="2.6"/>
  </r>
  <r>
    <n v="3417"/>
    <s v="RIVER MANU AT MANUGHAT, CONFL POINT OF_x000a_CHAWMANU CHARRA &amp; MANU RIVER, DHALAI"/>
    <x v="15"/>
    <n v="21"/>
    <n v="30.5"/>
    <n v="5.4"/>
    <n v="6.6"/>
    <n v="7"/>
    <n v="7.7"/>
    <n v="125"/>
    <n v="189"/>
    <n v="1.2"/>
    <n v="2.2000000000000002"/>
    <n v="0.7"/>
    <n v="1.9"/>
    <n v="39"/>
    <n v="58"/>
    <n v="94"/>
    <n v="210"/>
    <m/>
    <m/>
    <n v="1.32"/>
  </r>
  <r>
    <n v="3418"/>
    <s v="RIVER MANU AT KAILASHAHAR D/S, NORTH TRIPURA"/>
    <x v="15"/>
    <n v="21"/>
    <n v="31"/>
    <n v="5.3"/>
    <n v="6.7"/>
    <n v="7"/>
    <n v="7.7"/>
    <n v="122"/>
    <n v="191"/>
    <n v="1.1000000000000001"/>
    <n v="2.1"/>
    <n v="0.7"/>
    <n v="1.9"/>
    <n v="26"/>
    <n v="58"/>
    <n v="94"/>
    <n v="210"/>
    <m/>
    <m/>
    <n v="1.1550000000000002"/>
  </r>
  <r>
    <n v="3419"/>
    <s v="RIVER MANU AT KUMARGHAT, NORTH TRIPURA"/>
    <x v="15"/>
    <n v="21"/>
    <n v="31"/>
    <n v="5.3"/>
    <n v="6.4"/>
    <n v="7.1"/>
    <n v="7.7"/>
    <n v="124"/>
    <n v="179"/>
    <n v="1.2"/>
    <n v="1.9"/>
    <n v="0.7"/>
    <n v="1.7"/>
    <n v="31"/>
    <n v="58"/>
    <n v="84"/>
    <n v="210"/>
    <m/>
    <m/>
    <n v="1.1399999999999999"/>
  </r>
  <r>
    <n v="3367"/>
    <s v="RIVER NONBAH AT NANGSTOIN MARKET"/>
    <x v="17"/>
    <n v="13"/>
    <n v="20"/>
    <n v="6.5"/>
    <n v="7.6"/>
    <n v="6.7"/>
    <n v="7"/>
    <n v="40"/>
    <n v="83"/>
    <n v="2"/>
    <n v="2.7"/>
    <n v="0.32"/>
    <n v="0.93"/>
    <n v="430"/>
    <n v="1200"/>
    <n v="2700"/>
    <n v="4900"/>
    <n v="21"/>
    <n v="480"/>
    <n v="2.7"/>
  </r>
  <r>
    <n v="3368"/>
    <s v="RIVER NONBAH AT PHOTSOHSAT"/>
    <x v="17"/>
    <n v="13.6"/>
    <n v="20"/>
    <n v="6.6"/>
    <n v="8.6"/>
    <n v="6.7"/>
    <n v="7.3"/>
    <n v="31"/>
    <n v="44"/>
    <n v="1.1000000000000001"/>
    <n v="1.7"/>
    <n v="0.32"/>
    <n v="0.54"/>
    <n v="4"/>
    <n v="70"/>
    <n v="110"/>
    <n v="170"/>
    <n v="2"/>
    <n v="6"/>
    <n v="0.93500000000000005"/>
  </r>
  <r>
    <n v="3369"/>
    <s v="RIVER KYNSHI AT SOHIONG"/>
    <x v="17"/>
    <n v="12.3"/>
    <n v="19"/>
    <n v="6.6"/>
    <n v="7.8"/>
    <n v="6.7"/>
    <n v="7.3"/>
    <n v="29"/>
    <n v="44"/>
    <n v="1.2"/>
    <n v="1.7"/>
    <n v="0.32"/>
    <n v="0.53"/>
    <n v="6"/>
    <n v="33"/>
    <n v="240"/>
    <n v="540"/>
    <n v="2"/>
    <n v="6"/>
    <n v="1.02"/>
  </r>
  <r>
    <n v="3370"/>
    <s v="RIVER KYNSHI AT NANGKHNUM"/>
    <x v="17"/>
    <n v="12.5"/>
    <n v="20"/>
    <n v="6.8"/>
    <n v="8"/>
    <n v="6.9"/>
    <n v="7.3"/>
    <n v="32"/>
    <n v="42"/>
    <n v="1"/>
    <n v="1.5"/>
    <n v="0.32"/>
    <n v="0.46"/>
    <n v="2"/>
    <n v="2"/>
    <n v="38"/>
    <n v="70"/>
    <n v="2"/>
    <n v="2"/>
    <n v="0.75"/>
  </r>
  <r>
    <n v="3371"/>
    <s v="RIVER KYNSHI AT RANIKOR"/>
    <x v="17"/>
    <n v="15"/>
    <n v="22"/>
    <n v="7"/>
    <n v="8.4"/>
    <n v="6.5"/>
    <n v="6.9"/>
    <n v="42"/>
    <n v="72"/>
    <n v="1"/>
    <n v="1.6"/>
    <n v="0.32"/>
    <n v="0.51"/>
    <n v="2"/>
    <n v="4"/>
    <n v="110"/>
    <n v="170"/>
    <n v="2"/>
    <n v="2"/>
    <n v="0.8"/>
  </r>
  <r>
    <n v="3373"/>
    <s v="RIVER WAH BLEI AT RIANGDO,"/>
    <x v="17"/>
    <n v="14.6"/>
    <n v="21"/>
    <n v="6.9"/>
    <n v="7.9"/>
    <n v="6.7"/>
    <n v="7.5"/>
    <n v="33"/>
    <n v="53"/>
    <n v="1.2"/>
    <n v="1.8"/>
    <n v="0.32"/>
    <n v="0.52"/>
    <n v="4"/>
    <n v="17"/>
    <n v="110"/>
    <n v="240"/>
    <n v="2"/>
    <n v="4"/>
    <n v="1.08"/>
  </r>
  <r>
    <n v="3374"/>
    <s v="RIVER WAH BLEI AT SDAD DKHAR,"/>
    <x v="17"/>
    <n v="14"/>
    <n v="20"/>
    <n v="6.8"/>
    <n v="8.9"/>
    <n v="6.5"/>
    <n v="6.8"/>
    <n v="62"/>
    <n v="89"/>
    <n v="1"/>
    <n v="1.8"/>
    <n v="0.32"/>
    <n v="0.47"/>
    <n v="2"/>
    <n v="21"/>
    <n v="120"/>
    <n v="170"/>
    <n v="2"/>
    <n v="4"/>
    <n v="0.9"/>
  </r>
  <r>
    <n v="3099"/>
    <s v="RIVER LOHIT AT ALUBARI (D/S)"/>
    <x v="16"/>
    <n v="15"/>
    <n v="28.5"/>
    <n v="0.7"/>
    <n v="9.3000000000000007"/>
    <n v="7.4"/>
    <n v="8.1"/>
    <n v="102"/>
    <n v="286"/>
    <n v="1"/>
    <n v="1"/>
    <n v="0"/>
    <n v="0"/>
    <m/>
    <m/>
    <m/>
    <m/>
    <m/>
    <m/>
    <n v="0.5"/>
  </r>
  <r>
    <n v="3797"/>
    <s v="RIVER MANAS (SANTOSHPUR) NEAR LENGTISINGA"/>
    <x v="12"/>
    <n v="19"/>
    <n v="34"/>
    <n v="5.2"/>
    <n v="5.6"/>
    <n v="6.8"/>
    <n v="7.6"/>
    <n v="132"/>
    <n v="146"/>
    <n v="2"/>
    <n v="2.7"/>
    <n v="0.6"/>
    <n v="1.6"/>
    <n v="600"/>
    <n v="910"/>
    <n v="1100"/>
    <n v="2100"/>
    <n v="210"/>
    <n v="290"/>
    <n v="2.7"/>
  </r>
  <r>
    <n v="2060"/>
    <s v="RIVER MANAS AT NH-31 CROSSING, BARPETA_x000a_DISTRICT, ASSAM"/>
    <x v="12"/>
    <n v="19"/>
    <n v="32"/>
    <n v="5.0999999999999996"/>
    <n v="5.7"/>
    <n v="6.9"/>
    <n v="7.7"/>
    <n v="132"/>
    <n v="168"/>
    <n v="1.9"/>
    <n v="2.7"/>
    <n v="0.6"/>
    <n v="2.2000000000000002"/>
    <n v="600"/>
    <n v="730"/>
    <n v="1100"/>
    <n v="1500"/>
    <n v="210"/>
    <n v="240"/>
    <n v="2.5649999999999999"/>
  </r>
  <r>
    <n v="1803"/>
    <s v="RIVER MANEY KHOLA AT BURTUK NEAR ARMY BASE_x000a_CAMP, 4 KM U/S OF GANGTOK"/>
    <x v="19"/>
    <n v="12"/>
    <n v="21"/>
    <n v="7.3"/>
    <n v="8.4"/>
    <n v="6.8"/>
    <n v="7.5"/>
    <n v="112"/>
    <n v="172"/>
    <n v="1.9"/>
    <n v="2.5"/>
    <n v="1.9"/>
    <n v="4.5999999999999996"/>
    <n v="22"/>
    <n v="97"/>
    <n v="27"/>
    <n v="155"/>
    <m/>
    <m/>
    <n v="2.375"/>
  </r>
  <r>
    <n v="1804"/>
    <s v="RIVER MANEY KHOLA AFTER CONFLUENCS WITH RAY_x000a_KHOLA AT ADAMPOOL AFTER MEETING WASTE OF STP,_x000a_GANGTOK"/>
    <x v="19"/>
    <n v="13"/>
    <n v="23"/>
    <n v="7.8"/>
    <n v="8.5"/>
    <n v="6.7"/>
    <n v="7.3"/>
    <n v="121"/>
    <n v="178"/>
    <n v="2.1"/>
    <n v="22"/>
    <n v="2"/>
    <n v="23"/>
    <n v="38"/>
    <n v="93"/>
    <n v="68"/>
    <n v="196"/>
    <m/>
    <m/>
    <n v="23.1"/>
  </r>
  <r>
    <n v="2894"/>
    <s v="RIVER MILAK AT BORBORA WARD, TULI"/>
    <x v="13"/>
    <n v="19.600000000000001"/>
    <n v="30.6"/>
    <n v="6.9"/>
    <n v="8.1999999999999993"/>
    <n v="7.1"/>
    <n v="8.1999999999999993"/>
    <n v="79"/>
    <n v="490"/>
    <n v="1"/>
    <n v="1.4"/>
    <n v="0.5"/>
    <n v="1.5"/>
    <m/>
    <m/>
    <m/>
    <m/>
    <m/>
    <m/>
    <n v="0.7"/>
  </r>
  <r>
    <n v="2895"/>
    <s v="RIVER MILAK AT PAPER NAGAR, TULI"/>
    <x v="13"/>
    <n v="19.5"/>
    <n v="30"/>
    <n v="7"/>
    <n v="8.3000000000000007"/>
    <n v="7.4"/>
    <n v="8.4"/>
    <n v="85"/>
    <n v="520"/>
    <n v="1"/>
    <n v="1.5"/>
    <n v="0.4"/>
    <n v="1.3"/>
    <m/>
    <m/>
    <m/>
    <m/>
    <m/>
    <m/>
    <n v="0.75"/>
  </r>
  <r>
    <n v="3100"/>
    <s v="RIVER NAMCHIK AT KHARSANG"/>
    <x v="16"/>
    <n v="19.600000000000001"/>
    <n v="27.3"/>
    <n v="7.4"/>
    <n v="9.4"/>
    <n v="7.4"/>
    <n v="8.1"/>
    <n v="78"/>
    <n v="476"/>
    <n v="1"/>
    <n v="1"/>
    <n v="0"/>
    <n v="0"/>
    <m/>
    <m/>
    <m/>
    <m/>
    <m/>
    <m/>
    <n v="0.5"/>
  </r>
  <r>
    <n v="3109"/>
    <s v="RIVER NOA DIHING AT NAMSAI, (D/S OF DIHING)"/>
    <x v="16"/>
    <n v="19"/>
    <n v="26.9"/>
    <n v="6.6"/>
    <n v="8.6999999999999993"/>
    <n v="7.6"/>
    <n v="8.4"/>
    <n v="83"/>
    <n v="313"/>
    <n v="1"/>
    <n v="2.2000000000000002"/>
    <n v="0"/>
    <n v="0"/>
    <m/>
    <m/>
    <m/>
    <m/>
    <m/>
    <m/>
    <n v="1.1000000000000001"/>
  </r>
  <r>
    <n v="3103"/>
    <s v="RIVER PACHIN AT NAHARLAGUN (BELOW BARAPANI_x000a_BRIDGE), (D/S OF RIVER SENKI)"/>
    <x v="16"/>
    <n v="21.6"/>
    <n v="34.200000000000003"/>
    <n v="6"/>
    <n v="9.1999999999999993"/>
    <n v="7.1"/>
    <n v="7.9"/>
    <n v="67"/>
    <n v="193"/>
    <n v="1"/>
    <n v="2.8"/>
    <n v="0"/>
    <n v="0"/>
    <m/>
    <m/>
    <m/>
    <m/>
    <m/>
    <m/>
    <n v="1.4"/>
  </r>
  <r>
    <n v="2065"/>
    <s v="RIVER PAGLDIA NEAR NALBARI TOWN, DIST. NALBARI,_x000a_ASSAM"/>
    <x v="12"/>
    <n v="22"/>
    <n v="33"/>
    <n v="5.8"/>
    <n v="8.1"/>
    <n v="7"/>
    <n v="8"/>
    <n v="142"/>
    <n v="230"/>
    <n v="2"/>
    <n v="2.8"/>
    <n v="0.6"/>
    <n v="1.8"/>
    <n v="610"/>
    <n v="1500"/>
    <n v="1100"/>
    <n v="2100"/>
    <n v="210"/>
    <n v="490"/>
    <n v="2.8"/>
  </r>
  <r>
    <n v="2235"/>
    <s v="RIVER PANCHNOI AT NH-52 CROSSING, ORANG, ASSAM"/>
    <x v="12"/>
    <n v="16"/>
    <n v="28"/>
    <n v="5"/>
    <n v="6.2"/>
    <n v="6.8"/>
    <n v="7.2"/>
    <n v="102"/>
    <n v="144"/>
    <n v="2.2000000000000002"/>
    <n v="2.7"/>
    <n v="0.8"/>
    <n v="1.7"/>
    <n v="620"/>
    <n v="940"/>
    <n v="1300"/>
    <n v="2100"/>
    <n v="210"/>
    <n v="290"/>
    <n v="2.9700000000000006"/>
  </r>
  <r>
    <n v="1531"/>
    <s v="RIVER MORA BHARALI AT TEZPUR, ASSAM"/>
    <x v="12"/>
    <n v="19"/>
    <n v="30"/>
    <n v="3.8"/>
    <n v="5.4"/>
    <n v="6.9"/>
    <n v="7.4"/>
    <n v="148"/>
    <n v="242"/>
    <n v="3"/>
    <n v="3.3"/>
    <n v="0.9"/>
    <n v="2"/>
    <n v="360"/>
    <n v="940"/>
    <n v="1100"/>
    <n v="2000"/>
    <n v="120"/>
    <n v="290"/>
    <n v="4.9499999999999993"/>
  </r>
  <r>
    <n v="1929"/>
    <s v="RIVER CHATHE NEAR ICAR, MEDZIPHEMA"/>
    <x v="13"/>
    <n v="17.2"/>
    <n v="31.4"/>
    <n v="6.6"/>
    <n v="8"/>
    <n v="6.5"/>
    <n v="8.9"/>
    <n v="85"/>
    <n v="232"/>
    <n v="1.2"/>
    <n v="1.8"/>
    <n v="0.4"/>
    <n v="1.8"/>
    <m/>
    <m/>
    <m/>
    <m/>
    <m/>
    <m/>
    <n v="1.08"/>
  </r>
  <r>
    <n v="1930"/>
    <s v="RIVER DZU AT DZU BRIDGE"/>
    <x v="13"/>
    <n v="20.399999999999999"/>
    <n v="32.200000000000003"/>
    <n v="6.1"/>
    <n v="8.6"/>
    <n v="6.6"/>
    <n v="8.6"/>
    <n v="95"/>
    <n v="760"/>
    <n v="1.4"/>
    <n v="2"/>
    <n v="0.5"/>
    <n v="2.1"/>
    <m/>
    <m/>
    <m/>
    <m/>
    <m/>
    <m/>
    <n v="1.4"/>
  </r>
  <r>
    <n v="1232"/>
    <s v="RIVER MAHI (D/S) CONF WITH R. CHAP (UNDER_x000a_SAGWARA-SARHI RD. BDG.), RAJASTHAN"/>
    <x v="11"/>
    <n v="24"/>
    <n v="30"/>
    <n v="4.8"/>
    <n v="5.9"/>
    <n v="7.2"/>
    <n v="7.9"/>
    <n v="367"/>
    <n v="797"/>
    <n v="1.7"/>
    <n v="2.8"/>
    <n v="1.22"/>
    <n v="2.82"/>
    <n v="70"/>
    <n v="120"/>
    <n v="110"/>
    <n v="170"/>
    <n v="21"/>
    <n v="34"/>
    <n v="2.38"/>
  </r>
  <r>
    <n v="30061"/>
    <s v="RIVER MAHI AT GAMMON BRIDGE NEAR PADLA CHOWKI,_x000a_BANSWARA (MP &amp; RJASTHAN)"/>
    <x v="11"/>
    <n v="21"/>
    <n v="30"/>
    <n v="8.1"/>
    <n v="9.5"/>
    <n v="7.1"/>
    <n v="8.1999999999999993"/>
    <n v="182"/>
    <n v="351"/>
    <n v="2"/>
    <n v="2.5"/>
    <n v="0.32"/>
    <n v="0.5"/>
    <n v="2"/>
    <n v="10"/>
    <n v="63"/>
    <n v="170"/>
    <n v="2"/>
    <n v="2"/>
    <n v="2.5"/>
  </r>
  <r>
    <n v="4"/>
    <s v="RIVER MAHI AT SEVALIA"/>
    <x v="20"/>
    <n v="25"/>
    <n v="32"/>
    <n v="7.5"/>
    <n v="8.1999999999999993"/>
    <n v="7.9"/>
    <n v="8.5"/>
    <n v="263"/>
    <n v="480"/>
    <n v="1"/>
    <n v="1"/>
    <n v="0.52"/>
    <n v="0.86"/>
    <n v="7"/>
    <n v="240"/>
    <n v="22"/>
    <n v="500"/>
    <n v="2"/>
    <n v="2"/>
    <n v="0.5"/>
  </r>
  <r>
    <n v="5"/>
    <s v="RIVER MAHI AT VASAD"/>
    <x v="20"/>
    <n v="24"/>
    <n v="33"/>
    <n v="7.5"/>
    <n v="8.5"/>
    <n v="7.8"/>
    <n v="8.5"/>
    <n v="320"/>
    <n v="595"/>
    <n v="1"/>
    <n v="1"/>
    <n v="0.72"/>
    <n v="1.1399999999999999"/>
    <n v="2"/>
    <n v="14"/>
    <n v="21"/>
    <n v="50"/>
    <m/>
    <m/>
    <n v="0.5"/>
  </r>
  <r>
    <n v="1229"/>
    <s v="RIVER MAHI NEAR RAJASTHAN BORDER AT KADANA_x000a_DAM,"/>
    <x v="20"/>
    <n v="24"/>
    <n v="29"/>
    <n v="7.5"/>
    <n v="8.1999999999999993"/>
    <n v="7.9"/>
    <n v="8.5"/>
    <n v="281"/>
    <n v="476"/>
    <n v="1"/>
    <n v="1"/>
    <n v="0.32"/>
    <n v="0.75"/>
    <n v="2"/>
    <n v="11"/>
    <n v="4"/>
    <n v="33"/>
    <m/>
    <m/>
    <n v="0.5"/>
  </r>
  <r>
    <n v="1230"/>
    <s v="RIVER MAHI AFTER CONF. WITH ANAS AT PARDI_x000a_(BANASWADA),"/>
    <x v="20"/>
    <n v="24"/>
    <n v="29"/>
    <n v="7.4"/>
    <n v="8.1999999999999993"/>
    <n v="7.9"/>
    <n v="8.5"/>
    <n v="261"/>
    <n v="469"/>
    <n v="1"/>
    <n v="1"/>
    <n v="0.54"/>
    <n v="0.82"/>
    <n v="2"/>
    <n v="7"/>
    <n v="13"/>
    <n v="21"/>
    <m/>
    <m/>
    <n v="0.5"/>
  </r>
  <r>
    <n v="1231"/>
    <s v="RIVER MAHI AT VIRPUR,"/>
    <x v="20"/>
    <n v="24"/>
    <n v="29.5"/>
    <n v="7.5"/>
    <n v="8.1999999999999993"/>
    <n v="7.9"/>
    <n v="8.5"/>
    <n v="278"/>
    <n v="465"/>
    <n v="1"/>
    <n v="1"/>
    <n v="0.94"/>
    <n v="1.25"/>
    <n v="2"/>
    <n v="11"/>
    <n v="14"/>
    <n v="50"/>
    <m/>
    <m/>
    <n v="0.5"/>
  </r>
  <r>
    <n v="1863"/>
    <s v="RIVER MAHI AT UMETA BRIDGE"/>
    <x v="20"/>
    <n v="24"/>
    <n v="33"/>
    <n v="7.5"/>
    <n v="8.1999999999999993"/>
    <n v="7.6"/>
    <n v="8.5"/>
    <n v="312"/>
    <n v="663"/>
    <n v="1"/>
    <n v="1"/>
    <n v="0.44"/>
    <n v="1.06"/>
    <n v="4"/>
    <n v="17"/>
    <n v="22"/>
    <n v="70"/>
    <m/>
    <m/>
    <n v="0.5"/>
  </r>
  <r>
    <n v="1864"/>
    <s v="RIVER MAHI AT MUJPUR"/>
    <x v="20"/>
    <n v="27"/>
    <n v="32"/>
    <n v="6.7"/>
    <n v="8.1999999999999993"/>
    <n v="8.4"/>
    <n v="8.6999999999999993"/>
    <n v="326"/>
    <n v="1440"/>
    <n v="1"/>
    <n v="1.2"/>
    <n v="0.32"/>
    <n v="1.24"/>
    <n v="14"/>
    <n v="80"/>
    <n v="63"/>
    <n v="350"/>
    <m/>
    <m/>
    <n v="0.6"/>
  </r>
  <r>
    <n v="3206"/>
    <s v="RIVER MAHI AT SHERKHI BRIDGESINDHROT BRIDGE-VADODARA"/>
    <x v="20"/>
    <n v="22"/>
    <n v="32"/>
    <n v="7.4"/>
    <n v="8"/>
    <n v="8"/>
    <n v="8.6"/>
    <n v="318"/>
    <n v="1550"/>
    <n v="1"/>
    <n v="1"/>
    <n v="1.02"/>
    <n v="1.31"/>
    <n v="4"/>
    <n v="30"/>
    <n v="17"/>
    <n v="70"/>
    <m/>
    <m/>
    <n v="0.5"/>
  </r>
  <r>
    <n v="4415"/>
    <s v="RIVER MAHI AT DODKAVILLAGE : PRATHAMPURA"/>
    <x v="20"/>
    <n v="22"/>
    <n v="30"/>
    <n v="7.5"/>
    <n v="8.5"/>
    <n v="8.1"/>
    <n v="8.5"/>
    <n v="307"/>
    <n v="554"/>
    <n v="1"/>
    <n v="1"/>
    <n v="0.82"/>
    <n v="1.36"/>
    <n v="4"/>
    <n v="30"/>
    <n v="21"/>
    <n v="70"/>
    <m/>
    <m/>
    <n v="0.5"/>
  </r>
  <r>
    <n v="30050"/>
    <s v="RIVER MAHI ABOUT 500 METERS D/S OF KADANA DAM_x000a_NEAR BRIDGE, PANCHMAHAL, GUJARAT (RAJASTHAN_x000a_AND GUJARAT)"/>
    <x v="20"/>
    <n v="29"/>
    <n v="29"/>
    <n v="4.9000000000000004"/>
    <n v="4.9000000000000004"/>
    <n v="7.9"/>
    <n v="7.9"/>
    <n v="400"/>
    <n v="400"/>
    <n v="1.3"/>
    <n v="1.3"/>
    <n v="0.32"/>
    <n v="0.32"/>
    <n v="170"/>
    <n v="170"/>
    <n v="340"/>
    <n v="340"/>
    <m/>
    <m/>
    <n v="0.84500000000000008"/>
  </r>
  <r>
    <n v="1233"/>
    <s v="RIVER MAHI AT BADNAWAR, M.P."/>
    <x v="10"/>
    <n v="20"/>
    <n v="22"/>
    <n v="7"/>
    <n v="7.8"/>
    <n v="7.1"/>
    <n v="8.4"/>
    <n v="274"/>
    <n v="603"/>
    <n v="1"/>
    <n v="1.4"/>
    <n v="0.8"/>
    <n v="1.59"/>
    <n v="2"/>
    <n v="2"/>
    <n v="40"/>
    <n v="49"/>
    <m/>
    <m/>
    <n v="0.7"/>
  </r>
  <r>
    <n v="3318"/>
    <s v="RIVER MAHI AT RANISINGH VILLAGE, RATLAM, UJJAIN"/>
    <x v="10"/>
    <n v="21"/>
    <n v="29"/>
    <n v="7"/>
    <n v="7.5"/>
    <n v="7.6"/>
    <n v="7.9"/>
    <n v="270"/>
    <n v="390"/>
    <n v="1.6"/>
    <n v="2"/>
    <n v="0.32"/>
    <n v="1.01"/>
    <n v="2"/>
    <n v="2"/>
    <n v="46"/>
    <n v="48"/>
    <n v="2"/>
    <n v="2"/>
    <n v="1.6"/>
  </r>
  <r>
    <n v="4608"/>
    <s v="RIVER MAHI FOREST GUEST HOUSE RAJAPUR MATAJI_x000a_SHIVGARH RATLAM."/>
    <x v="10"/>
    <n v="20"/>
    <n v="29"/>
    <n v="7.2"/>
    <n v="7.6"/>
    <n v="7.5"/>
    <n v="8.5"/>
    <n v="224"/>
    <n v="476"/>
    <n v="1.6"/>
    <n v="2"/>
    <n v="0.32"/>
    <n v="0.75"/>
    <n v="2"/>
    <n v="2"/>
    <n v="46"/>
    <n v="49"/>
    <n v="2"/>
    <n v="2"/>
    <n v="1.6"/>
  </r>
  <r>
    <n v="30058"/>
    <s v="RIVER MAHI AT VILLAGE BAJNA (MP &amp; RJASTHAN)"/>
    <x v="10"/>
    <n v="22"/>
    <n v="26"/>
    <n v="8.4"/>
    <n v="8.9"/>
    <n v="7.4"/>
    <n v="8.1999999999999993"/>
    <n v="162"/>
    <n v="355"/>
    <n v="2"/>
    <n v="2.2999999999999998"/>
    <n v="0.32"/>
    <n v="0.92"/>
    <n v="2"/>
    <n v="12"/>
    <n v="130"/>
    <n v="150"/>
    <n v="2"/>
    <n v="2"/>
    <n v="2.2999999999999998"/>
  </r>
  <r>
    <n v="3848"/>
    <s v="RIVER ANAS RIVER NEAR ROAD BRIDGE JHABUA"/>
    <x v="10"/>
    <n v="20"/>
    <n v="22"/>
    <n v="6.9"/>
    <n v="7.6"/>
    <n v="7"/>
    <n v="8.5"/>
    <n v="302"/>
    <n v="445"/>
    <n v="1"/>
    <n v="1.8"/>
    <n v="0.73"/>
    <n v="1.55"/>
    <n v="2"/>
    <n v="2"/>
    <n v="2"/>
    <n v="49"/>
    <n v="2"/>
    <n v="2"/>
    <n v="0.9"/>
  </r>
  <r>
    <n v="1228"/>
    <s v="RIVER ANAS AT DAHOD, (KUSHALGARH), DIST._x000a_PANCHMAHAL"/>
    <x v="20"/>
    <n v="24"/>
    <n v="29"/>
    <n v="7.4"/>
    <n v="8.1999999999999993"/>
    <n v="8.1"/>
    <n v="8.5"/>
    <n v="295"/>
    <n v="572"/>
    <n v="1"/>
    <n v="1"/>
    <n v="0.32"/>
    <n v="0.44"/>
    <n v="2"/>
    <n v="14"/>
    <n v="11"/>
    <n v="70"/>
    <n v="2"/>
    <n v="2"/>
    <n v="0.5"/>
  </r>
  <r>
    <n v="2104"/>
    <s v="RIVER MALEI AT JAORA"/>
    <x v="10"/>
    <n v="22"/>
    <n v="28"/>
    <n v="7.1"/>
    <n v="7.5"/>
    <n v="6.9"/>
    <n v="8.1999999999999993"/>
    <n v="260"/>
    <n v="868"/>
    <n v="1.8"/>
    <n v="2.1"/>
    <n v="0.32"/>
    <n v="2.96"/>
    <n v="2"/>
    <n v="2"/>
    <n v="41"/>
    <n v="49"/>
    <n v="2"/>
    <n v="2"/>
    <n v="1.8900000000000001"/>
  </r>
  <r>
    <n v="2102"/>
    <s v="RIVER SHIVNA AT RAMGHAT, MANDSAUR"/>
    <x v="10"/>
    <n v="24"/>
    <n v="28"/>
    <n v="7.4"/>
    <n v="7.7"/>
    <n v="7.4"/>
    <n v="8.1"/>
    <n v="266"/>
    <n v="637"/>
    <n v="2"/>
    <n v="2"/>
    <n v="0.32"/>
    <n v="0.93"/>
    <n v="2"/>
    <n v="2"/>
    <n v="48"/>
    <n v="49"/>
    <n v="2"/>
    <n v="2"/>
    <n v="2"/>
  </r>
  <r>
    <n v="1227"/>
    <s v="RIVER PANAM AT LUNAWADA,"/>
    <x v="20"/>
    <n v="24"/>
    <n v="30"/>
    <n v="7.4"/>
    <n v="8.1999999999999993"/>
    <n v="8"/>
    <n v="8.5"/>
    <n v="231"/>
    <n v="477"/>
    <n v="1"/>
    <n v="1"/>
    <n v="0.32"/>
    <n v="0.38"/>
    <n v="2"/>
    <n v="9"/>
    <n v="11"/>
    <n v="50"/>
    <m/>
    <m/>
    <n v="0.5"/>
  </r>
  <r>
    <n v="2105"/>
    <s v="RIVER CHILLAR AT SHAJAPUR"/>
    <x v="10"/>
    <n v="23"/>
    <n v="28"/>
    <n v="6.7"/>
    <n v="7.5"/>
    <n v="7.3"/>
    <n v="7.9"/>
    <n v="252"/>
    <n v="450"/>
    <n v="1.6"/>
    <n v="2"/>
    <n v="0.32"/>
    <n v="0.9"/>
    <n v="2"/>
    <n v="2"/>
    <n v="47"/>
    <n v="49"/>
    <n v="2"/>
    <n v="2"/>
    <n v="1.6"/>
  </r>
  <r>
    <n v="2103"/>
    <s v="RIVER JAMMER AT DHOLABAD, RATLAM"/>
    <x v="10"/>
    <n v="20"/>
    <n v="29"/>
    <n v="7"/>
    <n v="7.6"/>
    <n v="7.4"/>
    <n v="7.7"/>
    <n v="130"/>
    <n v="375"/>
    <n v="1.4"/>
    <n v="2"/>
    <n v="0.32"/>
    <n v="0.98"/>
    <n v="2"/>
    <n v="2"/>
    <n v="46"/>
    <n v="49"/>
    <n v="2"/>
    <n v="2"/>
    <n v="1.4"/>
  </r>
  <r>
    <n v="5476"/>
    <s v="RIVER MAHI AT MAHI DAM,VILLAGE-BHOR KHERA_x000a_,BANSWARA"/>
    <x v="11"/>
    <n v="27"/>
    <n v="29"/>
    <n v="4"/>
    <n v="5.4"/>
    <n v="7.4"/>
    <n v="7.6"/>
    <n v="280"/>
    <n v="542"/>
    <n v="2.1"/>
    <n v="2.6"/>
    <n v="5.23"/>
    <n v="8.52"/>
    <n v="80"/>
    <n v="110"/>
    <n v="140"/>
    <n v="180"/>
    <n v="17"/>
    <n v="26"/>
    <n v="2.7300000000000004"/>
  </r>
  <r>
    <n v="4620"/>
    <s v="RIVER AJAB BOURALI AT PETLAWAD DAM PETLAVAD,_x000a_JHABUA"/>
    <x v="10"/>
    <n v="20"/>
    <n v="21.5"/>
    <n v="6.9"/>
    <n v="7.7"/>
    <n v="7.5"/>
    <n v="8.3000000000000007"/>
    <n v="300"/>
    <n v="539"/>
    <n v="1"/>
    <n v="1.2"/>
    <n v="0.54"/>
    <n v="1.69"/>
    <n v="2"/>
    <n v="2"/>
    <n v="34"/>
    <n v="49"/>
    <n v="2"/>
    <n v="2"/>
    <n v="0.6"/>
  </r>
  <r>
    <n v="1221"/>
    <s v="RIVER SABARMATI AT KHEROJ BRIDGE,"/>
    <x v="20"/>
    <n v="25"/>
    <n v="27"/>
    <n v="5"/>
    <n v="7.6"/>
    <n v="7.2"/>
    <n v="8.1999999999999993"/>
    <n v="380"/>
    <n v="765"/>
    <n v="1"/>
    <n v="1.3"/>
    <n v="0.32"/>
    <n v="1.03"/>
    <n v="2"/>
    <n v="12"/>
    <n v="6"/>
    <n v="70"/>
    <n v="2"/>
    <n v="2"/>
    <n v="0.65"/>
  </r>
  <r>
    <n v="1223"/>
    <s v="RIVER SABARMATI AFTER CONF. WITH MESHWA AT_x000a_VAUTHA (NEAR DHOKLA),"/>
    <x v="20"/>
    <n v="20"/>
    <n v="32"/>
    <n v="0.3"/>
    <n v="5.0999999999999996"/>
    <n v="7.4"/>
    <n v="8.4"/>
    <n v="680"/>
    <n v="2513"/>
    <n v="7"/>
    <n v="27"/>
    <n v="0.33"/>
    <n v="2.27"/>
    <n v="1600"/>
    <n v="1600"/>
    <n v="1600"/>
    <n v="1600"/>
    <m/>
    <m/>
    <n v="94.5"/>
  </r>
  <r>
    <n v="1409"/>
    <s v="RIVER SABARMATI AT RAILWAY BRIDGE AHMEDABAD,"/>
    <x v="20"/>
    <n v="27"/>
    <n v="30"/>
    <n v="2.7"/>
    <n v="6.8"/>
    <n v="7"/>
    <n v="8.3000000000000007"/>
    <n v="302"/>
    <n v="590"/>
    <n v="1"/>
    <n v="4.0999999999999996"/>
    <n v="0.4"/>
    <n v="1.36"/>
    <n v="21"/>
    <n v="170"/>
    <n v="110"/>
    <n v="540"/>
    <m/>
    <m/>
    <n v="2.0499999999999998"/>
  </r>
  <r>
    <n v="1866"/>
    <s v="RIVER SABARMATI AT HANSAOL BRIDGE,"/>
    <x v="20"/>
    <n v="26"/>
    <n v="30"/>
    <n v="4.2"/>
    <n v="7.6"/>
    <n v="7.4"/>
    <n v="8.1999999999999993"/>
    <n v="278"/>
    <n v="402"/>
    <n v="1"/>
    <n v="1.8"/>
    <n v="0.41"/>
    <n v="1.61"/>
    <n v="2"/>
    <n v="33"/>
    <n v="17"/>
    <n v="170"/>
    <m/>
    <m/>
    <n v="0.9"/>
  </r>
  <r>
    <n v="1"/>
    <s v="RIVER SABARMATI AT DHAROI DAM"/>
    <x v="20"/>
    <n v="28"/>
    <n v="28"/>
    <n v="2.8"/>
    <n v="2.8"/>
    <n v="7.9"/>
    <n v="7.9"/>
    <n v="560"/>
    <n v="560"/>
    <n v="5"/>
    <n v="5"/>
    <n v="2.4"/>
    <n v="2.4"/>
    <n v="1600"/>
    <n v="1600"/>
    <n v="1600"/>
    <n v="1600"/>
    <n v="1600"/>
    <n v="1600"/>
    <n v="12.5"/>
  </r>
  <r>
    <n v="2"/>
    <s v="RIVER SABARMATI AT AHMEDABAD AT V.N. BRIDGE"/>
    <x v="20"/>
    <n v="27"/>
    <n v="30"/>
    <n v="0.3"/>
    <n v="1.2"/>
    <n v="7.1"/>
    <n v="8"/>
    <n v="697"/>
    <n v="2741"/>
    <n v="12"/>
    <n v="105"/>
    <n v="0.4"/>
    <n v="24.85"/>
    <n v="1600"/>
    <n v="1600"/>
    <n v="1600"/>
    <n v="1600"/>
    <n v="1600"/>
    <n v="1600"/>
    <n v="630"/>
  </r>
  <r>
    <n v="1408"/>
    <s v="RIVER SABARMATI AT VILL. MIROLI TALUKA DASCROI,_x000a_AHMEDABAD,"/>
    <x v="20"/>
    <n v="28"/>
    <n v="32"/>
    <n v="0.3"/>
    <n v="4.8"/>
    <n v="7.2"/>
    <n v="8"/>
    <n v="889"/>
    <n v="6274"/>
    <n v="8"/>
    <n v="31"/>
    <n v="0"/>
    <n v="1.06"/>
    <n v="160"/>
    <n v="1600"/>
    <n v="1600"/>
    <n v="1600"/>
    <n v="1600"/>
    <n v="1600"/>
    <n v="124"/>
  </r>
  <r>
    <n v="2075"/>
    <s v="RIVER SABARMATI AT DHAROI DAM, DIST._x000a_MEHSANA.RIVER SABARMATI TA DHAROI DAM, TAL :_x000a_SATALASANA, DIST : MEHSANA"/>
    <x v="20"/>
    <n v="25"/>
    <n v="30"/>
    <n v="5.4"/>
    <n v="7.3"/>
    <n v="7.7"/>
    <n v="8.3000000000000007"/>
    <n v="384"/>
    <n v="560"/>
    <n v="1"/>
    <n v="1.7"/>
    <n v="0.32"/>
    <n v="1.56"/>
    <n v="2"/>
    <n v="6"/>
    <n v="2"/>
    <n v="47"/>
    <n v="2"/>
    <n v="2"/>
    <n v="0.85"/>
  </r>
  <r>
    <n v="10014"/>
    <s v="RIVER SABARMATI AT AHMEDABAD U/SHANSOL,_x000a_AHMEDABAD"/>
    <x v="20"/>
    <n v="26"/>
    <n v="30"/>
    <n v="4.2"/>
    <n v="7.6"/>
    <n v="7.4"/>
    <n v="8.1999999999999993"/>
    <n v="278"/>
    <n v="402"/>
    <n v="1"/>
    <n v="1.8"/>
    <n v="0.41"/>
    <n v="0.94"/>
    <n v="2"/>
    <n v="33"/>
    <n v="17"/>
    <n v="170"/>
    <n v="2"/>
    <n v="2"/>
    <n v="0.9"/>
  </r>
  <r>
    <n v="10015"/>
    <s v="RIVER SABARMATI AT AHMEDABAD D/SVILL:_x000a_MIROLI,TALUKA DASCROI, AHMEDABAD,"/>
    <x v="20"/>
    <n v="28"/>
    <n v="32"/>
    <n v="0.3"/>
    <n v="4.8"/>
    <n v="7.2"/>
    <n v="8"/>
    <n v="889"/>
    <n v="3060"/>
    <n v="8"/>
    <n v="31"/>
    <n v="0.33"/>
    <n v="1.08"/>
    <n v="1600"/>
    <n v="1600"/>
    <n v="1600"/>
    <n v="1600"/>
    <m/>
    <m/>
    <n v="124"/>
  </r>
  <r>
    <n v="30042"/>
    <s v="RIVER SABARMATI AT KHEROJ BRIDGE, SABARKANTHA,_x000a_AMBAJI HIGHWAY, KHEROJ, GUJARAT (RAJASTHAN AND_x000a_GUJARAT)"/>
    <x v="20"/>
    <n v="24"/>
    <n v="24"/>
    <n v="9.6"/>
    <n v="9.6"/>
    <n v="8"/>
    <n v="8"/>
    <n v="607"/>
    <n v="607"/>
    <n v="2.5"/>
    <n v="2.5"/>
    <n v="0.32"/>
    <n v="0.32"/>
    <n v="110"/>
    <n v="110"/>
    <n v="330"/>
    <n v="330"/>
    <m/>
    <m/>
    <n v="3.125"/>
  </r>
  <r>
    <n v="1482"/>
    <s v="RIVER SABARMATI AT MAHUDI JAIN TEMPLE, 150 KM._x000a_FORM ORIGIN,"/>
    <x v="20"/>
    <n v="27"/>
    <n v="32"/>
    <n v="4.0999999999999996"/>
    <n v="7.2"/>
    <n v="7.5"/>
    <n v="8.4"/>
    <n v="346"/>
    <n v="590"/>
    <n v="1"/>
    <n v="2"/>
    <n v="0.46"/>
    <n v="1.21"/>
    <n v="2"/>
    <n v="12"/>
    <n v="13"/>
    <n v="70"/>
    <m/>
    <m/>
    <n v="1"/>
  </r>
  <r>
    <n v="1407"/>
    <s v="RIVER SABARMATI AT GANDHI NAGAR CHILODA_x000a_BRIDGE, LEKAWADA,"/>
    <x v="20"/>
    <n v="27"/>
    <n v="32"/>
    <n v="5.0999999999999996"/>
    <n v="7"/>
    <n v="7.4"/>
    <n v="8.5"/>
    <n v="363"/>
    <n v="560"/>
    <n v="1"/>
    <n v="1.8"/>
    <n v="0.39"/>
    <n v="1.66"/>
    <n v="2"/>
    <n v="4"/>
    <n v="21"/>
    <n v="33"/>
    <m/>
    <m/>
    <n v="0.9"/>
  </r>
  <r>
    <n v="1222"/>
    <s v="RIVER SHEDHI AT KHEDA,"/>
    <x v="20"/>
    <n v="28"/>
    <n v="35"/>
    <n v="4.5"/>
    <n v="7.2"/>
    <n v="7.7"/>
    <n v="8.5"/>
    <n v="460"/>
    <n v="2616"/>
    <n v="1"/>
    <n v="2.7"/>
    <n v="1.1200000000000001"/>
    <n v="7.94"/>
    <n v="50"/>
    <n v="1600"/>
    <n v="300"/>
    <n v="1600"/>
    <n v="2"/>
    <n v="540"/>
    <n v="1.35"/>
  </r>
  <r>
    <n v="1437"/>
    <s v="RIVER KHARI AT LALI VILLAGE NEAR AHMEDABAD,"/>
    <x v="20"/>
    <n v="28"/>
    <n v="30"/>
    <n v="0.3"/>
    <n v="1.5"/>
    <n v="7.2"/>
    <n v="7.5"/>
    <n v="1112"/>
    <n v="2558"/>
    <n v="11"/>
    <n v="68"/>
    <n v="0.33"/>
    <n v="1.05"/>
    <n v="1600"/>
    <n v="1600"/>
    <n v="1600"/>
    <n v="1600"/>
    <n v="1600"/>
    <n v="1600"/>
    <n v="374"/>
  </r>
  <r>
    <n v="3321"/>
    <s v="RIVER NARMADA AT AMARKANTAK FROM ORIGIN POINT,"/>
    <x v="10"/>
    <n v="23.5"/>
    <n v="30.2"/>
    <n v="6.6"/>
    <n v="8.6999999999999993"/>
    <n v="7.1"/>
    <n v="8.3000000000000007"/>
    <n v="186"/>
    <n v="705"/>
    <n v="1"/>
    <n v="1.8"/>
    <n v="0.32"/>
    <n v="0.57999999999999996"/>
    <n v="2"/>
    <n v="2"/>
    <n v="27"/>
    <n v="94"/>
    <n v="2"/>
    <n v="2"/>
    <n v="0.9"/>
  </r>
  <r>
    <n v="1242"/>
    <s v="RIVER NARMADA NEAR ORIGIN POINT AT AMARKANTAK_x000a_M.P."/>
    <x v="10"/>
    <n v="22.6"/>
    <n v="30.2"/>
    <n v="6.5"/>
    <n v="6.8"/>
    <n v="6.6"/>
    <n v="7.9"/>
    <n v="165"/>
    <n v="1864"/>
    <n v="1"/>
    <n v="1.9"/>
    <n v="0.32"/>
    <n v="0.34"/>
    <n v="2"/>
    <n v="2"/>
    <n v="2"/>
    <n v="20"/>
    <n v="2"/>
    <n v="2"/>
    <n v="0.95"/>
  </r>
  <r>
    <n v="4578"/>
    <s v="RIVER NARMADA AT PUSKAR DAM AMARKANTAK"/>
    <x v="10"/>
    <n v="22.8"/>
    <n v="30.2"/>
    <n v="6.6"/>
    <n v="8.1"/>
    <n v="6.9"/>
    <n v="8"/>
    <n v="173"/>
    <n v="2756"/>
    <n v="1.6"/>
    <n v="2.2999999999999998"/>
    <n v="0.32"/>
    <n v="0.48"/>
    <n v="2"/>
    <n v="2"/>
    <n v="41"/>
    <n v="110"/>
    <n v="2"/>
    <n v="2"/>
    <n v="1.8399999999999999"/>
  </r>
  <r>
    <n v="1241"/>
    <s v="RIVER NARMADA AT MANDLA NEAR ROAD BRIDGE. M.P."/>
    <x v="10"/>
    <n v="21.2"/>
    <n v="24.6"/>
    <n v="7"/>
    <n v="7.8"/>
    <n v="7.3"/>
    <n v="7.9"/>
    <n v="250"/>
    <n v="611"/>
    <n v="1.2"/>
    <n v="2"/>
    <n v="0.16"/>
    <n v="1.44"/>
    <n v="2"/>
    <n v="6"/>
    <n v="17"/>
    <n v="48"/>
    <m/>
    <m/>
    <n v="1.2"/>
  </r>
  <r>
    <n v="1240"/>
    <s v="RIVER NARMADA AT BARMANGHAT, NARSINGHPUR M.P."/>
    <x v="10"/>
    <n v="20.9"/>
    <n v="24.6"/>
    <n v="7"/>
    <n v="8.3000000000000007"/>
    <n v="7.2"/>
    <n v="7.9"/>
    <n v="233"/>
    <n v="711"/>
    <n v="1.1000000000000001"/>
    <n v="2"/>
    <n v="0.14000000000000001"/>
    <n v="1.4"/>
    <n v="2"/>
    <n v="3"/>
    <n v="10"/>
    <n v="43"/>
    <m/>
    <m/>
    <n v="1.1000000000000001"/>
  </r>
  <r>
    <n v="2106"/>
    <s v="RIVER NARMADA AT NEMAWAR"/>
    <x v="10"/>
    <n v="22"/>
    <n v="27"/>
    <n v="6.6"/>
    <n v="7.6"/>
    <n v="7.6"/>
    <n v="7.8"/>
    <n v="198"/>
    <n v="394"/>
    <n v="1.2"/>
    <n v="2"/>
    <n v="0.32"/>
    <n v="0.65"/>
    <n v="2"/>
    <n v="2"/>
    <n v="43"/>
    <n v="48"/>
    <n v="2"/>
    <n v="2"/>
    <n v="1.2"/>
  </r>
  <r>
    <n v="4595"/>
    <s v="RIVER NARMADA 500 M.D/S NEAR JAIN MANDER_x000a_VILLAGE NEMAWAR"/>
    <x v="10"/>
    <n v="22"/>
    <n v="28"/>
    <n v="6.5"/>
    <n v="7.7"/>
    <n v="7.2"/>
    <n v="7.8"/>
    <n v="212"/>
    <n v="430"/>
    <n v="2"/>
    <n v="2"/>
    <n v="0.54"/>
    <n v="0.73"/>
    <n v="2"/>
    <n v="2"/>
    <n v="47"/>
    <n v="49"/>
    <n v="2"/>
    <n v="2"/>
    <n v="2"/>
  </r>
  <r>
    <n v="45"/>
    <s v="RIVER NARMADA AT MANDLESHWAR"/>
    <x v="10"/>
    <n v="19.5"/>
    <n v="21.5"/>
    <n v="7.2"/>
    <n v="8"/>
    <n v="7.7"/>
    <n v="8.5"/>
    <n v="212"/>
    <n v="332"/>
    <n v="1"/>
    <n v="1.1000000000000001"/>
    <n v="0.83"/>
    <n v="790.02"/>
    <n v="2"/>
    <n v="2"/>
    <n v="34"/>
    <n v="49"/>
    <n v="2"/>
    <n v="2"/>
    <n v="0.55000000000000004"/>
  </r>
  <r>
    <n v="1239"/>
    <s v="RIVER NARMADA AT BADWANI, M.P."/>
    <x v="10"/>
    <n v="19"/>
    <n v="22"/>
    <n v="7.2"/>
    <n v="7.8"/>
    <n v="7.8"/>
    <n v="8.5"/>
    <n v="246"/>
    <n v="346"/>
    <n v="1"/>
    <n v="1.2"/>
    <n v="0.82"/>
    <n v="1.2"/>
    <n v="2"/>
    <n v="2"/>
    <n v="38"/>
    <n v="48"/>
    <m/>
    <m/>
    <n v="0.6"/>
  </r>
  <r>
    <n v="1431"/>
    <s v="RIVER NARMADA AT MAHESHWAR, M. P."/>
    <x v="10"/>
    <n v="19.5"/>
    <n v="21.5"/>
    <n v="7"/>
    <n v="7.9"/>
    <n v="7.3"/>
    <n v="8.5"/>
    <n v="211"/>
    <n v="318"/>
    <n v="1"/>
    <n v="1.2"/>
    <n v="0.02"/>
    <n v="1.1200000000000001"/>
    <n v="2"/>
    <n v="2"/>
    <n v="39"/>
    <n v="49"/>
    <n v="2"/>
    <n v="2"/>
    <n v="0.6"/>
  </r>
  <r>
    <n v="1234"/>
    <s v="RIVER NARMADA NEAR SHAHGANJ GUEST HOUSE_x000a_DISTRICT SEHORE (M.P.)"/>
    <x v="10"/>
    <n v="14"/>
    <n v="26"/>
    <n v="5.8"/>
    <n v="11"/>
    <n v="7.3"/>
    <n v="8.5"/>
    <n v="188"/>
    <n v="362"/>
    <n v="1"/>
    <n v="2.4"/>
    <n v="1.4"/>
    <n v="5.97"/>
    <n v="2"/>
    <n v="34"/>
    <n v="130"/>
    <n v="280"/>
    <n v="2"/>
    <n v="2"/>
    <n v="1.2"/>
  </r>
  <r>
    <n v="2112"/>
    <s v="RIVER NARMADA NEAR MORTAKKA BRIDGE, BADWAH"/>
    <x v="10"/>
    <n v="19.5"/>
    <n v="21.5"/>
    <n v="7.2"/>
    <n v="7.9"/>
    <n v="7.4"/>
    <n v="8.5"/>
    <n v="243"/>
    <n v="328"/>
    <n v="1"/>
    <n v="1.4"/>
    <n v="0.83"/>
    <n v="1.27"/>
    <n v="2"/>
    <n v="2"/>
    <n v="33"/>
    <n v="49"/>
    <m/>
    <m/>
    <n v="0.7"/>
  </r>
  <r>
    <n v="44"/>
    <s v="RIVER NARMADA AT SETHANIGHAT"/>
    <x v="10"/>
    <n v="17"/>
    <n v="31"/>
    <n v="7.2"/>
    <n v="8.5"/>
    <n v="7.2"/>
    <n v="8.1999999999999993"/>
    <n v="198"/>
    <n v="311"/>
    <n v="1.3"/>
    <n v="2.1"/>
    <n v="0.39"/>
    <n v="1.93"/>
    <n v="13"/>
    <n v="170"/>
    <n v="150"/>
    <n v="430"/>
    <n v="2"/>
    <n v="2"/>
    <n v="1.3650000000000002"/>
  </r>
  <r>
    <n v="1235"/>
    <s v="RIVER NARMADA AT HOSHANGABAD 100 METER D/ S_x000a_AFTER CONFLUENCE OF SPM NALLA M.P."/>
    <x v="10"/>
    <n v="12"/>
    <n v="30"/>
    <n v="7.4"/>
    <n v="8.5"/>
    <n v="7.4"/>
    <n v="8.1"/>
    <n v="187"/>
    <n v="315"/>
    <n v="1.1000000000000001"/>
    <n v="1.9"/>
    <n v="0.55000000000000004"/>
    <n v="2.9"/>
    <n v="22"/>
    <n v="94"/>
    <n v="170"/>
    <n v="430"/>
    <n v="2"/>
    <n v="2"/>
    <n v="1.0449999999999999"/>
  </r>
  <r>
    <n v="2113"/>
    <s v="RIVER NARMADA NEAR PUNASA DAM, PUNASA"/>
    <x v="10"/>
    <n v="20"/>
    <n v="21.5"/>
    <n v="7.1"/>
    <n v="7.8"/>
    <n v="7.5"/>
    <n v="8.5"/>
    <n v="194"/>
    <n v="298"/>
    <n v="1"/>
    <n v="1.1000000000000001"/>
    <n v="0.7"/>
    <n v="1.08"/>
    <n v="2"/>
    <n v="2"/>
    <n v="31"/>
    <n v="41"/>
    <m/>
    <m/>
    <n v="0.55000000000000004"/>
  </r>
  <r>
    <n v="1430"/>
    <s v="RIVER NARMADA AT D/S OF OMKARESHWAR M.P."/>
    <x v="10"/>
    <n v="19.5"/>
    <n v="21.5"/>
    <n v="7"/>
    <n v="7.8"/>
    <n v="7.7"/>
    <n v="8.4"/>
    <n v="222"/>
    <n v="313"/>
    <n v="1"/>
    <n v="1.1000000000000001"/>
    <n v="0.7"/>
    <n v="1.22"/>
    <n v="2"/>
    <n v="2"/>
    <n v="32"/>
    <n v="47"/>
    <m/>
    <m/>
    <n v="0.55000000000000004"/>
  </r>
  <r>
    <n v="3322"/>
    <s v="RIVER NARMADA AT MANDLA, NEAR SHAMSHANGHAT,_x000a_JABALPUR"/>
    <x v="10"/>
    <n v="21.3"/>
    <n v="24.5"/>
    <n v="6"/>
    <n v="8"/>
    <n v="7.1"/>
    <n v="7.8"/>
    <n v="250"/>
    <n v="546"/>
    <n v="1"/>
    <n v="2"/>
    <n v="0.13"/>
    <n v="1.4"/>
    <n v="2"/>
    <n v="6"/>
    <n v="17"/>
    <n v="63"/>
    <m/>
    <m/>
    <n v="1"/>
  </r>
  <r>
    <n v="2099"/>
    <s v="RIVER NARMADA AT LALPUR, JABALPUR"/>
    <x v="10"/>
    <n v="21"/>
    <n v="23.4"/>
    <n v="7.2"/>
    <n v="7.8"/>
    <n v="7.3"/>
    <n v="7.9"/>
    <n v="230"/>
    <n v="382"/>
    <n v="1.2"/>
    <n v="1.6"/>
    <n v="0.16"/>
    <n v="0.8"/>
    <n v="2"/>
    <n v="2"/>
    <n v="31"/>
    <n v="49"/>
    <m/>
    <m/>
    <n v="0.96"/>
  </r>
  <r>
    <n v="3323"/>
    <s v="RIVER NARMADA AT TILWARAGHAT, JABALPUR"/>
    <x v="10"/>
    <n v="21.2"/>
    <n v="25.4"/>
    <n v="7"/>
    <n v="7.8"/>
    <n v="7.1"/>
    <n v="8"/>
    <n v="256"/>
    <n v="642"/>
    <n v="1.3"/>
    <n v="1.9"/>
    <n v="0.14000000000000001"/>
    <n v="1.6"/>
    <n v="2"/>
    <n v="14"/>
    <n v="17"/>
    <n v="70"/>
    <m/>
    <m/>
    <n v="1.2349999999999999"/>
  </r>
  <r>
    <n v="3324"/>
    <s v="RIVER NARMADA AT PANCHWATIGHAT, BEFORE MIXING_x000a_WITH BAWANGANGA RIVER, JABALPUR"/>
    <x v="10"/>
    <n v="20.5"/>
    <n v="24.2"/>
    <n v="7.2"/>
    <n v="8"/>
    <n v="7.2"/>
    <n v="8.1"/>
    <n v="224"/>
    <n v="716"/>
    <n v="1"/>
    <n v="2"/>
    <n v="0.3"/>
    <n v="1.44"/>
    <n v="2"/>
    <n v="9"/>
    <n v="11"/>
    <n v="41"/>
    <m/>
    <m/>
    <n v="1"/>
  </r>
  <r>
    <n v="3325"/>
    <s v="RIVER NARMADA AT SARSWATIGHAT, AFTER MIXING_x000a_WITH BAWANGANGA RIVER, JABALPUR"/>
    <x v="10"/>
    <n v="20.6"/>
    <n v="24.1"/>
    <n v="6.7"/>
    <n v="7.9"/>
    <n v="7.4"/>
    <n v="8.1"/>
    <n v="242"/>
    <n v="719"/>
    <n v="1.4"/>
    <n v="2"/>
    <n v="0.1"/>
    <n v="2.2599999999999998"/>
    <n v="2"/>
    <n v="4"/>
    <n v="14"/>
    <n v="70"/>
    <m/>
    <m/>
    <n v="1.4"/>
  </r>
  <r>
    <n v="2118"/>
    <s v="RIVER NARMADA RIVER AT D/S OF KAPILDHARA"/>
    <x v="10"/>
    <n v="22.6"/>
    <n v="30.4"/>
    <n v="6.5"/>
    <n v="7.7"/>
    <n v="7.1"/>
    <n v="8"/>
    <n v="167"/>
    <n v="2524"/>
    <n v="1.2"/>
    <n v="2.2000000000000002"/>
    <n v="0.32"/>
    <n v="0.45"/>
    <n v="2"/>
    <n v="2"/>
    <n v="41"/>
    <n v="94"/>
    <n v="2"/>
    <n v="2"/>
    <n v="1.32"/>
  </r>
  <r>
    <n v="2123"/>
    <s v="RIVER NARMADA AT KORIGHAT HOSHANGABAD"/>
    <x v="10"/>
    <n v="17"/>
    <n v="31"/>
    <n v="7.1"/>
    <n v="8.6"/>
    <n v="7.3"/>
    <n v="8.1"/>
    <n v="184"/>
    <n v="312"/>
    <n v="1.1000000000000001"/>
    <n v="1.8"/>
    <n v="0.44"/>
    <n v="2.2000000000000002"/>
    <n v="2"/>
    <n v="46"/>
    <n v="110"/>
    <n v="280"/>
    <n v="2"/>
    <n v="2"/>
    <n v="0.9900000000000001"/>
  </r>
  <r>
    <n v="3847"/>
    <s v="RIVER NARMADA AT DHARAMPURI"/>
    <x v="10"/>
    <n v="19.5"/>
    <n v="22"/>
    <n v="7.3"/>
    <n v="7.8"/>
    <n v="7.7"/>
    <n v="8.4"/>
    <n v="210"/>
    <n v="315"/>
    <n v="1"/>
    <n v="1.1000000000000001"/>
    <n v="0.02"/>
    <n v="1.05"/>
    <n v="2"/>
    <n v="2"/>
    <n v="33"/>
    <n v="41"/>
    <m/>
    <m/>
    <n v="0.55000000000000004"/>
  </r>
  <r>
    <n v="4577"/>
    <s v="RIVER NARMADA AT CHANDANGHAT NEAR ROAD_x000a_BRIDGE, DINDORI"/>
    <x v="10"/>
    <n v="23"/>
    <n v="30.5"/>
    <n v="6.7"/>
    <n v="8.1999999999999993"/>
    <n v="7.2"/>
    <n v="8.1"/>
    <n v="187"/>
    <n v="926"/>
    <n v="1"/>
    <n v="1.8"/>
    <n v="0.32"/>
    <n v="1.2"/>
    <n v="2"/>
    <n v="8"/>
    <n v="27"/>
    <n v="84"/>
    <n v="2"/>
    <n v="2"/>
    <n v="0.9"/>
  </r>
  <r>
    <n v="4578"/>
    <s v="RIVER NARMADA AT PUSKAR DAM AMARKANTAK"/>
    <x v="10"/>
    <n v="22.8"/>
    <n v="30.2"/>
    <n v="6.6"/>
    <n v="8.1"/>
    <n v="6.9"/>
    <n v="8"/>
    <n v="173"/>
    <n v="2756"/>
    <n v="1.6"/>
    <n v="2.2999999999999998"/>
    <n v="0.32"/>
    <n v="0.48"/>
    <n v="2"/>
    <n v="2"/>
    <n v="41"/>
    <n v="110"/>
    <n v="2"/>
    <n v="2"/>
    <n v="1.8399999999999999"/>
  </r>
  <r>
    <n v="4579"/>
    <s v="RIVER NARMADA AT DINDORI D/S AFTER MIXING TO_x000a_CITY DOMESTIC NEAR JOGOTIKARIA GHAT"/>
    <x v="10"/>
    <n v="23.6"/>
    <n v="30.4"/>
    <n v="6.7"/>
    <n v="8.8000000000000007"/>
    <n v="7.6"/>
    <n v="8.1999999999999993"/>
    <n v="194"/>
    <n v="911"/>
    <n v="1.2"/>
    <n v="2.4"/>
    <n v="0.36"/>
    <n v="0.7"/>
    <n v="2"/>
    <n v="4"/>
    <n v="43"/>
    <n v="120"/>
    <n v="2"/>
    <n v="2"/>
    <n v="1.44"/>
  </r>
  <r>
    <n v="4580"/>
    <s v="RIVER NARMADA NEAR BHAIRAV TAMPLE AT_x000a_SHHASTRADHARA MANDLA"/>
    <x v="10"/>
    <n v="21.1"/>
    <n v="24.3"/>
    <n v="6.8"/>
    <n v="8"/>
    <n v="7.2"/>
    <n v="7.9"/>
    <n v="271"/>
    <n v="661"/>
    <n v="1.2"/>
    <n v="1.9"/>
    <n v="0.23"/>
    <n v="1.3"/>
    <n v="2"/>
    <n v="6"/>
    <n v="17"/>
    <n v="49"/>
    <m/>
    <m/>
    <n v="1.1399999999999999"/>
  </r>
  <r>
    <n v="4581"/>
    <s v="RIVER NARMADA NEAR ROAD BRIDGE (D/S BARGI DAM)_x000a_JABALPUR"/>
    <x v="10"/>
    <n v="20.9"/>
    <n v="25.7"/>
    <n v="7.1"/>
    <n v="7.9"/>
    <n v="7.5"/>
    <n v="7.9"/>
    <n v="248"/>
    <n v="716"/>
    <n v="1.3"/>
    <n v="1.8"/>
    <n v="0.04"/>
    <n v="1.32"/>
    <n v="2"/>
    <n v="6"/>
    <n v="17"/>
    <n v="48"/>
    <m/>
    <m/>
    <n v="1.1700000000000002"/>
  </r>
  <r>
    <n v="4582"/>
    <s v="RIVER NARMADA AT JAMTARA, NEAR RAILWAY BRIDGE"/>
    <x v="10"/>
    <n v="21"/>
    <n v="25.6"/>
    <n v="7.2"/>
    <n v="7.8"/>
    <n v="7.2"/>
    <n v="8.1"/>
    <n v="268"/>
    <n v="711"/>
    <n v="1.2"/>
    <n v="1.9"/>
    <n v="0.06"/>
    <n v="1.4"/>
    <n v="2"/>
    <n v="10"/>
    <n v="17"/>
    <n v="94"/>
    <m/>
    <m/>
    <n v="1.1399999999999999"/>
  </r>
  <r>
    <n v="4583"/>
    <s v="RIVER NARMADA NEAR ROAD BRIDGE JHANSINGHAT_x000a_JABALPUR"/>
    <x v="10"/>
    <n v="20.6"/>
    <n v="24.6"/>
    <n v="6.8"/>
    <n v="8"/>
    <n v="7.3"/>
    <n v="8.1"/>
    <n v="217"/>
    <n v="677"/>
    <n v="1.2"/>
    <n v="1.9"/>
    <n v="0.18"/>
    <n v="2.64"/>
    <n v="2"/>
    <n v="13"/>
    <n v="17"/>
    <n v="49"/>
    <m/>
    <m/>
    <n v="1.1399999999999999"/>
  </r>
  <r>
    <n v="4584"/>
    <s v="RIVER NARMADA N.H. 44 NEAR ROAD BRIDGE AT_x000a_BARMAN. JABALPUR"/>
    <x v="10"/>
    <n v="21"/>
    <n v="24.7"/>
    <n v="6.4"/>
    <n v="7.9"/>
    <n v="7.1"/>
    <n v="7.9"/>
    <n v="235"/>
    <n v="671"/>
    <n v="1"/>
    <n v="2"/>
    <n v="0.24"/>
    <n v="1.44"/>
    <n v="2"/>
    <n v="4"/>
    <n v="10"/>
    <n v="48"/>
    <m/>
    <m/>
    <n v="1"/>
  </r>
  <r>
    <n v="4585"/>
    <s v="RIVER NARMADA, BARMANGHAT, 100 MDS OF_x000a_MAINGHAT"/>
    <x v="10"/>
    <n v="20.8"/>
    <n v="24.7"/>
    <n v="6.5"/>
    <n v="8.1"/>
    <n v="7.1"/>
    <n v="8.1"/>
    <n v="248"/>
    <n v="716"/>
    <n v="1.2"/>
    <n v="2.4"/>
    <n v="0.16"/>
    <n v="1.44"/>
    <n v="2"/>
    <n v="4"/>
    <n v="10"/>
    <n v="48"/>
    <m/>
    <m/>
    <n v="1.44"/>
  </r>
  <r>
    <n v="4586"/>
    <s v="RIVER NARMADA S.N. 44 NEAR ROAD BRIDGE NEAR_x000a_JHILKOLI NARSINGPUR"/>
    <x v="10"/>
    <n v="21.1"/>
    <n v="24.6"/>
    <n v="6.7"/>
    <n v="7.8"/>
    <n v="7.4"/>
    <n v="8.1"/>
    <n v="233"/>
    <n v="691"/>
    <n v="1.2"/>
    <n v="1.9"/>
    <n v="0.3"/>
    <n v="2.64"/>
    <n v="2"/>
    <n v="12"/>
    <n v="17"/>
    <n v="48"/>
    <m/>
    <m/>
    <n v="1.1399999999999999"/>
  </r>
  <r>
    <n v="4587"/>
    <s v="RIVER NARMADA AT NEAR ROAD BRIDGE, SANDIA"/>
    <x v="10"/>
    <n v="15"/>
    <n v="31"/>
    <n v="7.8"/>
    <n v="8.6999999999999993"/>
    <n v="7.3"/>
    <n v="8.1999999999999993"/>
    <n v="172"/>
    <n v="285"/>
    <n v="1"/>
    <n v="1.7"/>
    <n v="0.32"/>
    <n v="2.46"/>
    <n v="2"/>
    <n v="10"/>
    <n v="2"/>
    <n v="150"/>
    <n v="2"/>
    <n v="2"/>
    <n v="0.85"/>
  </r>
  <r>
    <n v="4588"/>
    <s v="RIVER NARMADA AT UP- STREAM OF VILLAGE JAIT_x000a_NEAR NARYANAPURA DISTRICT SEHORE (M.P.)"/>
    <x v="10"/>
    <n v="15"/>
    <n v="27"/>
    <n v="6"/>
    <n v="11.5"/>
    <n v="7.6"/>
    <n v="8.4"/>
    <n v="213"/>
    <n v="3105"/>
    <n v="1"/>
    <n v="1.7"/>
    <n v="1.25"/>
    <n v="7.47"/>
    <n v="6"/>
    <n v="26"/>
    <n v="40"/>
    <n v="280"/>
    <n v="2"/>
    <n v="2"/>
    <n v="0.85"/>
  </r>
  <r>
    <n v="4589"/>
    <s v="RIVER NARMADA AT D/S OF VILL. JAIT"/>
    <x v="10"/>
    <n v="15"/>
    <n v="26"/>
    <n v="6.2"/>
    <n v="12.2"/>
    <n v="7.6"/>
    <n v="8.4"/>
    <n v="214"/>
    <n v="3212"/>
    <n v="1"/>
    <n v="2"/>
    <n v="1.71"/>
    <n v="6.62"/>
    <n v="11"/>
    <n v="147"/>
    <n v="140"/>
    <n v="1301"/>
    <n v="2"/>
    <n v="2"/>
    <n v="1"/>
  </r>
  <r>
    <n v="4590"/>
    <s v="RIVER NARMADA AT UP-STREAM BEFORE_x000a_CONFLUENCE OF RIVER TAWA NEAR BANDRABHAN_x000a_DISTRICT SEHORE M.P."/>
    <x v="10"/>
    <n v="14"/>
    <n v="26"/>
    <n v="5.8"/>
    <n v="11"/>
    <n v="7.4"/>
    <n v="8.5"/>
    <n v="184"/>
    <n v="419"/>
    <n v="1"/>
    <n v="2.1"/>
    <n v="0.96"/>
    <n v="6.16"/>
    <n v="2"/>
    <n v="48"/>
    <n v="150"/>
    <n v="350"/>
    <n v="2"/>
    <n v="2"/>
    <n v="1.05"/>
  </r>
  <r>
    <n v="4591"/>
    <s v="RIVER NARMADA AT DOWN-STREAM AFTER_x000a_CONFLUENCE OF RIVER TAWA NEAR_x000a_RAMNAGAR,DISTRICT SEHORE (M.P.)"/>
    <x v="10"/>
    <n v="16"/>
    <n v="26"/>
    <n v="6"/>
    <n v="14.1"/>
    <n v="7.6"/>
    <n v="8.5"/>
    <n v="190"/>
    <n v="337"/>
    <n v="1"/>
    <n v="1.9"/>
    <n v="1.44"/>
    <n v="6.95"/>
    <n v="2"/>
    <n v="39"/>
    <n v="120"/>
    <n v="350"/>
    <n v="2"/>
    <n v="2"/>
    <n v="0.95"/>
  </r>
  <r>
    <n v="4592"/>
    <s v="RIVER NARMADA AT BUDHNIGHAT, BUDHNI DISTRICT_x000a_SEHORE( M.P.)"/>
    <x v="10"/>
    <n v="16"/>
    <n v="26"/>
    <n v="6.2"/>
    <n v="10.199999999999999"/>
    <n v="7.5"/>
    <n v="8.3000000000000007"/>
    <n v="184"/>
    <n v="3459"/>
    <n v="1"/>
    <n v="1.4"/>
    <n v="0.71"/>
    <n v="5.04"/>
    <n v="2"/>
    <n v="178"/>
    <n v="120"/>
    <n v="1400"/>
    <n v="2"/>
    <n v="2"/>
    <n v="0.7"/>
  </r>
  <r>
    <n v="4593"/>
    <s v="RIVER NARMADA AT DOWN-STREAM OF TEXTILE UNIT_x000a_VILLAGE. HOLIPURA BUDNI DISTRICT SEHORE (M.P.)"/>
    <x v="10"/>
    <n v="15"/>
    <n v="27"/>
    <n v="6"/>
    <n v="13.5"/>
    <n v="7.4"/>
    <n v="8.5"/>
    <n v="180"/>
    <n v="478"/>
    <n v="1"/>
    <n v="2"/>
    <n v="1.1599999999999999"/>
    <n v="4.92"/>
    <n v="2"/>
    <n v="39"/>
    <n v="110"/>
    <n v="350"/>
    <n v="2"/>
    <n v="2"/>
    <n v="1"/>
  </r>
  <r>
    <n v="4594"/>
    <s v="RIVER NARMADA AT BEFOR CONFLU. OF RIVER JAMNER_x000a_VILL. NEMAWAR"/>
    <x v="10"/>
    <n v="22"/>
    <n v="28"/>
    <n v="6.7"/>
    <n v="7.6"/>
    <n v="7.4"/>
    <n v="7.9"/>
    <n v="205"/>
    <n v="422"/>
    <n v="1.4"/>
    <n v="2"/>
    <n v="0.32"/>
    <n v="0.83"/>
    <n v="2"/>
    <n v="2"/>
    <n v="41"/>
    <n v="49"/>
    <n v="2"/>
    <n v="2"/>
    <n v="1.4"/>
  </r>
  <r>
    <n v="4596"/>
    <s v="RIVER NARMADA AT HANUWANTIA DIST. KHANDWA"/>
    <x v="10"/>
    <n v="20"/>
    <n v="21.5"/>
    <n v="7.3"/>
    <n v="7.8"/>
    <n v="7.7"/>
    <n v="8.6"/>
    <n v="211"/>
    <n v="311"/>
    <n v="1"/>
    <n v="7.4"/>
    <n v="0.64"/>
    <n v="1.1399999999999999"/>
    <n v="2"/>
    <n v="2"/>
    <n v="31"/>
    <n v="41"/>
    <m/>
    <m/>
    <n v="3.7"/>
  </r>
  <r>
    <n v="4597"/>
    <s v="RIVER NARMADA AT U/S OMKAREWHWAR DAM_x000a_KHANDWA"/>
    <x v="10"/>
    <n v="19.5"/>
    <n v="21.5"/>
    <n v="7.2"/>
    <n v="7.8"/>
    <n v="7.3"/>
    <n v="8.5"/>
    <n v="212"/>
    <n v="308"/>
    <n v="1"/>
    <n v="1.1000000000000001"/>
    <n v="0.74"/>
    <n v="2.2599999999999998"/>
    <n v="2"/>
    <n v="2"/>
    <n v="32"/>
    <n v="43"/>
    <m/>
    <m/>
    <n v="0.55000000000000004"/>
  </r>
  <r>
    <n v="4598"/>
    <s v="RIVER NARMADA RIVER AT DHARESHWAR"/>
    <x v="10"/>
    <n v="19"/>
    <n v="21.5"/>
    <n v="7.2"/>
    <n v="7.8"/>
    <n v="7.6"/>
    <n v="8.6"/>
    <n v="205"/>
    <n v="329"/>
    <n v="1"/>
    <n v="1.1000000000000001"/>
    <n v="0.84"/>
    <n v="11.03"/>
    <n v="2"/>
    <n v="2"/>
    <n v="34"/>
    <n v="49"/>
    <m/>
    <m/>
    <n v="0.55000000000000004"/>
  </r>
  <r>
    <n v="4599"/>
    <s v="RIVER NARMADA NEAR W/S INTAKE JALLOD"/>
    <x v="10"/>
    <n v="19.5"/>
    <n v="21.5"/>
    <n v="7.3"/>
    <n v="8"/>
    <n v="7.8"/>
    <n v="8.4"/>
    <n v="248"/>
    <n v="320"/>
    <n v="1"/>
    <n v="1.1000000000000001"/>
    <n v="0.71"/>
    <n v="1.1200000000000001"/>
    <n v="2"/>
    <n v="2"/>
    <n v="34"/>
    <n v="41"/>
    <m/>
    <m/>
    <n v="0.55000000000000004"/>
  </r>
  <r>
    <n v="4600"/>
    <s v="RIVER NARMADA RIVER AT SHAHASTRADHARA_x000a_(JALKOTI)"/>
    <x v="10"/>
    <n v="19.5"/>
    <n v="21.5"/>
    <n v="7.2"/>
    <n v="8.1"/>
    <n v="7.7"/>
    <n v="8.6"/>
    <n v="209"/>
    <n v="330"/>
    <n v="1"/>
    <n v="1.2"/>
    <n v="0.73"/>
    <n v="1.91"/>
    <n v="2"/>
    <n v="2"/>
    <n v="38"/>
    <n v="47"/>
    <m/>
    <m/>
    <n v="0.6"/>
  </r>
  <r>
    <n v="4601"/>
    <s v="RIVER NARMADA AT KHALGHAT"/>
    <x v="10"/>
    <n v="19.5"/>
    <n v="22"/>
    <n v="7.4"/>
    <n v="7.8"/>
    <n v="7.8"/>
    <n v="8.6"/>
    <n v="215"/>
    <n v="337"/>
    <n v="1"/>
    <n v="1.2"/>
    <n v="0.02"/>
    <n v="1.18"/>
    <n v="2"/>
    <n v="2"/>
    <n v="34"/>
    <n v="43"/>
    <m/>
    <m/>
    <n v="0.6"/>
  </r>
  <r>
    <n v="4602"/>
    <s v="RIVER NARMADA RIVER AT SEMALDA U/S OF BARWANI"/>
    <x v="10"/>
    <n v="19"/>
    <n v="22"/>
    <n v="7.2"/>
    <n v="8"/>
    <n v="7.7"/>
    <n v="8.4"/>
    <n v="232"/>
    <n v="350"/>
    <n v="1"/>
    <n v="1.1000000000000001"/>
    <n v="0.71"/>
    <n v="1.1599999999999999"/>
    <n v="2"/>
    <n v="2"/>
    <n v="34"/>
    <n v="43"/>
    <m/>
    <m/>
    <n v="0.55000000000000004"/>
  </r>
  <r>
    <n v="4603"/>
    <s v="RIVER NARMADA AT KOTESHWAR"/>
    <x v="10"/>
    <n v="19.5"/>
    <n v="22"/>
    <n v="6.9"/>
    <n v="7.8"/>
    <n v="7.6"/>
    <n v="8.5"/>
    <n v="255"/>
    <n v="392"/>
    <n v="1"/>
    <n v="1.1000000000000001"/>
    <n v="0.72"/>
    <n v="1.92"/>
    <n v="2"/>
    <n v="2"/>
    <n v="34"/>
    <n v="46"/>
    <m/>
    <m/>
    <n v="0.55000000000000004"/>
  </r>
  <r>
    <n v="4605"/>
    <s v="RIVER NARMADA AT KAKRANA, INTERSTATE BOUNDRY,_x000a_ALIRAJPUR"/>
    <x v="10"/>
    <n v="19.5"/>
    <n v="22"/>
    <n v="7.2"/>
    <n v="7.7"/>
    <n v="7.6"/>
    <n v="8.5"/>
    <n v="250"/>
    <n v="358"/>
    <n v="1"/>
    <n v="1.2"/>
    <n v="0.74"/>
    <n v="2.12"/>
    <n v="2"/>
    <n v="2"/>
    <n v="34"/>
    <n v="48"/>
    <m/>
    <m/>
    <n v="0.6"/>
  </r>
  <r>
    <n v="30048"/>
    <s v="RIVER NARMADA AT NAVAGAM, NEAR GORA COLONY,_x000a_KEVADIA, GUJARAT (GUJARAT AND MADHYA PRADESH)"/>
    <x v="20"/>
    <n v="29"/>
    <n v="29"/>
    <n v="7.7"/>
    <n v="7.7"/>
    <n v="8.3000000000000007"/>
    <n v="8.3000000000000007"/>
    <n v="372"/>
    <n v="372"/>
    <n v="2.5"/>
    <n v="2.5"/>
    <n v="0.32"/>
    <n v="0.32"/>
    <n v="700"/>
    <n v="700"/>
    <n v="1100"/>
    <n v="1100"/>
    <m/>
    <m/>
    <n v="3.125"/>
  </r>
  <r>
    <n v="7"/>
    <s v="RIVER NARMADA AT GARUDESHWAR"/>
    <x v="20"/>
    <n v="27"/>
    <n v="34"/>
    <n v="7.3"/>
    <n v="8.4"/>
    <n v="8"/>
    <n v="8.4"/>
    <n v="190"/>
    <n v="419"/>
    <n v="1"/>
    <n v="1"/>
    <n v="0.32"/>
    <n v="0.83"/>
    <n v="2"/>
    <n v="23"/>
    <n v="20"/>
    <n v="94"/>
    <m/>
    <m/>
    <n v="0.5"/>
  </r>
  <r>
    <n v="1244"/>
    <s v="RIVER NARMADA AT PANETHA,"/>
    <x v="20"/>
    <n v="27"/>
    <n v="34"/>
    <n v="7.1"/>
    <n v="8.3000000000000007"/>
    <n v="8"/>
    <n v="8.4"/>
    <n v="200"/>
    <n v="363"/>
    <n v="1"/>
    <n v="1"/>
    <n v="0.32"/>
    <n v="0.85"/>
    <n v="2"/>
    <n v="21"/>
    <n v="26"/>
    <n v="46"/>
    <m/>
    <m/>
    <n v="0.5"/>
  </r>
  <r>
    <n v="1245"/>
    <s v="RIVER NARMADA AT CHANDOD,"/>
    <x v="20"/>
    <n v="26"/>
    <n v="28"/>
    <n v="7.3"/>
    <n v="8.6999999999999993"/>
    <n v="7.9"/>
    <n v="8.6999999999999993"/>
    <n v="298"/>
    <n v="426"/>
    <n v="1"/>
    <n v="1"/>
    <n v="1.1599999999999999"/>
    <n v="1.36"/>
    <n v="9"/>
    <n v="50"/>
    <n v="34"/>
    <n v="140"/>
    <m/>
    <m/>
    <n v="0.5"/>
  </r>
  <r>
    <n v="1981"/>
    <s v="RIVER NARMADA AT ZANOR (NTPC), BHARUCHRIVER_x000a_NARMADA AT ZANOR (NTPC), BHARUCH"/>
    <x v="20"/>
    <n v="25"/>
    <n v="30"/>
    <n v="7"/>
    <n v="8.4"/>
    <n v="7.7"/>
    <n v="8.5"/>
    <n v="282"/>
    <n v="518"/>
    <n v="1"/>
    <n v="1"/>
    <n v="0.3"/>
    <n v="0.3"/>
    <n v="13"/>
    <n v="78"/>
    <n v="46"/>
    <n v="140"/>
    <n v="2"/>
    <n v="21"/>
    <n v="0.5"/>
  </r>
  <r>
    <n v="1243"/>
    <s v="RIVER NARMADA AT BHARUCH, ZADESHVAR,"/>
    <x v="20"/>
    <n v="25"/>
    <n v="30"/>
    <n v="6.3"/>
    <n v="8.3000000000000007"/>
    <n v="7.9"/>
    <n v="8.5"/>
    <n v="270"/>
    <n v="770"/>
    <n v="1"/>
    <n v="1"/>
    <n v="0.3"/>
    <n v="0.3"/>
    <n v="39"/>
    <n v="170"/>
    <n v="140"/>
    <n v="340"/>
    <n v="11"/>
    <n v="40"/>
    <n v="0.5"/>
  </r>
  <r>
    <n v="1236"/>
    <s v="RIVER CHOTA TAWA BEFORE CONFL. WITH RIVER_x000a_NARMADA, M.P."/>
    <x v="10"/>
    <n v="20"/>
    <n v="21"/>
    <n v="7.3"/>
    <n v="7.7"/>
    <n v="7.6"/>
    <n v="8.6"/>
    <n v="322"/>
    <n v="514"/>
    <n v="1"/>
    <n v="1.2"/>
    <n v="0.79"/>
    <n v="1.28"/>
    <n v="2"/>
    <n v="2"/>
    <n v="36"/>
    <n v="58"/>
    <m/>
    <m/>
    <n v="0.6"/>
  </r>
  <r>
    <n v="2100"/>
    <s v="RIVER GOUR NEAR BHOGDWAR WSS INTAKE POINT,_x000a_JABALPUR"/>
    <x v="10"/>
    <n v="21.1"/>
    <n v="24.6"/>
    <n v="7.5"/>
    <n v="7.7"/>
    <n v="7.2"/>
    <n v="7.8"/>
    <n v="267"/>
    <n v="394"/>
    <n v="1.2"/>
    <n v="1.6"/>
    <n v="0.12"/>
    <n v="3.95"/>
    <n v="2"/>
    <n v="23"/>
    <n v="32"/>
    <n v="93"/>
    <m/>
    <m/>
    <n v="0.96"/>
  </r>
  <r>
    <n v="2114"/>
    <s v="RIVER KUNDA AT KHARGONE"/>
    <x v="10"/>
    <n v="20"/>
    <n v="22"/>
    <n v="1.9"/>
    <n v="7.7"/>
    <n v="7.7"/>
    <n v="8.6"/>
    <n v="310"/>
    <n v="1165"/>
    <n v="1"/>
    <n v="10"/>
    <n v="1.08"/>
    <n v="3.3"/>
    <n v="2"/>
    <n v="40"/>
    <n v="49"/>
    <n v="920"/>
    <n v="2"/>
    <n v="8"/>
    <n v="5"/>
  </r>
  <r>
    <n v="3305"/>
    <s v="RIVER BANJAR AT MALANJKHAND NEAR W/S INTAKE_x000a_POINT, JABALPUR"/>
    <x v="10"/>
    <n v="20.2"/>
    <n v="24.3"/>
    <n v="7"/>
    <n v="7.8"/>
    <n v="7.3"/>
    <n v="8.1"/>
    <n v="275"/>
    <n v="523"/>
    <n v="1.2"/>
    <n v="2"/>
    <n v="0.22"/>
    <n v="1.34"/>
    <n v="2"/>
    <n v="10"/>
    <n v="17"/>
    <n v="49"/>
    <m/>
    <m/>
    <n v="1.2"/>
  </r>
  <r>
    <n v="3828"/>
    <s v="RIVER HIRAN, NH 7 ROAD BRIDGE, SIHORA, DIST_x000a_JABALPUR"/>
    <x v="10"/>
    <n v="20.100000000000001"/>
    <n v="24.2"/>
    <n v="6.3"/>
    <n v="7.8"/>
    <n v="7.4"/>
    <n v="8"/>
    <n v="228"/>
    <n v="713"/>
    <n v="1.2"/>
    <n v="2.2000000000000002"/>
    <n v="0.14000000000000001"/>
    <n v="1.6"/>
    <n v="2"/>
    <n v="9"/>
    <n v="17"/>
    <n v="48"/>
    <m/>
    <m/>
    <n v="1.32"/>
  </r>
  <r>
    <n v="3829"/>
    <s v="RIVER HIRAN, NH -12 ROAD BRIDGE VIL VIKRAMPUR_x000a_,DIST NARSINGPUR"/>
    <x v="10"/>
    <n v="20.9"/>
    <n v="24.6"/>
    <n v="6.3"/>
    <n v="7.9"/>
    <n v="7.1"/>
    <n v="8.1"/>
    <n v="208"/>
    <n v="641"/>
    <n v="1.2"/>
    <n v="2"/>
    <n v="0.27"/>
    <n v="1.44"/>
    <n v="2"/>
    <n v="6"/>
    <n v="10"/>
    <n v="70"/>
    <m/>
    <m/>
    <n v="1.2"/>
  </r>
  <r>
    <n v="4613"/>
    <s v="RIVER HIRAN AFTER MIXING PARIYAT RIVER NEAR_x000a_ROAD BRIDGE AT VILL GANIYARI, JABALPUR"/>
    <x v="10"/>
    <n v="20.3"/>
    <n v="25"/>
    <n v="5.7"/>
    <n v="7.9"/>
    <n v="6.4"/>
    <n v="7.9"/>
    <n v="290"/>
    <n v="10850"/>
    <n v="1.8"/>
    <n v="12"/>
    <n v="0.28999999999999998"/>
    <n v="1.6"/>
    <n v="2"/>
    <n v="14"/>
    <n v="17"/>
    <n v="540"/>
    <m/>
    <m/>
    <n v="10.8"/>
  </r>
  <r>
    <n v="4616"/>
    <s v="RIVER BANJAR RIVER NEAR ROAD BRIDGE, VILL._x000a_KHARRADHAR MALANJKHAND."/>
    <x v="10"/>
    <n v="20.399999999999999"/>
    <n v="24.5"/>
    <n v="7.1"/>
    <n v="7.9"/>
    <n v="7.3"/>
    <n v="8.1"/>
    <n v="278"/>
    <n v="497"/>
    <n v="1"/>
    <n v="1.9"/>
    <n v="0.21"/>
    <n v="1.34"/>
    <n v="2"/>
    <n v="12"/>
    <n v="11"/>
    <n v="47"/>
    <m/>
    <m/>
    <n v="0.95"/>
  </r>
  <r>
    <n v="4617"/>
    <s v="RIVER WAINGANGA RIVER NEAR VILL. BUDUNDA_x000a_MALANJKHAND, DISTT BALAGHAT"/>
    <x v="10"/>
    <n v="20.3"/>
    <n v="24.3"/>
    <n v="7.2"/>
    <n v="7.6"/>
    <n v="7.2"/>
    <n v="7.8"/>
    <n v="270"/>
    <n v="521"/>
    <n v="1"/>
    <n v="1.9"/>
    <n v="0.25"/>
    <n v="1.34"/>
    <n v="2"/>
    <n v="10"/>
    <n v="11"/>
    <n v="47"/>
    <m/>
    <m/>
    <n v="0.95"/>
  </r>
  <r>
    <n v="9"/>
    <s v="RIVER TAPI AT NEPANAGAR"/>
    <x v="10"/>
    <n v="20"/>
    <n v="22"/>
    <n v="6.9"/>
    <n v="7.8"/>
    <n v="7.7"/>
    <n v="8.5"/>
    <n v="194"/>
    <n v="592"/>
    <n v="1"/>
    <n v="1.6"/>
    <n v="0.51"/>
    <n v="1.36"/>
    <n v="2"/>
    <n v="2"/>
    <n v="40"/>
    <n v="89"/>
    <m/>
    <m/>
    <n v="0.8"/>
  </r>
  <r>
    <n v="10"/>
    <s v="RIVER TAPI AT BURHANPUR"/>
    <x v="10"/>
    <n v="20"/>
    <n v="22"/>
    <n v="6.6"/>
    <n v="7.9"/>
    <n v="7.8"/>
    <n v="8.9"/>
    <n v="246"/>
    <n v="1043"/>
    <n v="1"/>
    <n v="3"/>
    <n v="0.71"/>
    <n v="1.38"/>
    <n v="2"/>
    <n v="4"/>
    <n v="49"/>
    <n v="210"/>
    <m/>
    <m/>
    <n v="1.5"/>
  </r>
  <r>
    <n v="1250"/>
    <s v="RIVER TAPI AT HATNUR M.P."/>
    <x v="10"/>
    <n v="20"/>
    <n v="22"/>
    <n v="4.5999999999999996"/>
    <n v="7.6"/>
    <n v="7.7"/>
    <n v="8.6"/>
    <n v="220"/>
    <n v="1195"/>
    <n v="1"/>
    <n v="3"/>
    <n v="0.44"/>
    <n v="49.01"/>
    <n v="2"/>
    <n v="2"/>
    <n v="2"/>
    <n v="350"/>
    <n v="2"/>
    <n v="2"/>
    <n v="1.5"/>
  </r>
  <r>
    <n v="1466"/>
    <s v="RIVER TAPI AT VILLAGE KHEDI, NEAR AMARAWATI ROAD_x000a_BRIDGE , BETUL"/>
    <x v="10"/>
    <n v="16"/>
    <n v="31"/>
    <n v="7.1"/>
    <n v="7.7"/>
    <n v="7.1"/>
    <n v="8.1"/>
    <n v="284"/>
    <n v="774"/>
    <n v="1.4"/>
    <n v="2"/>
    <n v="0.48"/>
    <n v="5.04"/>
    <n v="2"/>
    <n v="7"/>
    <n v="10"/>
    <n v="120"/>
    <m/>
    <m/>
    <n v="1.4"/>
  </r>
  <r>
    <n v="46"/>
    <s v="RIVER TAPI AT UKAI, SHERULA BRIDGE"/>
    <x v="20"/>
    <n v="27"/>
    <n v="30"/>
    <n v="6.6"/>
    <n v="8"/>
    <n v="7.2"/>
    <n v="8.5"/>
    <n v="295"/>
    <n v="537"/>
    <n v="1"/>
    <n v="1.9"/>
    <n v="0.32"/>
    <n v="1.1399999999999999"/>
    <n v="2"/>
    <n v="6"/>
    <n v="4"/>
    <n v="26"/>
    <m/>
    <m/>
    <n v="0.95"/>
  </r>
  <r>
    <n v="1247"/>
    <s v="RIVER TAPI AT MANDAVI,"/>
    <x v="20"/>
    <n v="18"/>
    <n v="32"/>
    <n v="7"/>
    <n v="7.7"/>
    <n v="6.9"/>
    <n v="8.5"/>
    <n v="337"/>
    <n v="600"/>
    <n v="1"/>
    <n v="2"/>
    <n v="0.3"/>
    <n v="0.52"/>
    <n v="2"/>
    <n v="4"/>
    <n v="4"/>
    <n v="17"/>
    <n v="2"/>
    <n v="2"/>
    <n v="1"/>
  </r>
  <r>
    <n v="1983"/>
    <s v="RIVER TAPI NEAR BARDOLI (KAPP BRIDGE)_x000a_BARDOLIKAKRAPAR,SURAT"/>
    <x v="20"/>
    <n v="20"/>
    <n v="30"/>
    <n v="7"/>
    <n v="7.6"/>
    <n v="6.8"/>
    <n v="8.5"/>
    <n v="348"/>
    <n v="535"/>
    <n v="1"/>
    <n v="1.9"/>
    <n v="0.3"/>
    <n v="6"/>
    <n v="2"/>
    <n v="2"/>
    <n v="2"/>
    <n v="113"/>
    <n v="2"/>
    <n v="2"/>
    <n v="0.95"/>
  </r>
  <r>
    <n v="47"/>
    <s v="RIVER TAPI AT KATHORE, (NH-8 BRIDGE)RIVER TAPI AT_x000a_KATHORE, (NH-8 BRIDGE) U/S OF SURAT CITY"/>
    <x v="20"/>
    <n v="18"/>
    <n v="31"/>
    <n v="7.1"/>
    <n v="8"/>
    <n v="6.8"/>
    <n v="8.5"/>
    <n v="404"/>
    <n v="4723"/>
    <n v="1"/>
    <n v="1.9"/>
    <n v="0.3"/>
    <n v="0.3"/>
    <n v="6"/>
    <n v="21"/>
    <n v="24"/>
    <n v="58"/>
    <n v="2"/>
    <n v="6"/>
    <n v="0.95"/>
  </r>
  <r>
    <n v="1248"/>
    <s v="RIVER TAPI AT SURAT U/S KATHORE,RIVER TAPI NEAR_x000a_LIMDESHWAR MAHDEV AT KATHOR"/>
    <x v="20"/>
    <n v="18"/>
    <n v="31"/>
    <n v="7"/>
    <n v="8"/>
    <n v="6.7"/>
    <n v="8.5"/>
    <n v="406"/>
    <n v="775"/>
    <n v="1"/>
    <n v="2.4"/>
    <n v="0.3"/>
    <n v="0.84"/>
    <n v="10"/>
    <n v="14"/>
    <n v="25"/>
    <n v="58"/>
    <n v="2"/>
    <n v="2"/>
    <n v="1.2"/>
  </r>
  <r>
    <n v="1982"/>
    <s v="RIVER TAPI AT RANDER BRIDGE, SURATRANDER,SURAT"/>
    <x v="20"/>
    <n v="22"/>
    <n v="31"/>
    <n v="6.9"/>
    <n v="7.4"/>
    <n v="7.1"/>
    <n v="8.5"/>
    <n v="418"/>
    <n v="6192"/>
    <n v="1"/>
    <n v="2.6"/>
    <n v="0.3"/>
    <n v="0.3"/>
    <n v="6"/>
    <n v="17"/>
    <n v="17"/>
    <n v="58"/>
    <n v="2"/>
    <n v="2"/>
    <n v="1.3"/>
  </r>
  <r>
    <n v="2071"/>
    <s v="RIVER TAPI AT ONGC BRIDGE AT SURAT, DIST._x000a_SURATHAZIRA,SURAT"/>
    <x v="20"/>
    <n v="24"/>
    <n v="32"/>
    <n v="5.5"/>
    <n v="7"/>
    <n v="6.7"/>
    <n v="8.3000000000000007"/>
    <n v="5908"/>
    <n v="53650"/>
    <n v="1.6"/>
    <n v="2.5"/>
    <n v="0.3"/>
    <n v="0.3"/>
    <n v="6"/>
    <n v="14"/>
    <n v="27"/>
    <n v="48"/>
    <n v="2"/>
    <n v="2"/>
    <n v="2"/>
  </r>
  <r>
    <n v="30045"/>
    <s v="RIVER TAPI AT KUKURMUNDA BRIDGE, NIZHAR ROAD,_x000a_NEAR VILLAGE KUKURMUNDA, GUJARAT_x000a_(MAHARASHTRA AND GUJARAT)"/>
    <x v="20"/>
    <n v="23"/>
    <n v="23"/>
    <n v="8.1999999999999993"/>
    <n v="8.1999999999999993"/>
    <n v="8"/>
    <n v="8"/>
    <n v="500"/>
    <n v="500"/>
    <n v="1"/>
    <n v="1"/>
    <n v="1.1100000000000001"/>
    <n v="1.1100000000000001"/>
    <n v="1200"/>
    <n v="1200"/>
    <n v="1700"/>
    <n v="1700"/>
    <m/>
    <m/>
    <n v="0.5"/>
  </r>
  <r>
    <n v="30044"/>
    <s v="RIVER TAPI AT PRAKASHA, (MAHARASHTRA)"/>
    <x v="21"/>
    <n v="22"/>
    <n v="22"/>
    <n v="4.8"/>
    <n v="4.8"/>
    <n v="8.1"/>
    <n v="8.1"/>
    <n v="364"/>
    <n v="364"/>
    <n v="9.6"/>
    <n v="9.6"/>
    <n v="1.08"/>
    <n v="1.08"/>
    <n v="70"/>
    <n v="70"/>
    <n v="550"/>
    <n v="550"/>
    <n v="25"/>
    <n v="25"/>
    <n v="46.08"/>
  </r>
  <r>
    <n v="30043"/>
    <s v="RIVER TAPI AT AJNAD, (MAHARASHTRA)"/>
    <x v="21"/>
    <n v="22"/>
    <n v="22"/>
    <n v="5"/>
    <n v="5"/>
    <n v="8.1999999999999993"/>
    <n v="8.1999999999999993"/>
    <n v="436"/>
    <n v="436"/>
    <n v="6.2"/>
    <n v="6.2"/>
    <n v="2.4500000000000002"/>
    <n v="2.4500000000000002"/>
    <n v="25"/>
    <n v="25"/>
    <n v="275"/>
    <n v="275"/>
    <n v="13"/>
    <n v="13"/>
    <n v="19.220000000000002"/>
  </r>
  <r>
    <n v="1251"/>
    <s v="RIVER TAPI AT U/S, BHUSAWAL,VILLAGE. BHUSAWAL_x000a_RAILWAY COLONY, TALUKA. BHUSAWAL, DISTRICT._x000a_JALGAON."/>
    <x v="21"/>
    <n v="22"/>
    <n v="24"/>
    <n v="5.0999999999999996"/>
    <n v="7.3"/>
    <n v="7.4"/>
    <n v="8"/>
    <n v="236"/>
    <n v="8065"/>
    <n v="2.4"/>
    <n v="4"/>
    <n v="0.39"/>
    <n v="3.42"/>
    <n v="2"/>
    <n v="6"/>
    <n v="35"/>
    <n v="58"/>
    <n v="2"/>
    <n v="4"/>
    <n v="4.8"/>
  </r>
  <r>
    <n v="1313"/>
    <s v="RIVER TAPI AT AJNAD VILLAGE, VILLAGE.AJNAD ,_x000a_TALUKA. RAVER, DISTRICT.JALGAON."/>
    <x v="21"/>
    <n v="22"/>
    <n v="25"/>
    <n v="5.6"/>
    <n v="7.1"/>
    <n v="7.3"/>
    <n v="7.9"/>
    <n v="181"/>
    <n v="5544"/>
    <n v="2.8"/>
    <n v="3.8"/>
    <n v="0.79"/>
    <n v="4.78"/>
    <n v="2"/>
    <n v="4"/>
    <n v="34"/>
    <n v="55"/>
    <n v="2"/>
    <n v="4"/>
    <n v="5.3199999999999994"/>
  </r>
  <r>
    <n v="1314"/>
    <s v="RIVER TAPI AT UBAD VILLAGE NEAR GUJRATBORDER,_x000a_VILLAGE. UBAD, TALUKA. SHAHADA, DISTRICT._x000a_NANDURBAR."/>
    <x v="21"/>
    <n v="16"/>
    <n v="26"/>
    <n v="5.5"/>
    <n v="7.3"/>
    <n v="7.4"/>
    <n v="7.9"/>
    <n v="356"/>
    <n v="1001"/>
    <n v="2.6"/>
    <n v="3.8"/>
    <n v="1.22"/>
    <n v="4.0999999999999996"/>
    <n v="2"/>
    <n v="6"/>
    <n v="40"/>
    <n v="58"/>
    <n v="2"/>
    <n v="6"/>
    <n v="4.9399999999999995"/>
  </r>
  <r>
    <n v="3203"/>
    <s v="RIVER AMRAVATI AT VILLAGE DADHAL , TA_x000a_ANKLESHWAR, BHARUCHNR RAILWAY BRIDGE, AT_x000a_VILLAGE DHADHAL , TA: ANKLESHWAR, DIST BHARUCH"/>
    <x v="20"/>
    <n v="27"/>
    <n v="34"/>
    <n v="4.5999999999999996"/>
    <n v="7.3"/>
    <n v="6.8"/>
    <n v="8.3000000000000007"/>
    <n v="417"/>
    <n v="2517"/>
    <n v="1.1000000000000001"/>
    <n v="2.9"/>
    <n v="0.36"/>
    <n v="2.12"/>
    <n v="27"/>
    <n v="79"/>
    <n v="110"/>
    <n v="280"/>
    <m/>
    <m/>
    <n v="1.595"/>
  </r>
  <r>
    <n v="2666"/>
    <s v="RIVER GOMAI D/S. OF SHAHADA, VILLAGE-SHAHADA,TALUKA- DHULE,DISTRICT- DHULE."/>
    <x v="21"/>
    <n v="17"/>
    <n v="22"/>
    <n v="5.7"/>
    <n v="7"/>
    <n v="7.5"/>
    <n v="7.9"/>
    <n v="413"/>
    <n v="4899"/>
    <n v="2.8"/>
    <n v="4"/>
    <n v="1.73"/>
    <n v="2.71"/>
    <n v="4"/>
    <n v="8"/>
    <n v="45"/>
    <n v="68"/>
    <n v="2"/>
    <n v="2"/>
    <n v="5.6"/>
  </r>
  <r>
    <n v="2659"/>
    <s v="RIVER BURAI BEFORE CONFLUENCE TO TAPI RIVER,_x000a_VILLAGE- MUKUDAS, TALUKA- DHULE, DISTRICT- DHULE."/>
    <x v="21"/>
    <n v="16"/>
    <n v="16"/>
    <n v="5.9"/>
    <n v="5.9"/>
    <n v="7.4"/>
    <n v="7.4"/>
    <n v="411"/>
    <n v="411"/>
    <n v="3.2"/>
    <n v="3.2"/>
    <n v="2.64"/>
    <n v="2.64"/>
    <n v="4"/>
    <n v="4"/>
    <n v="45"/>
    <n v="45"/>
    <n v="2"/>
    <n v="2"/>
    <n v="5.120000000000001"/>
  </r>
  <r>
    <n v="2070"/>
    <s v="RIVER KIM AT SAHOL BRIDGE, OLPAD HANSOT ROAD,_x000a_DIST. SURATSAHOL, OLPAD HANSOT ROAD, SAHOL_x000a_BRIDGE,SURAT"/>
    <x v="20"/>
    <n v="23"/>
    <n v="32"/>
    <n v="5"/>
    <n v="7.1"/>
    <n v="6.8"/>
    <n v="8.5"/>
    <n v="712"/>
    <n v="3881"/>
    <n v="1.5"/>
    <n v="2.8"/>
    <n v="0.3"/>
    <n v="0.3"/>
    <n v="6"/>
    <n v="34"/>
    <n v="17"/>
    <n v="140"/>
    <n v="2"/>
    <n v="2"/>
    <n v="2.0999999999999996"/>
  </r>
  <r>
    <n v="2127"/>
    <s v="RIVER DENWA NEAR SARNI, ROAD BRIDGE"/>
    <x v="10"/>
    <n v="18"/>
    <n v="30"/>
    <n v="7.1"/>
    <n v="7.6"/>
    <n v="7.1"/>
    <n v="8.1"/>
    <n v="288"/>
    <n v="716"/>
    <n v="1.6"/>
    <n v="2"/>
    <n v="0.47"/>
    <n v="2.66"/>
    <n v="2"/>
    <n v="4"/>
    <n v="20"/>
    <n v="70"/>
    <m/>
    <m/>
    <n v="1.6"/>
  </r>
  <r>
    <n v="1252"/>
    <s v="RIVER GIRNA AT JALGAON AT INTAKE OF GIRNA PUMP_x000a_HUOSE, VILLAGE- GIRNA PUMP HOUSE AREA, TALUKA-JALGAON, DISTRICT- JALGAON."/>
    <x v="21"/>
    <n v="20"/>
    <n v="22"/>
    <n v="6.2"/>
    <n v="6.2"/>
    <n v="7.3"/>
    <n v="7.9"/>
    <n v="556"/>
    <n v="686"/>
    <n v="3"/>
    <n v="3"/>
    <n v="2.82"/>
    <n v="3.95"/>
    <n v="4"/>
    <n v="4"/>
    <n v="40"/>
    <n v="46"/>
    <n v="2"/>
    <n v="2"/>
    <n v="4.5"/>
  </r>
  <r>
    <n v="1253"/>
    <s v="RIVER GIRNA AT MALEGAON ROAD BRIDGE, VILLAGE._x000a_MALEGAON, TALUKA. MALEGAON, DISTRICT. NASHIK."/>
    <x v="21"/>
    <n v="28"/>
    <n v="28"/>
    <n v="5.9"/>
    <n v="7.2"/>
    <n v="7.7"/>
    <n v="7.7"/>
    <n v="181"/>
    <n v="502"/>
    <n v="3"/>
    <n v="3.4"/>
    <n v="0.59"/>
    <n v="0.6"/>
    <n v="4"/>
    <n v="6"/>
    <n v="45"/>
    <n v="68"/>
    <n v="2"/>
    <n v="2"/>
    <n v="5.0999999999999996"/>
  </r>
  <r>
    <n v="1907"/>
    <s v="RIVER RANGAVALI AT D/S OF NAVAPUR NEAR_x000a_RANGAVALI BRIDGE, VILLAGE- NAVAPUR, TALUKA-NAVAPUR, DISTRICT- NANDURBAR."/>
    <x v="21"/>
    <n v="18"/>
    <n v="22"/>
    <n v="5.2"/>
    <n v="6.8"/>
    <n v="7.3"/>
    <n v="7.9"/>
    <n v="295"/>
    <n v="1284"/>
    <n v="2.8"/>
    <n v="4"/>
    <n v="2.29"/>
    <n v="3.42"/>
    <n v="4"/>
    <n v="8"/>
    <n v="45"/>
    <n v="85"/>
    <n v="2"/>
    <n v="2"/>
    <n v="5.6"/>
  </r>
  <r>
    <n v="2674"/>
    <s v="RIVER MOR NEAR PADALASHE, VILLAGE-PADALASHE,TALUKA- JALGAON, DISTRICT- JALGAON."/>
    <x v="21"/>
    <n v="24"/>
    <n v="24"/>
    <n v="5.7"/>
    <n v="5.7"/>
    <n v="7.7"/>
    <n v="7.7"/>
    <n v="245"/>
    <n v="245"/>
    <n v="3.8"/>
    <n v="3.8"/>
    <n v="2.42"/>
    <n v="2.42"/>
    <n v="4"/>
    <n v="4"/>
    <n v="58"/>
    <n v="58"/>
    <n v="2"/>
    <n v="2"/>
    <n v="7.22"/>
  </r>
  <r>
    <n v="2718"/>
    <s v="RIVER WAGHUR AT- SAKEGAON BEFORE CONFLUENCE_x000a_WITH TAPI RIVER, VILLAGE- SAKEGAON, TALUKA-JALGAON, DISTRICT- JALGAON."/>
    <x v="21"/>
    <n v="20"/>
    <n v="25"/>
    <n v="5.8"/>
    <n v="7.4"/>
    <n v="7.9"/>
    <n v="7.9"/>
    <n v="555"/>
    <n v="6174"/>
    <n v="3"/>
    <n v="3.4"/>
    <n v="0.36"/>
    <n v="3.12"/>
    <n v="4"/>
    <n v="4"/>
    <n v="40"/>
    <n v="68"/>
    <n v="2"/>
    <n v="2"/>
    <n v="5.0999999999999996"/>
  </r>
  <r>
    <n v="2684"/>
    <s v="RIVER PANZARA NEAR PANZARAKAN SSK LTD, VILLAGE-PANZARA,TALUKA- DHULE, DISTRICT- DHULE."/>
    <x v="21"/>
    <n v="16"/>
    <n v="20"/>
    <n v="5.9"/>
    <n v="7.1"/>
    <n v="7.7"/>
    <n v="7.8"/>
    <n v="336"/>
    <n v="1340"/>
    <n v="2.8"/>
    <n v="3.2"/>
    <n v="1.84"/>
    <n v="2.58"/>
    <n v="4"/>
    <n v="6"/>
    <n v="40"/>
    <n v="68"/>
    <n v="2"/>
    <n v="2"/>
    <n v="4.4799999999999995"/>
  </r>
  <r>
    <n v="1913"/>
    <s v="RIVER PURNA AT DHUPESHWAR AT U/S OF MALKAPUR_x000a_WATER WORKS, MALKAPUR, DIST.AKOLA"/>
    <x v="21"/>
    <n v="22"/>
    <n v="26"/>
    <n v="5.4"/>
    <n v="6.3"/>
    <n v="7.8"/>
    <n v="8.3000000000000007"/>
    <n v="715"/>
    <n v="1139"/>
    <n v="3"/>
    <n v="4.5"/>
    <n v="0.32"/>
    <n v="6.46"/>
    <n v="13"/>
    <n v="43"/>
    <n v="110"/>
    <n v="220"/>
    <n v="2"/>
    <n v="2"/>
    <n v="6.75"/>
  </r>
  <r>
    <n v="2155"/>
    <s v="RIVER PURNA AT D/S OF CONFLUENCE OF MORNA &amp;_x000a_PURNA RIVER AT ANDURA VILLAGE, VILLAGE-ANDURA,_x000a_TALUKA- BALAPUR, DISTRICT - AKOLA."/>
    <x v="21"/>
    <n v="22"/>
    <n v="27"/>
    <n v="5.3"/>
    <n v="6"/>
    <n v="7.9"/>
    <n v="8.3000000000000007"/>
    <n v="872"/>
    <n v="1216"/>
    <n v="3.2"/>
    <n v="4.8"/>
    <n v="0.32"/>
    <n v="8.5399999999999991"/>
    <n v="17"/>
    <n v="41"/>
    <n v="120"/>
    <n v="280"/>
    <n v="2"/>
    <n v="2"/>
    <n v="7.68"/>
  </r>
  <r>
    <n v="2695"/>
    <s v="RIVER PEDHI NEAR ROAD BRIDGE AT DADHI- PEDHI_x000a_VILLAGE, VILLAGE- DADHI- PEDHI, TALUKA- BHATKULI,_x000a_DISTRICT- AMRAVATI."/>
    <x v="21"/>
    <n v="20"/>
    <n v="20"/>
    <n v="3"/>
    <n v="5.8"/>
    <n v="7.8"/>
    <n v="8.4"/>
    <n v="710"/>
    <n v="2025"/>
    <n v="3.2"/>
    <n v="7"/>
    <n v="0"/>
    <n v="7.1"/>
    <n v="17"/>
    <n v="33"/>
    <n v="110"/>
    <n v="240"/>
    <n v="2"/>
    <n v="2"/>
    <n v="11.200000000000001"/>
  </r>
  <r>
    <n v="2700"/>
    <s v="RIVER PURNA NEAR ACHALPUR- AMRAVATI ROAD_x000a_BRIDGE, VILLAGE- ASEGAON,TALUKA- CHANDUR_x000a_BAZAR, DISTRICT- AMRAVATI."/>
    <x v="21"/>
    <n v="20"/>
    <n v="20"/>
    <n v="5.0999999999999996"/>
    <n v="6.2"/>
    <n v="7.8"/>
    <n v="8.5"/>
    <n v="776"/>
    <n v="6920"/>
    <n v="3.2"/>
    <n v="3.8"/>
    <n v="0"/>
    <n v="2.7"/>
    <n v="21"/>
    <n v="47"/>
    <n v="110"/>
    <n v="280"/>
    <n v="2"/>
    <n v="2"/>
    <n v="6.08"/>
  </r>
  <r>
    <n v="3888"/>
    <s v="RIVER MAHANADI AT POWER CHANNEL U/S NEAR_x000a_BURLA"/>
    <x v="22"/>
    <n v="23"/>
    <n v="30"/>
    <n v="6"/>
    <n v="7.8"/>
    <n v="7.1"/>
    <n v="8"/>
    <n v="162"/>
    <n v="246"/>
    <n v="1.1000000000000001"/>
    <n v="2"/>
    <n v="0.32"/>
    <n v="0.77"/>
    <n v="23"/>
    <n v="1300"/>
    <n v="79"/>
    <n v="3300"/>
    <m/>
    <m/>
    <n v="1.1000000000000001"/>
  </r>
  <r>
    <n v="3890"/>
    <s v="RIVER MAHANADI AT CUTTACK FD/S AT_x000a_GATIRAUTAPATNA"/>
    <x v="22"/>
    <n v="20"/>
    <n v="32"/>
    <n v="6.4"/>
    <n v="8.5"/>
    <n v="7.1"/>
    <n v="8.4"/>
    <n v="167"/>
    <n v="248"/>
    <n v="1.5"/>
    <n v="2"/>
    <n v="0.32"/>
    <n v="0.95"/>
    <n v="330"/>
    <n v="13000"/>
    <n v="1700"/>
    <n v="54000"/>
    <n v="5"/>
    <n v="130"/>
    <n v="1.5"/>
  </r>
  <r>
    <n v="2407"/>
    <s v="RIVER MAHANADI AT PARADEEP U/S (BEFORE_x000a_INDUSTRIAL ACTIVITY AT PARADEEP)"/>
    <x v="22"/>
    <n v="24.5"/>
    <n v="33.4"/>
    <n v="6"/>
    <n v="8.6"/>
    <n v="7.2"/>
    <n v="8.1999999999999993"/>
    <n v="158"/>
    <n v="22980"/>
    <n v="1.1000000000000001"/>
    <n v="1.4"/>
    <n v="0.32"/>
    <n v="0.88"/>
    <n v="2"/>
    <n v="1300"/>
    <n v="2"/>
    <n v="3300"/>
    <n v="2"/>
    <n v="33"/>
    <n v="0.77"/>
  </r>
  <r>
    <n v="1639"/>
    <s v="RIVER MAHANADI AT PARADEEP D/S"/>
    <x v="22"/>
    <n v="24.4"/>
    <n v="33"/>
    <n v="5.4"/>
    <n v="8.4"/>
    <n v="7.1"/>
    <n v="8.4"/>
    <n v="210"/>
    <n v="35410"/>
    <n v="1.4"/>
    <n v="2.2000000000000002"/>
    <n v="0.32"/>
    <n v="2.48"/>
    <n v="2"/>
    <n v="1700"/>
    <n v="2"/>
    <n v="4900"/>
    <n v="2"/>
    <n v="49"/>
    <n v="1.54"/>
  </r>
  <r>
    <n v="1107"/>
    <s v="RIVER SEONATH AT U/S RAJNANDGAON, CHHATISGARH."/>
    <x v="23"/>
    <n v="2.6"/>
    <n v="29"/>
    <n v="6.8"/>
    <n v="7.4"/>
    <n v="7.3"/>
    <n v="7.6"/>
    <n v="142"/>
    <n v="492"/>
    <n v="1.2"/>
    <n v="2.8"/>
    <n v="0.32"/>
    <n v="0.8"/>
    <m/>
    <m/>
    <n v="64"/>
    <n v="1100"/>
    <m/>
    <m/>
    <n v="1.68"/>
  </r>
  <r>
    <n v="1266"/>
    <s v="RIVER SEONATH AT SHIMGA NEAR ROAD BRIDGE"/>
    <x v="23"/>
    <n v="19"/>
    <n v="29"/>
    <n v="6.5"/>
    <n v="7.2"/>
    <n v="7.2"/>
    <n v="7.9"/>
    <n v="220"/>
    <n v="574"/>
    <n v="2.1"/>
    <n v="2.6"/>
    <n v="0"/>
    <n v="0"/>
    <m/>
    <m/>
    <n v="50"/>
    <n v="70"/>
    <m/>
    <m/>
    <n v="2.7300000000000004"/>
  </r>
  <r>
    <n v="1845"/>
    <s v="RIVER SEONATH WATER SUPPLY WELL, DURG,_x000a_CHHATISGARH."/>
    <x v="23"/>
    <n v="2.6"/>
    <n v="29"/>
    <n v="6.4"/>
    <n v="7.6"/>
    <n v="7.4"/>
    <n v="7.6"/>
    <n v="189"/>
    <n v="498"/>
    <n v="1.2"/>
    <n v="2.4"/>
    <n v="0"/>
    <n v="0.8"/>
    <m/>
    <m/>
    <n v="9"/>
    <n v="1100"/>
    <m/>
    <m/>
    <n v="1.44"/>
  </r>
  <r>
    <n v="3166"/>
    <s v="RIVER SEONATH AT JHINGHRI VILLAGE, A/C OF SAMODA_x000a_NALLA, CHHATISGARH."/>
    <x v="23"/>
    <n v="24"/>
    <n v="29"/>
    <n v="2.2000000000000002"/>
    <n v="7.2"/>
    <n v="7.2"/>
    <n v="7.9"/>
    <n v="419"/>
    <n v="518"/>
    <n v="2"/>
    <n v="28"/>
    <n v="0.48"/>
    <n v="1.05"/>
    <n v="560"/>
    <n v="560"/>
    <n v="240"/>
    <n v="1100"/>
    <m/>
    <m/>
    <n v="28"/>
  </r>
  <r>
    <n v="3167"/>
    <s v="RIVER SEONATH AT MOHAD, RAJNANDGAON"/>
    <x v="23"/>
    <n v="2.6"/>
    <n v="29"/>
    <n v="6.8"/>
    <n v="7.4"/>
    <n v="7.3"/>
    <n v="7.6"/>
    <n v="94"/>
    <n v="504"/>
    <n v="1.4"/>
    <n v="2.8"/>
    <n v="0.32"/>
    <n v="1.1000000000000001"/>
    <m/>
    <m/>
    <n v="93"/>
    <n v="1100"/>
    <m/>
    <m/>
    <n v="1.9599999999999997"/>
  </r>
  <r>
    <n v="2403"/>
    <s v="RIVER BHEDEN BEFORE CONFLUENCE WITH IB RIVER"/>
    <x v="22"/>
    <n v="19"/>
    <n v="32"/>
    <n v="7.6"/>
    <n v="8.4"/>
    <n v="6.8"/>
    <n v="8.5"/>
    <n v="125"/>
    <n v="795"/>
    <n v="1.3"/>
    <n v="1.7"/>
    <n v="0.32"/>
    <n v="1.2"/>
    <n v="45"/>
    <n v="1300"/>
    <n v="170"/>
    <n v="3300"/>
    <n v="2"/>
    <n v="27"/>
    <n v="1.105"/>
  </r>
  <r>
    <n v="1265"/>
    <s v="RIVER KHAROON AT BHATAGAON NEAR WATER_x000a_SUPPLY INTAKEWELL RAIPUR"/>
    <x v="23"/>
    <n v="20"/>
    <n v="29"/>
    <n v="6.4"/>
    <n v="7.3"/>
    <n v="7.1"/>
    <n v="8.1999999999999993"/>
    <n v="190"/>
    <n v="2020"/>
    <n v="2.1"/>
    <n v="2.5"/>
    <n v="0"/>
    <n v="0"/>
    <m/>
    <m/>
    <n v="34"/>
    <n v="60"/>
    <m/>
    <m/>
    <n v="2.625"/>
  </r>
  <r>
    <n v="1846"/>
    <s v="RIVER KHAROON B/C KHAPRI NAHLA RAIPUR_x000a_ROAD,CHHATTISGARH"/>
    <x v="23"/>
    <n v="2.6"/>
    <n v="29"/>
    <n v="2.2000000000000002"/>
    <n v="7.2"/>
    <n v="7.3"/>
    <n v="8"/>
    <n v="400"/>
    <n v="4120"/>
    <n v="1.8"/>
    <n v="10"/>
    <n v="0.43"/>
    <n v="4.03"/>
    <m/>
    <m/>
    <n v="210"/>
    <n v="11100"/>
    <m/>
    <m/>
    <n v="9"/>
  </r>
  <r>
    <n v="1847"/>
    <s v="RIVER KHAROON A/C KHAPRI NAHLA,CHHATTISGARH"/>
    <x v="23"/>
    <n v="2.4"/>
    <n v="29"/>
    <n v="4"/>
    <n v="7.2"/>
    <n v="7.1"/>
    <n v="7.9"/>
    <n v="400"/>
    <n v="539"/>
    <n v="2"/>
    <n v="12"/>
    <n v="0.43"/>
    <n v="2.2599999999999998"/>
    <m/>
    <m/>
    <n v="220"/>
    <n v="1100"/>
    <m/>
    <m/>
    <n v="12"/>
  </r>
  <r>
    <n v="1853"/>
    <s v="RIVER KHAROON AT VILLAGE BENDRI, NEAR WATER_x000a_SUPPLY INTAKEWELL"/>
    <x v="23"/>
    <n v="22"/>
    <n v="32"/>
    <n v="6.2"/>
    <n v="6.9"/>
    <n v="7.1"/>
    <n v="7.6"/>
    <n v="194"/>
    <n v="482"/>
    <n v="2.1"/>
    <n v="2.9"/>
    <n v="0"/>
    <n v="0"/>
    <m/>
    <m/>
    <n v="56"/>
    <n v="80"/>
    <m/>
    <m/>
    <n v="3.0449999999999999"/>
  </r>
  <r>
    <n v="1105"/>
    <s v="RIVER HASDEO UP STREAM OF HASDEO BANGO HYDEL_x000a_POWER STATION STATION MACHADOLI KORBA"/>
    <x v="23"/>
    <n v="24.1"/>
    <n v="26.2"/>
    <n v="0.3"/>
    <n v="8.6"/>
    <n v="7.2"/>
    <n v="7.4"/>
    <n v="126"/>
    <n v="1326"/>
    <n v="1"/>
    <n v="1.2"/>
    <n v="0.37"/>
    <n v="0.53"/>
    <n v="4"/>
    <n v="22"/>
    <n v="24"/>
    <n v="49"/>
    <m/>
    <m/>
    <n v="0.6"/>
  </r>
  <r>
    <n v="1106"/>
    <s v="RIVER HASDEO AT U/S OF CHAMPA CHHATTISGARH"/>
    <x v="23"/>
    <n v="20.100000000000001"/>
    <n v="33"/>
    <n v="6"/>
    <n v="7.2"/>
    <n v="7.2"/>
    <n v="8"/>
    <n v="160"/>
    <n v="374"/>
    <n v="1.8"/>
    <n v="3.1"/>
    <n v="2.2000000000000002"/>
    <n v="4.4000000000000004"/>
    <n v="12"/>
    <n v="170"/>
    <n v="28"/>
    <n v="630"/>
    <m/>
    <m/>
    <n v="2.79"/>
  </r>
  <r>
    <n v="3165"/>
    <s v="RIVER HASDEO 100 METER DOWNSTREAM AFTER_x000a_CONFLUENCE OF DENGUR NALLAH NERA C.S.E.B. EAST_x000a_GUEST HOUSE, KORBA, CHHATISGARH."/>
    <x v="23"/>
    <n v="24.5"/>
    <n v="26.2"/>
    <n v="7.2"/>
    <n v="8"/>
    <n v="7.2"/>
    <n v="7.6"/>
    <n v="149"/>
    <n v="1524"/>
    <n v="1"/>
    <n v="1.8"/>
    <n v="0.61"/>
    <n v="1.1000000000000001"/>
    <n v="13"/>
    <n v="37"/>
    <n v="34"/>
    <n v="150"/>
    <m/>
    <m/>
    <n v="0.9"/>
  </r>
  <r>
    <n v="3169"/>
    <s v="RIVER HASDEO AT DRINKING WATER INTANK WELL OF_x000a_MUNICIPAL CO. KORBA (BEFORE TREATMENT ) AT_x000a_LOHADIA VILLAGE,"/>
    <x v="23"/>
    <n v="24.5"/>
    <n v="26.2"/>
    <n v="7.2"/>
    <n v="7.8"/>
    <n v="7.1"/>
    <n v="7.5"/>
    <n v="136"/>
    <n v="1442"/>
    <n v="1"/>
    <n v="1.6"/>
    <n v="0.47"/>
    <n v="0.93"/>
    <n v="9"/>
    <n v="25"/>
    <n v="21"/>
    <n v="58"/>
    <m/>
    <m/>
    <n v="0.8"/>
  </r>
  <r>
    <n v="3170"/>
    <s v="RIVER HASDEO DRINKING WATER INTAKE WELL OF_x000a_MUNICIPAL CO. KORBA AFTER TREATMENT PLANT AT_x000a_VILLAGE KOHADIA KORBA"/>
    <x v="23"/>
    <n v="24.7"/>
    <n v="26.3"/>
    <n v="7.6"/>
    <n v="8.1999999999999993"/>
    <n v="7.2"/>
    <n v="7.5"/>
    <n v="141"/>
    <n v="1565"/>
    <n v="1"/>
    <n v="1"/>
    <n v="0.44"/>
    <n v="0.82"/>
    <n v="2"/>
    <n v="4"/>
    <n v="2"/>
    <n v="22"/>
    <m/>
    <m/>
    <n v="0.5"/>
  </r>
  <r>
    <n v="1267"/>
    <s v="RIVER IB AT SUNDARGARH"/>
    <x v="22"/>
    <n v="22"/>
    <n v="32"/>
    <n v="5.4"/>
    <n v="8.1"/>
    <n v="6.5"/>
    <n v="7.8"/>
    <n v="107"/>
    <n v="180"/>
    <n v="1.1000000000000001"/>
    <n v="1.9"/>
    <n v="0.32"/>
    <n v="0.83"/>
    <n v="45"/>
    <n v="1700"/>
    <n v="330"/>
    <n v="3500"/>
    <m/>
    <m/>
    <n v="1.0449999999999999"/>
  </r>
  <r>
    <n v="1268"/>
    <s v="RIVER IB AT JHARSUGUDA (INTAKE)"/>
    <x v="22"/>
    <n v="18"/>
    <n v="32"/>
    <n v="7.8"/>
    <n v="8.6"/>
    <n v="6.8"/>
    <n v="8.3000000000000007"/>
    <n v="98"/>
    <n v="333"/>
    <n v="1.1000000000000001"/>
    <n v="1.5"/>
    <n v="0.32"/>
    <n v="1.37"/>
    <n v="230"/>
    <n v="1700"/>
    <n v="940"/>
    <n v="3500"/>
    <m/>
    <m/>
    <n v="0.82500000000000007"/>
  </r>
  <r>
    <n v="1269"/>
    <s v="RIVER IB AT BRAJARAJNAGAR (INTAKE) D/S"/>
    <x v="22"/>
    <n v="17"/>
    <n v="33"/>
    <n v="7.6"/>
    <n v="8.1999999999999993"/>
    <n v="6.7"/>
    <n v="8.5"/>
    <n v="115"/>
    <n v="338"/>
    <n v="1.4"/>
    <n v="1.8"/>
    <n v="0.32"/>
    <n v="1.0900000000000001"/>
    <n v="130"/>
    <n v="1700"/>
    <n v="790"/>
    <n v="4900"/>
    <m/>
    <m/>
    <n v="1.26"/>
  </r>
  <r>
    <n v="1300"/>
    <s v="RIVER IB AT BRAJARAJNAGAR U/S"/>
    <x v="22"/>
    <n v="18"/>
    <n v="33"/>
    <n v="7.6"/>
    <n v="8.1999999999999993"/>
    <n v="6.8"/>
    <n v="8.1999999999999993"/>
    <n v="120"/>
    <n v="265"/>
    <n v="1.1000000000000001"/>
    <n v="1.9"/>
    <n v="0.32"/>
    <n v="1.38"/>
    <n v="110"/>
    <n v="790"/>
    <n v="490"/>
    <n v="2400"/>
    <m/>
    <m/>
    <n v="1.0449999999999999"/>
  </r>
  <r>
    <n v="2409"/>
    <s v="RIVER SERUA AT CUTTACK FD/S (SERUA) AT_x000a_SANKHATRASA"/>
    <x v="22"/>
    <n v="22"/>
    <n v="30"/>
    <n v="6.3"/>
    <n v="8.6"/>
    <n v="7.2"/>
    <n v="8.5"/>
    <n v="149"/>
    <n v="280"/>
    <n v="1.1000000000000001"/>
    <n v="3.9"/>
    <n v="0.32"/>
    <n v="1.34"/>
    <n v="35000"/>
    <n v="160000"/>
    <n v="92000"/>
    <n v="160000"/>
    <n v="49"/>
    <n v="220"/>
    <n v="2.145"/>
  </r>
  <r>
    <n v="1279"/>
    <s v="RIVER KUAKHAI AT BHUBANESWAR U/S"/>
    <x v="22"/>
    <n v="21"/>
    <n v="31"/>
    <n v="6.3"/>
    <n v="9.1999999999999993"/>
    <n v="6.8"/>
    <n v="7.8"/>
    <n v="150"/>
    <n v="253"/>
    <n v="1.1000000000000001"/>
    <n v="1.7"/>
    <n v="0.32"/>
    <n v="2.79"/>
    <n v="490"/>
    <n v="4900"/>
    <n v="1700"/>
    <n v="14000"/>
    <n v="11"/>
    <n v="110"/>
    <n v="0.93500000000000005"/>
  </r>
  <r>
    <n v="1280"/>
    <s v="RIVER DAYA AT BHUBANESWAR D/S"/>
    <x v="22"/>
    <n v="20"/>
    <n v="33"/>
    <n v="2.8"/>
    <n v="7.1"/>
    <n v="6.7"/>
    <n v="7.5"/>
    <n v="162"/>
    <n v="430"/>
    <n v="2.8"/>
    <n v="5.7"/>
    <n v="0.32"/>
    <n v="4.4000000000000004"/>
    <n v="3300"/>
    <n v="92000"/>
    <n v="9200"/>
    <n v="160000"/>
    <n v="22"/>
    <n v="540"/>
    <n v="7.9799999999999995"/>
  </r>
  <r>
    <n v="2410"/>
    <s v="RIVER KUAKHAI AT BHUBANESWAR FU/S"/>
    <x v="22"/>
    <n v="21"/>
    <n v="31"/>
    <n v="6.1"/>
    <n v="10.5"/>
    <n v="6.8"/>
    <n v="7.7"/>
    <n v="183"/>
    <n v="241"/>
    <n v="1.3"/>
    <n v="1.8"/>
    <n v="0.32"/>
    <n v="0.67"/>
    <n v="130"/>
    <n v="2200"/>
    <n v="790"/>
    <n v="4900"/>
    <n v="5"/>
    <n v="79"/>
    <n v="1.1700000000000002"/>
  </r>
  <r>
    <n v="1640"/>
    <s v="RIVER BIRUPA AT CHOUDWAR D/S"/>
    <x v="22"/>
    <n v="22"/>
    <n v="31"/>
    <n v="6.8"/>
    <n v="8.8000000000000007"/>
    <n v="7.3"/>
    <n v="8.4"/>
    <n v="160"/>
    <n v="2478"/>
    <n v="1.2"/>
    <n v="2.1"/>
    <n v="0.32"/>
    <n v="1.33"/>
    <n v="170"/>
    <n v="4900"/>
    <n v="1300"/>
    <n v="17000"/>
    <m/>
    <m/>
    <n v="1.26"/>
  </r>
  <r>
    <n v="1848"/>
    <s v="RIVER ARPA D/S OF BILASPUR CITY AT CHECK DAM_x000a_OUTLET NEAR DEORI KHURD, BILASPUR"/>
    <x v="23"/>
    <n v="21.2"/>
    <n v="32.5"/>
    <n v="5.8"/>
    <n v="7"/>
    <n v="6.8"/>
    <n v="9"/>
    <n v="376"/>
    <n v="928"/>
    <n v="2.8"/>
    <n v="4.7"/>
    <n v="2.2000000000000002"/>
    <n v="6"/>
    <n v="20"/>
    <n v="130"/>
    <n v="70"/>
    <n v="490"/>
    <m/>
    <m/>
    <n v="6.58"/>
  </r>
  <r>
    <n v="1849"/>
    <s v="RIVER KELO U/S URDANA VILLAGE"/>
    <x v="23"/>
    <n v="15.2"/>
    <n v="30"/>
    <n v="6.8"/>
    <n v="7.4"/>
    <n v="7.1"/>
    <n v="7.9"/>
    <n v="192"/>
    <n v="367"/>
    <n v="1.4"/>
    <n v="2.9"/>
    <n v="0.84"/>
    <n v="1.18"/>
    <n v="13"/>
    <n v="13"/>
    <n v="39"/>
    <n v="460"/>
    <m/>
    <m/>
    <n v="2.0299999999999998"/>
  </r>
  <r>
    <n v="1850"/>
    <s v="RIVER KELO D/S LAHANGAPALI BRIDGE MIDMIDA_x000a_VILLAGE"/>
    <x v="23"/>
    <n v="15"/>
    <n v="32"/>
    <n v="6"/>
    <n v="7.4"/>
    <n v="7.3"/>
    <n v="8.6999999999999993"/>
    <n v="194"/>
    <n v="682"/>
    <n v="1.8"/>
    <n v="3.8"/>
    <n v="0.98"/>
    <n v="1.42"/>
    <n v="50"/>
    <n v="50"/>
    <n v="64"/>
    <n v="460"/>
    <m/>
    <m/>
    <n v="3.42"/>
  </r>
  <r>
    <n v="2411"/>
    <s v="RIVER DAYA AT BHUBANESWAR FD/S ( 2 KM AFTER_x000a_CONFLUENCE OF GANGUA NALLAH WITH DAYA)"/>
    <x v="22"/>
    <n v="20"/>
    <n v="33"/>
    <n v="3"/>
    <n v="7.3"/>
    <n v="6.9"/>
    <n v="7.7"/>
    <n v="155"/>
    <n v="426"/>
    <n v="2.2999999999999998"/>
    <n v="4.8"/>
    <n v="0.38"/>
    <n v="4.79"/>
    <n v="1700"/>
    <n v="54000"/>
    <n v="3500"/>
    <n v="92000"/>
    <n v="17"/>
    <n v="240"/>
    <n v="5.52"/>
  </r>
  <r>
    <n v="3894"/>
    <s v="RIVER DAYA AT GELAPUR"/>
    <x v="22"/>
    <n v="23"/>
    <n v="32"/>
    <n v="6.2"/>
    <n v="9.4"/>
    <n v="7.1"/>
    <n v="8.4"/>
    <n v="137"/>
    <n v="282"/>
    <n v="1.2"/>
    <n v="1.7"/>
    <n v="0.32"/>
    <n v="0.59"/>
    <n v="230"/>
    <n v="2200"/>
    <n v="1100"/>
    <n v="4900"/>
    <n v="5"/>
    <n v="79"/>
    <n v="1.02"/>
  </r>
  <r>
    <n v="3895"/>
    <s v="RIVER DAYA AT KANAS"/>
    <x v="22"/>
    <n v="19"/>
    <n v="35"/>
    <n v="3.4"/>
    <n v="9.5"/>
    <n v="6.6"/>
    <n v="8"/>
    <n v="143"/>
    <n v="472"/>
    <n v="1.2"/>
    <n v="2.4"/>
    <n v="0.32"/>
    <n v="7.43"/>
    <n v="220"/>
    <n v="160000"/>
    <n v="1300"/>
    <n v="160000"/>
    <n v="5"/>
    <n v="130"/>
    <n v="1.44"/>
  </r>
  <r>
    <n v="3891"/>
    <s v="RIVER KATHAJODI AT CUTTACK U/S"/>
    <x v="22"/>
    <n v="22"/>
    <n v="30"/>
    <n v="6.3"/>
    <n v="9.1999999999999993"/>
    <n v="7.2"/>
    <n v="8.5"/>
    <n v="153"/>
    <n v="252"/>
    <n v="1.1000000000000001"/>
    <n v="1.6"/>
    <n v="0.32"/>
    <n v="0.59"/>
    <n v="130"/>
    <n v="1300"/>
    <n v="490"/>
    <n v="3300"/>
    <m/>
    <m/>
    <n v="0.88000000000000012"/>
  </r>
  <r>
    <n v="1301"/>
    <s v="RIVER KATHAJODI AT CUTTACK D/S"/>
    <x v="22"/>
    <n v="21"/>
    <n v="31"/>
    <n v="6"/>
    <n v="8.8000000000000007"/>
    <n v="7.2"/>
    <n v="8.4"/>
    <n v="151"/>
    <n v="361"/>
    <n v="1.5"/>
    <n v="4.2"/>
    <n v="0.32"/>
    <n v="1.43"/>
    <n v="7900"/>
    <n v="160000"/>
    <n v="24000"/>
    <n v="160000"/>
    <n v="23"/>
    <n v="240"/>
    <n v="3.1500000000000004"/>
  </r>
  <r>
    <n v="3892"/>
    <s v="RIVER KATHAJODI AT CUTTACK FD/S AT MATTAGAJPUR"/>
    <x v="22"/>
    <n v="22"/>
    <n v="31"/>
    <n v="7"/>
    <n v="8.6"/>
    <n v="7.1"/>
    <n v="8.3000000000000007"/>
    <n v="202"/>
    <n v="388"/>
    <n v="1.3"/>
    <n v="3.9"/>
    <n v="0.32"/>
    <n v="1.1200000000000001"/>
    <n v="1300"/>
    <n v="92000"/>
    <n v="4900"/>
    <n v="160000"/>
    <n v="13"/>
    <n v="170"/>
    <n v="2.5350000000000001"/>
  </r>
  <r>
    <n v="3893"/>
    <s v="RIVER KATHAJODI AT CUTTACK FD/S AT KAMASASAN"/>
    <x v="22"/>
    <n v="22"/>
    <n v="32"/>
    <n v="6.6"/>
    <n v="8.5"/>
    <n v="7.3"/>
    <n v="8.5"/>
    <n v="158"/>
    <n v="327"/>
    <n v="1.3"/>
    <n v="2.5"/>
    <n v="0.32"/>
    <n v="0.98"/>
    <n v="330"/>
    <n v="7900"/>
    <n v="1700"/>
    <n v="22000"/>
    <m/>
    <m/>
    <n v="1.625"/>
  </r>
  <r>
    <n v="3900"/>
    <s v="RIVER GOBARI AT KENDRAPARA U/S"/>
    <x v="22"/>
    <n v="23.5"/>
    <n v="32.799999999999997"/>
    <n v="2.4"/>
    <n v="5.5"/>
    <n v="7.1"/>
    <n v="8.1999999999999993"/>
    <n v="168"/>
    <n v="1843"/>
    <n v="1.1000000000000001"/>
    <n v="2.2000000000000002"/>
    <n v="0.32"/>
    <n v="0.81"/>
    <n v="330"/>
    <n v="4900"/>
    <n v="1100"/>
    <n v="24000"/>
    <m/>
    <m/>
    <n v="1.2100000000000002"/>
  </r>
  <r>
    <n v="3901"/>
    <s v="RIVER GOBARI AT KENDRAPARA D/S"/>
    <x v="22"/>
    <n v="24.5"/>
    <n v="33.700000000000003"/>
    <n v="2"/>
    <n v="5.2"/>
    <n v="6.9"/>
    <n v="8.1999999999999993"/>
    <n v="205"/>
    <n v="2453"/>
    <n v="1.5"/>
    <n v="2.6"/>
    <n v="0.32"/>
    <n v="0.84"/>
    <n v="790"/>
    <n v="24000"/>
    <n v="1700"/>
    <n v="54000"/>
    <m/>
    <m/>
    <n v="1.9500000000000002"/>
  </r>
  <r>
    <n v="3902"/>
    <s v="RIVER DEVI AT MACCHGAON"/>
    <x v="22"/>
    <n v="24.1"/>
    <n v="33.200000000000003"/>
    <n v="5.2"/>
    <n v="7.8"/>
    <n v="7.1"/>
    <n v="8.3000000000000007"/>
    <n v="182"/>
    <n v="24860"/>
    <n v="1.2"/>
    <n v="2"/>
    <n v="0.32"/>
    <n v="0.94"/>
    <n v="78"/>
    <n v="2200"/>
    <n v="230"/>
    <n v="4900"/>
    <m/>
    <m/>
    <n v="1.2"/>
  </r>
  <r>
    <n v="3896"/>
    <s v="RIVER GANGUA NEAR RAJDHANI ENGINEERING_x000a_COLLEGE"/>
    <x v="22"/>
    <n v="20"/>
    <n v="30"/>
    <n v="0.3"/>
    <n v="2.2000000000000002"/>
    <n v="6.7"/>
    <n v="7.4"/>
    <n v="172"/>
    <n v="449"/>
    <n v="6.3"/>
    <n v="15"/>
    <n v="0.32"/>
    <n v="15.71"/>
    <n v="16000"/>
    <n v="160000"/>
    <n v="16000"/>
    <n v="160000"/>
    <n v="70"/>
    <n v="920"/>
    <n v="47.25"/>
  </r>
  <r>
    <n v="3897"/>
    <s v="RIVER GANGUA AT PALASUNI"/>
    <x v="22"/>
    <n v="22"/>
    <n v="32"/>
    <n v="0.3"/>
    <n v="3.3"/>
    <n v="4.7"/>
    <n v="7.2"/>
    <n v="201"/>
    <n v="702"/>
    <n v="7.7"/>
    <n v="18"/>
    <n v="0.32"/>
    <n v="13.22"/>
    <n v="2"/>
    <n v="160000"/>
    <n v="2"/>
    <n v="160000"/>
    <n v="2"/>
    <n v="350"/>
    <n v="69.3"/>
  </r>
  <r>
    <n v="3898"/>
    <s v="RIVER GANGUA AT SAMANTARAPUR"/>
    <x v="22"/>
    <n v="22"/>
    <n v="32"/>
    <n v="0.3"/>
    <n v="3.3"/>
    <n v="6.6"/>
    <n v="7.2"/>
    <n v="268"/>
    <n v="580"/>
    <n v="8"/>
    <n v="18"/>
    <n v="0.32"/>
    <n v="10.57"/>
    <n v="2"/>
    <n v="160000"/>
    <n v="2"/>
    <n v="160000"/>
    <n v="2"/>
    <n v="280"/>
    <n v="72"/>
  </r>
  <r>
    <n v="3899"/>
    <s v="RIVER GANGUA AT VADIMULA"/>
    <x v="22"/>
    <n v="20"/>
    <n v="32"/>
    <n v="0.9"/>
    <n v="4.5"/>
    <n v="6.8"/>
    <n v="7.9"/>
    <n v="195"/>
    <n v="502"/>
    <n v="5"/>
    <n v="18"/>
    <n v="0.32"/>
    <n v="6.02"/>
    <n v="7900"/>
    <n v="160000"/>
    <n v="24000"/>
    <n v="160000"/>
    <n v="79"/>
    <n v="280"/>
    <n v="45"/>
  </r>
  <r>
    <n v="3903"/>
    <s v="RIVER KUSHABHADRA AT BHINGARPUR"/>
    <x v="22"/>
    <n v="19"/>
    <n v="32"/>
    <n v="5.0999999999999996"/>
    <n v="9.1"/>
    <n v="7.1"/>
    <n v="7.6"/>
    <n v="180"/>
    <n v="267"/>
    <n v="1.2"/>
    <n v="1.7"/>
    <n v="0.32"/>
    <n v="0.78"/>
    <n v="330"/>
    <n v="54000"/>
    <n v="1700"/>
    <n v="160000"/>
    <m/>
    <m/>
    <n v="1.02"/>
  </r>
  <r>
    <n v="3904"/>
    <s v="RIVER KUSHABHADRA AT NIMAPARA"/>
    <x v="22"/>
    <n v="22"/>
    <n v="32"/>
    <n v="4.9000000000000004"/>
    <n v="8.8000000000000007"/>
    <n v="6.8"/>
    <n v="7.8"/>
    <n v="131"/>
    <n v="282"/>
    <n v="1.1000000000000001"/>
    <n v="1.6"/>
    <n v="0.32"/>
    <n v="4.97"/>
    <n v="130"/>
    <n v="3300"/>
    <n v="490"/>
    <n v="11000"/>
    <m/>
    <m/>
    <n v="0.88000000000000012"/>
  </r>
  <r>
    <n v="3905"/>
    <s v="RIVER KUSHABHADRA AT GOP"/>
    <x v="22"/>
    <n v="22"/>
    <n v="34.5"/>
    <n v="4.3"/>
    <n v="8.4"/>
    <n v="6.9"/>
    <n v="7.8"/>
    <n v="164"/>
    <n v="348"/>
    <n v="1.2"/>
    <n v="1.7"/>
    <n v="0.32"/>
    <n v="1.47"/>
    <n v="940"/>
    <n v="54000"/>
    <n v="2800"/>
    <n v="160000"/>
    <m/>
    <m/>
    <n v="1.02"/>
  </r>
  <r>
    <n v="3906"/>
    <s v="RIVER MANGALA AT PURI U/S MALATIPATPUR"/>
    <x v="22"/>
    <n v="20"/>
    <n v="32"/>
    <n v="4.8"/>
    <n v="9.1"/>
    <n v="6.9"/>
    <n v="8.1999999999999993"/>
    <n v="138"/>
    <n v="360"/>
    <n v="1.1000000000000001"/>
    <n v="2.1"/>
    <n v="0.32"/>
    <n v="0.64"/>
    <n v="78"/>
    <n v="1700"/>
    <n v="330"/>
    <n v="2800"/>
    <m/>
    <m/>
    <n v="1.1550000000000002"/>
  </r>
  <r>
    <n v="3907"/>
    <s v="RIVER MANGALA AT PURI D/S GOLASAHI"/>
    <x v="22"/>
    <n v="23"/>
    <n v="34"/>
    <n v="4.4000000000000004"/>
    <n v="13"/>
    <n v="7.1"/>
    <n v="8.5"/>
    <n v="166"/>
    <n v="14710"/>
    <n v="1.7"/>
    <n v="3.6"/>
    <n v="0.33"/>
    <n v="5.17"/>
    <n v="130"/>
    <n v="2200"/>
    <n v="490"/>
    <n v="4900"/>
    <n v="2"/>
    <n v="24"/>
    <n v="3.06"/>
  </r>
  <r>
    <n v="3908"/>
    <s v="RIVER BHARGAVI AT CHANDANPUR"/>
    <x v="22"/>
    <n v="20.5"/>
    <n v="32"/>
    <n v="4.5999999999999996"/>
    <n v="9.1999999999999993"/>
    <n v="6.9"/>
    <n v="8.3000000000000007"/>
    <n v="148"/>
    <n v="280"/>
    <n v="1.2"/>
    <n v="2.6"/>
    <n v="0.32"/>
    <n v="0.74"/>
    <n v="45"/>
    <n v="2200"/>
    <n v="230"/>
    <n v="4900"/>
    <m/>
    <m/>
    <n v="1.56"/>
  </r>
  <r>
    <n v="3909"/>
    <s v="RIVER KANSARI AT BANAPUR ROAD NEAR_x000a_PURUSHOTTAMPUR"/>
    <x v="22"/>
    <n v="19"/>
    <n v="34"/>
    <n v="5.5"/>
    <n v="8.1999999999999993"/>
    <n v="6.6"/>
    <n v="7.8"/>
    <n v="178"/>
    <n v="355"/>
    <n v="1.1000000000000001"/>
    <n v="2.2000000000000002"/>
    <n v="0.32"/>
    <n v="1.54"/>
    <n v="490"/>
    <n v="2300"/>
    <n v="1400"/>
    <n v="4900"/>
    <m/>
    <m/>
    <n v="1.2100000000000002"/>
  </r>
  <r>
    <n v="3910"/>
    <s v="RIVER BADASANKHA NADI NEAR LANGALESWAR"/>
    <x v="22"/>
    <n v="20"/>
    <n v="34.5"/>
    <n v="5"/>
    <n v="10.199999999999999"/>
    <n v="6.8"/>
    <n v="8.1"/>
    <n v="410"/>
    <n v="4657"/>
    <n v="1.4"/>
    <n v="2.4"/>
    <n v="0.32"/>
    <n v="1.5"/>
    <n v="210"/>
    <n v="2400"/>
    <n v="700"/>
    <n v="4900"/>
    <m/>
    <m/>
    <n v="1.68"/>
  </r>
  <r>
    <n v="3911"/>
    <s v="RIVER RATNACHIRA NAADI AT KUMARADIHI"/>
    <x v="22"/>
    <n v="18.5"/>
    <n v="33"/>
    <n v="5.0999999999999996"/>
    <n v="7.3"/>
    <n v="6.9"/>
    <n v="7.7"/>
    <n v="176"/>
    <n v="957"/>
    <n v="1.2"/>
    <n v="1.9"/>
    <n v="0.32"/>
    <n v="1.04"/>
    <n v="230"/>
    <n v="2300"/>
    <n v="1100"/>
    <n v="4900"/>
    <n v="2"/>
    <n v="33"/>
    <n v="1.1399999999999999"/>
  </r>
  <r>
    <n v="3912"/>
    <s v="RIVER NUNA NADI AT BIJIPUR"/>
    <x v="22"/>
    <n v="20"/>
    <n v="34"/>
    <n v="4.8"/>
    <n v="10.8"/>
    <n v="6.9"/>
    <n v="7.7"/>
    <n v="145"/>
    <n v="323"/>
    <n v="1.1000000000000001"/>
    <n v="1.8"/>
    <n v="0.32"/>
    <n v="2.87"/>
    <n v="330"/>
    <n v="35000"/>
    <n v="1700"/>
    <n v="92000"/>
    <n v="7"/>
    <n v="94"/>
    <n v="0.9900000000000001"/>
  </r>
  <r>
    <n v="3913"/>
    <s v="RIVER KUSUMI NADI NEAR TANGI (LAXMIDHARA PUR)"/>
    <x v="22"/>
    <n v="19"/>
    <n v="32"/>
    <n v="5.3"/>
    <n v="7.7"/>
    <n v="6.6"/>
    <n v="7.9"/>
    <n v="150"/>
    <n v="276"/>
    <n v="1.2"/>
    <n v="2.4"/>
    <n v="0.32"/>
    <n v="2.19"/>
    <n v="2"/>
    <n v="2300"/>
    <n v="2"/>
    <n v="4900"/>
    <n v="2"/>
    <n v="49"/>
    <n v="1.44"/>
  </r>
  <r>
    <n v="3914"/>
    <s v="RIVER SABULIA NADI NEAR RAMBHA (AT_x000a_JAGANNATHPATNA)"/>
    <x v="22"/>
    <n v="21"/>
    <n v="35"/>
    <n v="5.2"/>
    <n v="7.9"/>
    <n v="7.2"/>
    <n v="7.9"/>
    <n v="428"/>
    <n v="1208"/>
    <n v="1.1000000000000001"/>
    <n v="1.9"/>
    <n v="0.32"/>
    <n v="1.72"/>
    <n v="790"/>
    <n v="2400"/>
    <n v="2200"/>
    <n v="4900"/>
    <n v="5"/>
    <n v="46"/>
    <n v="1.0449999999999999"/>
  </r>
  <r>
    <n v="2408"/>
    <s v="RIVER TEL (OVER ROAD BRIDGE STATE HIGHWAY -41,_x000a_MANAMUNDA)"/>
    <x v="22"/>
    <n v="23"/>
    <n v="30"/>
    <n v="6.7"/>
    <n v="10.1"/>
    <n v="7.6"/>
    <n v="8.4"/>
    <n v="109"/>
    <n v="246"/>
    <n v="1.1000000000000001"/>
    <n v="1.7"/>
    <n v="0.32"/>
    <n v="7.29"/>
    <n v="45"/>
    <n v="1100"/>
    <n v="130"/>
    <n v="3500"/>
    <m/>
    <m/>
    <n v="0.93500000000000005"/>
  </r>
  <r>
    <n v="1085"/>
    <s v="RIVER DHAMRA AT DHAMRA"/>
    <x v="22"/>
    <n v="20"/>
    <n v="30"/>
    <n v="6"/>
    <n v="9.6"/>
    <n v="6.6"/>
    <n v="8.1"/>
    <n v="410"/>
    <n v="34030"/>
    <n v="1.1000000000000001"/>
    <n v="1.9"/>
    <n v="0.32"/>
    <n v="0.88"/>
    <n v="45"/>
    <n v="1300"/>
    <n v="330"/>
    <n v="4700"/>
    <m/>
    <m/>
    <n v="1.0449999999999999"/>
  </r>
  <r>
    <n v="3168"/>
    <s v="RIVER HASDEO DOWN STREAM OF HASDEO RIVER_x000a_NEAR VILLAGE URGA KORBA"/>
    <x v="23"/>
    <n v="24.7"/>
    <n v="26.3"/>
    <n v="7"/>
    <n v="8"/>
    <n v="7.2"/>
    <n v="7.7"/>
    <n v="158"/>
    <n v="1722"/>
    <n v="1"/>
    <n v="2.4"/>
    <n v="0.69"/>
    <n v="1.1599999999999999"/>
    <n v="14"/>
    <n v="40"/>
    <n v="49"/>
    <n v="170"/>
    <m/>
    <m/>
    <n v="1.2"/>
  </r>
  <r>
    <n v="3889"/>
    <s v="RIVER ONG AT DHARUAKHAMMA"/>
    <x v="22"/>
    <n v="24"/>
    <n v="30"/>
    <n v="5.6"/>
    <n v="10.1"/>
    <n v="7.8"/>
    <n v="8.5"/>
    <n v="190"/>
    <n v="340"/>
    <n v="1.1000000000000001"/>
    <n v="1.6"/>
    <n v="0.32"/>
    <n v="0.81"/>
    <n v="33"/>
    <n v="790"/>
    <n v="94"/>
    <n v="2400"/>
    <m/>
    <m/>
    <n v="0.88000000000000012"/>
  </r>
  <r>
    <n v="5532"/>
    <s v="RIVER GOBARI AT JAMBO"/>
    <x v="22"/>
    <n v="25"/>
    <n v="32.5"/>
    <n v="4.0999999999999996"/>
    <n v="7.6"/>
    <n v="7.1"/>
    <n v="7.8"/>
    <n v="300"/>
    <n v="42600"/>
    <n v="1.2"/>
    <n v="1.4"/>
    <n v="0.32"/>
    <n v="1.27"/>
    <n v="78"/>
    <n v="2300"/>
    <n v="330"/>
    <n v="4900"/>
    <m/>
    <m/>
    <n v="0.84"/>
  </r>
  <r>
    <n v="5533"/>
    <s v="RIVER HANSUA AT BARUNEI"/>
    <x v="22"/>
    <n v="25.2"/>
    <n v="32.200000000000003"/>
    <n v="5.0999999999999996"/>
    <n v="7.7"/>
    <n v="7.3"/>
    <n v="8.4"/>
    <n v="176"/>
    <n v="40570"/>
    <n v="1.2"/>
    <n v="1.4"/>
    <n v="0.32"/>
    <n v="1.72"/>
    <n v="45"/>
    <n v="1300"/>
    <n v="330"/>
    <n v="3500"/>
    <m/>
    <m/>
    <n v="0.84"/>
  </r>
  <r>
    <n v="5534"/>
    <s v="RIVER PATSALA AT GUPTI"/>
    <x v="22"/>
    <n v="25"/>
    <n v="33.4"/>
    <n v="4.9000000000000004"/>
    <n v="7.1"/>
    <n v="6.8"/>
    <n v="7.9"/>
    <n v="295"/>
    <n v="42210"/>
    <n v="1.2"/>
    <n v="2.2000000000000002"/>
    <n v="0.32"/>
    <n v="2.9"/>
    <n v="45"/>
    <n v="1300"/>
    <n v="330"/>
    <n v="3500"/>
    <m/>
    <m/>
    <n v="1.32"/>
  </r>
  <r>
    <n v="5535"/>
    <s v="RIVER DHAMRA, KALIBHANJADIA"/>
    <x v="22"/>
    <n v="25.2"/>
    <n v="32"/>
    <n v="4.5"/>
    <n v="7.6"/>
    <n v="7.1"/>
    <n v="8"/>
    <n v="1384"/>
    <n v="41900"/>
    <n v="1.2"/>
    <n v="1.9"/>
    <n v="0.32"/>
    <n v="1.51"/>
    <n v="20"/>
    <n v="1300"/>
    <n v="130"/>
    <n v="3500"/>
    <m/>
    <m/>
    <n v="1.1399999999999999"/>
  </r>
  <r>
    <n v="5536"/>
    <s v="RIVER BHITARAKANIKA AT DANGAMALA"/>
    <x v="22"/>
    <n v="25"/>
    <n v="33.1"/>
    <n v="4.8"/>
    <n v="6.2"/>
    <n v="6.9"/>
    <n v="8.1"/>
    <n v="365"/>
    <n v="36540"/>
    <n v="1.1000000000000001"/>
    <n v="2.5"/>
    <n v="0.32"/>
    <n v="31.02"/>
    <n v="130"/>
    <n v="3300"/>
    <n v="330"/>
    <n v="7900"/>
    <m/>
    <m/>
    <n v="1.375"/>
  </r>
  <r>
    <n v="1081"/>
    <s v="RIVER BAITARNI AT JODA"/>
    <x v="22"/>
    <n v="19"/>
    <n v="31"/>
    <n v="6.2"/>
    <n v="7.5"/>
    <n v="6.8"/>
    <n v="8"/>
    <n v="80"/>
    <n v="164"/>
    <n v="1.1000000000000001"/>
    <n v="1.8"/>
    <n v="0.32"/>
    <n v="1.58"/>
    <n v="110"/>
    <n v="1300"/>
    <n v="490"/>
    <n v="4000"/>
    <m/>
    <m/>
    <n v="0.9900000000000001"/>
  </r>
  <r>
    <n v="1082"/>
    <s v="RIVER BAITARNI AT ANANDPUR"/>
    <x v="22"/>
    <n v="21"/>
    <n v="29"/>
    <n v="6.2"/>
    <n v="9.6"/>
    <n v="6.8"/>
    <n v="8"/>
    <n v="103"/>
    <n v="178"/>
    <n v="1.1000000000000001"/>
    <n v="1.9"/>
    <n v="0.32"/>
    <n v="0.65"/>
    <n v="130"/>
    <n v="790"/>
    <n v="490"/>
    <n v="2400"/>
    <m/>
    <m/>
    <n v="1.0449999999999999"/>
  </r>
  <r>
    <n v="1083"/>
    <s v="RIVER BAITARNI AT JAJPUR"/>
    <x v="22"/>
    <n v="21"/>
    <n v="23"/>
    <n v="6.2"/>
    <n v="8.5"/>
    <n v="7.1"/>
    <n v="8.1999999999999993"/>
    <n v="110"/>
    <n v="328"/>
    <n v="1.1000000000000001"/>
    <n v="2.6"/>
    <n v="0.32"/>
    <n v="3.35"/>
    <n v="130"/>
    <n v="4900"/>
    <n v="330"/>
    <n v="24000"/>
    <m/>
    <m/>
    <n v="1.4300000000000002"/>
  </r>
  <r>
    <n v="3935"/>
    <s v="RIVER BAITARNI AT NAIGARH"/>
    <x v="22"/>
    <n v="19"/>
    <n v="29"/>
    <n v="6"/>
    <n v="7.3"/>
    <n v="6.8"/>
    <n v="8.1"/>
    <n v="73"/>
    <n v="153"/>
    <n v="1.1000000000000001"/>
    <n v="1.5"/>
    <n v="0.32"/>
    <n v="1.08"/>
    <n v="45"/>
    <n v="700"/>
    <n v="330"/>
    <n v="2200"/>
    <m/>
    <m/>
    <n v="0.82500000000000007"/>
  </r>
  <r>
    <n v="3936"/>
    <s v="RIVER BAITARNI AT UNCHABALI"/>
    <x v="22"/>
    <n v="19"/>
    <n v="30"/>
    <n v="6.4"/>
    <n v="7.4"/>
    <n v="6.7"/>
    <n v="8.1"/>
    <n v="70"/>
    <n v="151"/>
    <n v="1.1000000000000001"/>
    <n v="1.4"/>
    <n v="0.32"/>
    <n v="1.42"/>
    <n v="110"/>
    <n v="790"/>
    <n v="330"/>
    <n v="2200"/>
    <m/>
    <m/>
    <n v="0.77"/>
  </r>
  <r>
    <n v="3938"/>
    <s v="RIVER BAITARNI AT TRIBINDHA"/>
    <x v="22"/>
    <n v="20"/>
    <n v="32"/>
    <n v="6.2"/>
    <n v="7.3"/>
    <n v="6.8"/>
    <n v="8"/>
    <n v="112"/>
    <n v="168"/>
    <n v="1.1000000000000001"/>
    <n v="1.8"/>
    <n v="0.32"/>
    <n v="1.49"/>
    <n v="78"/>
    <n v="1300"/>
    <n v="330"/>
    <n v="4900"/>
    <m/>
    <m/>
    <n v="0.9900000000000001"/>
  </r>
  <r>
    <n v="3937"/>
    <s v="RIVER BAITARNI AT CHAMPUA"/>
    <x v="22"/>
    <n v="20"/>
    <n v="29.3"/>
    <n v="6.3"/>
    <n v="7"/>
    <n v="6.7"/>
    <n v="8.1"/>
    <n v="93"/>
    <n v="140"/>
    <n v="1.1000000000000001"/>
    <n v="1.7"/>
    <n v="0.32"/>
    <n v="1.51"/>
    <n v="2"/>
    <n v="1700"/>
    <n v="330"/>
    <n v="2400"/>
    <n v="1700"/>
    <n v="1700"/>
    <n v="0.93500000000000005"/>
  </r>
  <r>
    <n v="1084"/>
    <s v="RIVER BAITARNI AT CHANDBALI U/S"/>
    <x v="22"/>
    <n v="20"/>
    <n v="32"/>
    <n v="4.8"/>
    <n v="9.1999999999999993"/>
    <n v="6.6"/>
    <n v="7.8"/>
    <n v="140"/>
    <n v="20550"/>
    <n v="1.1000000000000001"/>
    <n v="2"/>
    <n v="0.32"/>
    <n v="1.38"/>
    <n v="170"/>
    <n v="2200"/>
    <n v="490"/>
    <n v="4900"/>
    <m/>
    <m/>
    <n v="1.1000000000000001"/>
  </r>
  <r>
    <n v="10018"/>
    <s v="RIVER BAITARNI AT CHANDBALI D/S"/>
    <x v="22"/>
    <n v="20"/>
    <n v="32"/>
    <n v="4.4000000000000004"/>
    <n v="9.1999999999999993"/>
    <n v="6.5"/>
    <n v="8.3000000000000007"/>
    <n v="150"/>
    <n v="21870"/>
    <n v="1.3"/>
    <n v="2.1"/>
    <n v="0.32"/>
    <n v="1.9"/>
    <n v="170"/>
    <n v="4900"/>
    <n v="490"/>
    <n v="17000"/>
    <m/>
    <m/>
    <n v="1.3650000000000002"/>
  </r>
  <r>
    <n v="3940"/>
    <s v="RIVER SALANDI AT BHADRAK U/S"/>
    <x v="22"/>
    <n v="20"/>
    <n v="30"/>
    <n v="4.8"/>
    <n v="9.1999999999999993"/>
    <n v="6.7"/>
    <n v="8.4"/>
    <n v="105"/>
    <n v="322"/>
    <n v="1.1000000000000001"/>
    <n v="1.6"/>
    <n v="0.32"/>
    <n v="2.2400000000000002"/>
    <n v="130"/>
    <n v="24000"/>
    <n v="790"/>
    <n v="54000"/>
    <m/>
    <m/>
    <n v="0.88000000000000012"/>
  </r>
  <r>
    <n v="3941"/>
    <s v="RIVER SALANDI AT BHADRAK D/S"/>
    <x v="22"/>
    <n v="20"/>
    <n v="30"/>
    <n v="4.4000000000000004"/>
    <n v="9.6"/>
    <n v="6.6"/>
    <n v="8.1999999999999993"/>
    <n v="98"/>
    <n v="380"/>
    <n v="1.2"/>
    <n v="1.9"/>
    <n v="0.32"/>
    <n v="1.69"/>
    <n v="330"/>
    <n v="7900"/>
    <n v="1700"/>
    <n v="22000"/>
    <m/>
    <m/>
    <n v="1.1399999999999999"/>
  </r>
  <r>
    <n v="2421"/>
    <s v="RIVER KUSEI BEFORE JOINING WITH BAITARANI AT_x000a_ANANDPUR, DEOGAON"/>
    <x v="22"/>
    <n v="20"/>
    <n v="29"/>
    <n v="6.8"/>
    <n v="8.5"/>
    <n v="6.7"/>
    <n v="8.5"/>
    <n v="144"/>
    <n v="322"/>
    <n v="1.1000000000000001"/>
    <n v="2"/>
    <n v="0.32"/>
    <n v="1.42"/>
    <n v="130"/>
    <n v="3300"/>
    <n v="330"/>
    <n v="11000"/>
    <m/>
    <m/>
    <n v="1.1000000000000001"/>
  </r>
  <r>
    <n v="5535"/>
    <s v="RIVER DHAMRA, KALIBHANJADIA"/>
    <x v="22"/>
    <n v="25.2"/>
    <n v="32"/>
    <n v="4.5"/>
    <n v="7.6"/>
    <n v="7.1"/>
    <n v="8"/>
    <n v="1384"/>
    <n v="41900"/>
    <n v="1.2"/>
    <n v="1.9"/>
    <n v="0.32"/>
    <n v="1.51"/>
    <n v="20"/>
    <n v="1300"/>
    <n v="130"/>
    <n v="3500"/>
    <m/>
    <m/>
    <n v="1.1399999999999999"/>
  </r>
  <r>
    <n v="1037"/>
    <s v="RIVER BRAHMANI AT U/S PANPOSH"/>
    <x v="22"/>
    <n v="22"/>
    <n v="31"/>
    <n v="5"/>
    <n v="8.8000000000000007"/>
    <n v="6.9"/>
    <n v="8.1999999999999993"/>
    <n v="114"/>
    <n v="218"/>
    <n v="1.1000000000000001"/>
    <n v="1.7"/>
    <n v="0.32"/>
    <n v="3.24"/>
    <n v="140"/>
    <n v="2300"/>
    <n v="490"/>
    <n v="4900"/>
    <m/>
    <m/>
    <n v="0.93500000000000005"/>
  </r>
  <r>
    <n v="1038"/>
    <s v="RIVER BRAHMANI AT D/S PANPOSH AT DEOGAN"/>
    <x v="22"/>
    <n v="21"/>
    <n v="31"/>
    <n v="2.4"/>
    <n v="7"/>
    <n v="6.6"/>
    <n v="7.8"/>
    <n v="188"/>
    <n v="625"/>
    <n v="3.2"/>
    <n v="5.7"/>
    <n v="0.72"/>
    <n v="18.78"/>
    <n v="4900"/>
    <n v="54000"/>
    <n v="9400"/>
    <n v="92000"/>
    <n v="22"/>
    <n v="350"/>
    <n v="9.120000000000001"/>
  </r>
  <r>
    <n v="1302"/>
    <s v="RIVER BRAHMANI AT ROURKELA D/S AT JALDA"/>
    <x v="22"/>
    <n v="23"/>
    <n v="32"/>
    <n v="2.8"/>
    <n v="7.8"/>
    <n v="6.7"/>
    <n v="7.8"/>
    <n v="141"/>
    <n v="368"/>
    <n v="3.4"/>
    <n v="5.3"/>
    <n v="0.75"/>
    <n v="11.44"/>
    <n v="33"/>
    <n v="17000"/>
    <n v="7000"/>
    <n v="54000"/>
    <n v="17"/>
    <n v="130"/>
    <n v="9.01"/>
  </r>
  <r>
    <n v="2414"/>
    <s v="RIVER BRAHMANI AT ROURKELA FD/S AT BIRITOLA"/>
    <x v="22"/>
    <n v="17"/>
    <n v="34"/>
    <n v="5.4"/>
    <n v="8.1"/>
    <n v="6.6"/>
    <n v="8.1"/>
    <n v="110"/>
    <n v="263"/>
    <n v="1.5"/>
    <n v="2.8"/>
    <n v="0.32"/>
    <n v="6.84"/>
    <n v="13"/>
    <n v="2300"/>
    <n v="130"/>
    <n v="4900"/>
    <n v="2"/>
    <n v="14"/>
    <n v="2.0999999999999996"/>
  </r>
  <r>
    <n v="1039"/>
    <s v="RIVER BRAHMANI AT BONAIGARH"/>
    <x v="22"/>
    <n v="16"/>
    <n v="34"/>
    <n v="6.1"/>
    <n v="10.5"/>
    <n v="6.7"/>
    <n v="8.1"/>
    <n v="112"/>
    <n v="246"/>
    <n v="1.1000000000000001"/>
    <n v="2.1"/>
    <n v="0.34"/>
    <n v="6.28"/>
    <n v="13"/>
    <n v="24000"/>
    <n v="130"/>
    <n v="54000"/>
    <m/>
    <m/>
    <n v="1.1550000000000002"/>
  </r>
  <r>
    <n v="1040"/>
    <s v="RIVER BRAHMANI AT RENGALI"/>
    <x v="22"/>
    <n v="22"/>
    <n v="29"/>
    <n v="6"/>
    <n v="9.8000000000000007"/>
    <n v="7.1"/>
    <n v="8.5"/>
    <n v="114"/>
    <n v="185"/>
    <n v="1.1000000000000001"/>
    <n v="2"/>
    <n v="0.32"/>
    <n v="0.7"/>
    <n v="17"/>
    <n v="490"/>
    <n v="45"/>
    <n v="2400"/>
    <m/>
    <m/>
    <n v="1.1000000000000001"/>
  </r>
  <r>
    <n v="1041"/>
    <s v="RIVER BRAHMANI AT SAMAL"/>
    <x v="22"/>
    <n v="23"/>
    <n v="30"/>
    <n v="6.2"/>
    <n v="10.199999999999999"/>
    <n v="7.1"/>
    <n v="8.4"/>
    <n v="116"/>
    <n v="158"/>
    <n v="1.1000000000000001"/>
    <n v="1.9"/>
    <n v="0.32"/>
    <n v="0.75"/>
    <n v="130"/>
    <n v="1700"/>
    <n v="490"/>
    <n v="4900"/>
    <m/>
    <m/>
    <n v="1.0449999999999999"/>
  </r>
  <r>
    <n v="2415"/>
    <s v="RIVER BRAHMANI AT TALCHER FU/S (INTAKE WELL OF_x000a_MCL, TALCHER)"/>
    <x v="22"/>
    <n v="23"/>
    <n v="30"/>
    <n v="6.4"/>
    <n v="9.8000000000000007"/>
    <n v="7.1"/>
    <n v="8.3000000000000007"/>
    <n v="113"/>
    <n v="176"/>
    <n v="1.2"/>
    <n v="1.5"/>
    <n v="0.32"/>
    <n v="0.57999999999999996"/>
    <n v="45"/>
    <n v="790"/>
    <n v="330"/>
    <n v="2400"/>
    <m/>
    <m/>
    <n v="0.89999999999999991"/>
  </r>
  <r>
    <n v="2416"/>
    <s v="RIVER BRAHMANI AT TALCHER FD/S"/>
    <x v="22"/>
    <n v="23"/>
    <n v="28"/>
    <n v="5.6"/>
    <n v="9.1999999999999993"/>
    <n v="6.9"/>
    <n v="8.1"/>
    <n v="126"/>
    <n v="233"/>
    <n v="1.3"/>
    <n v="1.7"/>
    <n v="0.32"/>
    <n v="0.59"/>
    <n v="78"/>
    <n v="330"/>
    <n v="290"/>
    <n v="1300"/>
    <m/>
    <m/>
    <n v="1.105"/>
  </r>
  <r>
    <n v="1042"/>
    <s v="RIVER BRAHMANI AT KAMALANGA (TALCHER D/S)"/>
    <x v="22"/>
    <n v="22"/>
    <n v="28"/>
    <n v="6.2"/>
    <n v="8.6"/>
    <n v="7.1"/>
    <n v="8.1"/>
    <n v="143"/>
    <n v="224"/>
    <n v="1.2"/>
    <n v="2.1"/>
    <n v="0.32"/>
    <n v="1.28"/>
    <n v="330"/>
    <n v="1700"/>
    <n v="940"/>
    <n v="3500"/>
    <m/>
    <m/>
    <n v="1.26"/>
  </r>
  <r>
    <n v="2417"/>
    <s v="RIVER BRAHAMNI AT DHENKANAL D/S, DHENKANAL_x000a_TOWN"/>
    <x v="22"/>
    <n v="23"/>
    <n v="29"/>
    <n v="6.8"/>
    <n v="9"/>
    <n v="6.9"/>
    <n v="7.5"/>
    <n v="134"/>
    <n v="227"/>
    <n v="1.4"/>
    <n v="1.8"/>
    <n v="0.32"/>
    <n v="1.62"/>
    <n v="330"/>
    <n v="2400"/>
    <n v="1700"/>
    <n v="4900"/>
    <m/>
    <m/>
    <n v="1.26"/>
  </r>
  <r>
    <n v="1303"/>
    <s v="RIVER BRAHMANI AT TALCHER U/S"/>
    <x v="22"/>
    <n v="22"/>
    <n v="28"/>
    <n v="6.8"/>
    <n v="9"/>
    <n v="7.1"/>
    <n v="8.1999999999999993"/>
    <n v="136"/>
    <n v="187"/>
    <n v="1.1000000000000001"/>
    <n v="2.4"/>
    <n v="0.32"/>
    <n v="0.67"/>
    <n v="130"/>
    <n v="1300"/>
    <n v="490"/>
    <n v="2800"/>
    <m/>
    <m/>
    <n v="1.32"/>
  </r>
  <r>
    <n v="1043"/>
    <s v="RIVER BRAHMANI AT BHUBAN"/>
    <x v="22"/>
    <n v="24"/>
    <n v="29"/>
    <n v="6"/>
    <n v="9"/>
    <n v="6.5"/>
    <n v="7.6"/>
    <n v="133"/>
    <n v="386"/>
    <n v="1.1000000000000001"/>
    <n v="1.6"/>
    <n v="0.32"/>
    <n v="2.82"/>
    <n v="78"/>
    <n v="2300"/>
    <n v="490"/>
    <n v="4600"/>
    <m/>
    <m/>
    <n v="0.88000000000000012"/>
  </r>
  <r>
    <n v="2418"/>
    <s v="RIVER BRAHMANI AT KABATABANDHA (BEFORE IMPACT_x000a_OF INDUSTRIAL ACTIVITY IN KALINGANAGAR AREA)"/>
    <x v="22"/>
    <n v="21"/>
    <n v="23"/>
    <n v="6"/>
    <n v="8.9"/>
    <n v="6.6"/>
    <n v="8.1"/>
    <n v="110"/>
    <n v="325"/>
    <n v="1.1000000000000001"/>
    <n v="1.6"/>
    <n v="0.32"/>
    <n v="1.33"/>
    <n v="78"/>
    <n v="1700"/>
    <n v="330"/>
    <n v="3300"/>
    <m/>
    <m/>
    <n v="0.88000000000000012"/>
  </r>
  <r>
    <n v="10019"/>
    <s v="RIVER BRAHMANI AT DHARAMSHALA U/S"/>
    <x v="22"/>
    <n v="21"/>
    <n v="24"/>
    <n v="6.2"/>
    <n v="8.6"/>
    <n v="6.9"/>
    <n v="8.1999999999999993"/>
    <n v="135"/>
    <n v="178"/>
    <n v="1.3"/>
    <n v="1.6"/>
    <n v="0.32"/>
    <n v="1.66"/>
    <n v="130"/>
    <n v="24000"/>
    <n v="790"/>
    <n v="54000"/>
    <m/>
    <m/>
    <n v="1.04"/>
  </r>
  <r>
    <n v="1044"/>
    <s v="RIVER BRAHMANI AT DHARMASHALA U/S"/>
    <x v="22"/>
    <n v="21"/>
    <n v="24"/>
    <n v="6.4"/>
    <n v="8.6999999999999993"/>
    <n v="6.5"/>
    <n v="8.4"/>
    <n v="131"/>
    <n v="186"/>
    <n v="1.1000000000000001"/>
    <n v="1.9"/>
    <n v="0.32"/>
    <n v="1.2"/>
    <n v="110"/>
    <n v="2200"/>
    <n v="490"/>
    <n v="9400"/>
    <m/>
    <m/>
    <n v="1.0449999999999999"/>
  </r>
  <r>
    <n v="1045"/>
    <s v="RIVER BRAHMANI AT PATTAMUNDAI"/>
    <x v="22"/>
    <n v="24.1"/>
    <n v="33.5"/>
    <n v="5.8"/>
    <n v="8.6"/>
    <n v="7.3"/>
    <n v="8.1999999999999993"/>
    <n v="165"/>
    <n v="233"/>
    <n v="1.1000000000000001"/>
    <n v="1.4"/>
    <n v="0.32"/>
    <n v="0.88"/>
    <n v="330"/>
    <n v="1700"/>
    <n v="1300"/>
    <n v="4000"/>
    <m/>
    <m/>
    <n v="0.77"/>
  </r>
  <r>
    <n v="3916"/>
    <s v="RIVER BRAHMANI AT ROURKELA FD/S AT ATTAGHAT"/>
    <x v="22"/>
    <n v="23"/>
    <n v="32"/>
    <n v="3.2"/>
    <n v="9"/>
    <n v="6.5"/>
    <n v="8.5"/>
    <n v="140"/>
    <n v="345"/>
    <n v="1.8"/>
    <n v="4.8"/>
    <n v="0.52"/>
    <n v="7.32"/>
    <n v="78"/>
    <n v="2300"/>
    <n v="330"/>
    <n v="7900"/>
    <n v="2"/>
    <n v="23"/>
    <n v="4.32"/>
  </r>
  <r>
    <n v="3917"/>
    <s v="RIVER BRAHMANI AT MANDAPAL"/>
    <x v="22"/>
    <n v="23"/>
    <n v="29"/>
    <n v="6.4"/>
    <n v="8.6"/>
    <n v="6.5"/>
    <n v="7.6"/>
    <n v="124"/>
    <n v="187"/>
    <n v="1.1000000000000001"/>
    <n v="1.9"/>
    <n v="0.32"/>
    <n v="0.7"/>
    <n v="1700"/>
    <n v="17000"/>
    <n v="3500"/>
    <n v="35000"/>
    <n v="14"/>
    <n v="79"/>
    <n v="1.0449999999999999"/>
  </r>
  <r>
    <n v="3918"/>
    <s v="RIVER BRAHMANI AT DHENKANAL U/S"/>
    <x v="22"/>
    <n v="24"/>
    <n v="29"/>
    <n v="6.4"/>
    <n v="9.4"/>
    <n v="6.8"/>
    <n v="7.5"/>
    <n v="126"/>
    <n v="220"/>
    <n v="1.1000000000000001"/>
    <n v="1.6"/>
    <n v="0.32"/>
    <n v="0.88"/>
    <n v="110"/>
    <n v="1400"/>
    <n v="490"/>
    <n v="3500"/>
    <m/>
    <m/>
    <n v="0.88000000000000012"/>
  </r>
  <r>
    <n v="2419"/>
    <s v="RIVER KHARASROTA AT KHANDITARA (D/S OF_x000a_INDUSTRIAL ACTIVITIES AT KALINGA NAGAR)"/>
    <x v="22"/>
    <n v="20"/>
    <n v="23"/>
    <n v="6.2"/>
    <n v="8.6"/>
    <n v="6.9"/>
    <n v="8.1999999999999993"/>
    <n v="125"/>
    <n v="162"/>
    <n v="1.1000000000000001"/>
    <n v="1.6"/>
    <n v="0.32"/>
    <n v="1.2"/>
    <n v="45"/>
    <n v="2300"/>
    <n v="330"/>
    <n v="4900"/>
    <m/>
    <m/>
    <n v="0.88000000000000012"/>
  </r>
  <r>
    <n v="2420"/>
    <s v="RIVER KHARASROTA AT AUL"/>
    <x v="22"/>
    <n v="23.6"/>
    <n v="33.1"/>
    <n v="5.5"/>
    <n v="8.6"/>
    <n v="7.3"/>
    <n v="8.4"/>
    <n v="140"/>
    <n v="371"/>
    <n v="1.1000000000000001"/>
    <n v="1.5"/>
    <n v="0.32"/>
    <n v="0.6"/>
    <n v="220"/>
    <n v="2300"/>
    <n v="700"/>
    <n v="4900"/>
    <m/>
    <m/>
    <n v="0.82500000000000007"/>
  </r>
  <r>
    <n v="3922"/>
    <s v="RIVER KHARASROTA AT BINJHARPUR"/>
    <x v="22"/>
    <n v="21"/>
    <n v="23"/>
    <n v="6.3"/>
    <n v="8.9"/>
    <n v="6.8"/>
    <n v="8.5"/>
    <n v="108"/>
    <n v="236"/>
    <n v="1.1000000000000001"/>
    <n v="1.9"/>
    <n v="0.32"/>
    <n v="4.34"/>
    <n v="110"/>
    <n v="2300"/>
    <n v="790"/>
    <n v="5600"/>
    <m/>
    <m/>
    <n v="1.0449999999999999"/>
  </r>
  <r>
    <n v="3921"/>
    <s v="RIVER KISINDAJHOR AT KHARAGPRASAD"/>
    <x v="22"/>
    <n v="23"/>
    <n v="28"/>
    <n v="3.8"/>
    <n v="7.8"/>
    <n v="6.9"/>
    <n v="7.9"/>
    <n v="302"/>
    <n v="710"/>
    <n v="1.1000000000000001"/>
    <n v="1.9"/>
    <n v="0.32"/>
    <n v="3.13"/>
    <n v="230"/>
    <n v="2300"/>
    <n v="790"/>
    <n v="4900"/>
    <m/>
    <m/>
    <n v="1.0449999999999999"/>
  </r>
  <r>
    <n v="3931"/>
    <s v="RIVER BANGURUSINGADA JHOR"/>
    <x v="22"/>
    <n v="22"/>
    <n v="29"/>
    <n v="4.5999999999999996"/>
    <n v="9.6"/>
    <n v="7.5"/>
    <n v="7.9"/>
    <n v="260"/>
    <n v="455"/>
    <n v="1.1000000000000001"/>
    <n v="1.8"/>
    <n v="0.32"/>
    <n v="1"/>
    <n v="110"/>
    <n v="1700"/>
    <n v="490"/>
    <n v="4900"/>
    <n v="17"/>
    <n v="17"/>
    <n v="0.9900000000000001"/>
  </r>
  <r>
    <n v="2412"/>
    <s v="RIVER SANKHA U/S ( D/S OF MANDIRA DAM)"/>
    <x v="22"/>
    <n v="23"/>
    <n v="30"/>
    <n v="5.4"/>
    <n v="8.4"/>
    <n v="6.7"/>
    <n v="7.9"/>
    <n v="100"/>
    <n v="198"/>
    <n v="1.1000000000000001"/>
    <n v="1.5"/>
    <n v="0.32"/>
    <n v="0.56999999999999995"/>
    <n v="78"/>
    <n v="1300"/>
    <n v="490"/>
    <n v="4900"/>
    <m/>
    <m/>
    <n v="0.82500000000000007"/>
  </r>
  <r>
    <n v="3915"/>
    <s v="RIVER KARO AT BADBIL"/>
    <x v="22"/>
    <n v="20"/>
    <n v="31"/>
    <n v="6.2"/>
    <n v="8.1"/>
    <n v="6.7"/>
    <n v="8.1999999999999993"/>
    <n v="115"/>
    <n v="178"/>
    <n v="1.1000000000000001"/>
    <n v="1.6"/>
    <n v="0.32"/>
    <n v="0.81"/>
    <n v="78"/>
    <n v="1300"/>
    <n v="330"/>
    <n v="3900"/>
    <m/>
    <m/>
    <n v="0.88000000000000012"/>
  </r>
  <r>
    <n v="3924"/>
    <s v="RIVER BADAJHOR (AT DHENKANAL)"/>
    <x v="22"/>
    <n v="22"/>
    <n v="28"/>
    <n v="6"/>
    <n v="10.4"/>
    <n v="7.1"/>
    <n v="8.1"/>
    <n v="185"/>
    <n v="386"/>
    <n v="1.1000000000000001"/>
    <n v="1.9"/>
    <n v="0.32"/>
    <n v="0.97"/>
    <n v="230"/>
    <n v="4900"/>
    <n v="1300"/>
    <n v="24000"/>
    <m/>
    <m/>
    <n v="1.0449999999999999"/>
  </r>
  <r>
    <n v="3933"/>
    <s v="RIVER DAMASALA AT DAYANABIL"/>
    <x v="22"/>
    <n v="21"/>
    <n v="23"/>
    <n v="6"/>
    <n v="8.4"/>
    <n v="6.8"/>
    <n v="8"/>
    <n v="83"/>
    <n v="205"/>
    <n v="1.1000000000000001"/>
    <n v="2"/>
    <n v="0.32"/>
    <n v="1.05"/>
    <n v="130"/>
    <n v="2200"/>
    <n v="330"/>
    <n v="3500"/>
    <m/>
    <m/>
    <n v="1.1000000000000001"/>
  </r>
  <r>
    <n v="3927"/>
    <s v="RIVER TIKIRA AT KANIHA U/S"/>
    <x v="22"/>
    <n v="22"/>
    <n v="29"/>
    <n v="6.2"/>
    <n v="9"/>
    <n v="7.5"/>
    <n v="8.1999999999999993"/>
    <n v="163"/>
    <n v="366"/>
    <n v="1.1000000000000001"/>
    <n v="1.4"/>
    <n v="0.32"/>
    <n v="92.02"/>
    <n v="78"/>
    <n v="2100"/>
    <n v="330"/>
    <n v="4000"/>
    <m/>
    <m/>
    <n v="0.77"/>
  </r>
  <r>
    <n v="3928"/>
    <s v="RIVER TIKIRA AT KANIHA D/S"/>
    <x v="22"/>
    <n v="23"/>
    <n v="29"/>
    <n v="6.8"/>
    <n v="10.8"/>
    <n v="7.5"/>
    <n v="8.4"/>
    <n v="174"/>
    <n v="416"/>
    <n v="1.4"/>
    <n v="2"/>
    <n v="0.32"/>
    <n v="1.18"/>
    <n v="170"/>
    <n v="2200"/>
    <n v="490"/>
    <n v="4900"/>
    <m/>
    <m/>
    <n v="1.4"/>
  </r>
  <r>
    <n v="3932"/>
    <s v="RIVER RAMIALA NEAR KAMAKHYANAGAR"/>
    <x v="22"/>
    <n v="24"/>
    <n v="29"/>
    <n v="5.2"/>
    <n v="8.6"/>
    <n v="7.2"/>
    <n v="8.1"/>
    <n v="101"/>
    <n v="272"/>
    <n v="1.1000000000000001"/>
    <n v="1.9"/>
    <n v="0.32"/>
    <n v="0.65"/>
    <n v="130"/>
    <n v="790"/>
    <n v="490"/>
    <n v="2800"/>
    <m/>
    <m/>
    <n v="1.0449999999999999"/>
  </r>
  <r>
    <n v="1036"/>
    <s v="RIVER KOEL AT MANOHARPUR AFTER MEETING KOINA_x000a_RIVER D/S, JHARKAND"/>
    <x v="6"/>
    <n v="19.2"/>
    <n v="36"/>
    <n v="6.7"/>
    <n v="8.6999999999999993"/>
    <n v="6.8"/>
    <n v="8.3000000000000007"/>
    <n v="198"/>
    <n v="424"/>
    <n v="1.2"/>
    <n v="3.2"/>
    <n v="0"/>
    <n v="0"/>
    <m/>
    <m/>
    <m/>
    <m/>
    <m/>
    <m/>
    <n v="1.92"/>
  </r>
  <r>
    <n v="2413"/>
    <s v="RIVER KOEL U/S (AFTER CONFLUENCE OF KARO)"/>
    <x v="22"/>
    <n v="22"/>
    <n v="32"/>
    <n v="5"/>
    <n v="8.3000000000000007"/>
    <n v="6.8"/>
    <n v="8.5"/>
    <n v="123"/>
    <n v="220"/>
    <n v="1.1000000000000001"/>
    <n v="1.8"/>
    <n v="0.32"/>
    <n v="1.31"/>
    <n v="330"/>
    <n v="2300"/>
    <n v="1700"/>
    <n v="4900"/>
    <m/>
    <m/>
    <n v="0.9900000000000001"/>
  </r>
  <r>
    <n v="3919"/>
    <s v="RIVER NANDIRA U/S AT KUKUDANGA"/>
    <x v="22"/>
    <n v="21"/>
    <n v="27"/>
    <n v="4.8"/>
    <n v="12.4"/>
    <n v="6.8"/>
    <n v="8.4"/>
    <n v="325"/>
    <n v="595"/>
    <n v="1.1000000000000001"/>
    <n v="1.6"/>
    <n v="0.47"/>
    <n v="3.86"/>
    <n v="78"/>
    <n v="2300"/>
    <n v="330"/>
    <n v="4900"/>
    <m/>
    <m/>
    <n v="0.88000000000000012"/>
  </r>
  <r>
    <n v="3920"/>
    <s v="RIVER NANDIRA D/S AT DASNALI"/>
    <x v="22"/>
    <n v="22"/>
    <n v="28"/>
    <n v="6.2"/>
    <n v="12.6"/>
    <n v="6.9"/>
    <n v="8.3000000000000007"/>
    <n v="410"/>
    <n v="721"/>
    <n v="1.3"/>
    <n v="2"/>
    <n v="0.32"/>
    <n v="2.34"/>
    <n v="130"/>
    <n v="2100"/>
    <n v="490"/>
    <n v="4900"/>
    <n v="2"/>
    <n v="17"/>
    <n v="1.3"/>
  </r>
  <r>
    <n v="3925"/>
    <s v="RIVER LINGIRA U/S OF ANGUL"/>
    <x v="22"/>
    <n v="23"/>
    <n v="28"/>
    <n v="6.2"/>
    <n v="12"/>
    <n v="7.4"/>
    <n v="8.4"/>
    <n v="290"/>
    <n v="523"/>
    <n v="1.1000000000000001"/>
    <n v="1.6"/>
    <n v="0.32"/>
    <n v="1.78"/>
    <n v="130"/>
    <n v="790"/>
    <n v="460"/>
    <n v="3500"/>
    <m/>
    <m/>
    <n v="0.88000000000000012"/>
  </r>
  <r>
    <n v="3926"/>
    <s v="RIVER LINGIRA D/S OF ANGUL"/>
    <x v="22"/>
    <n v="23"/>
    <n v="28"/>
    <n v="4.8"/>
    <n v="10.8"/>
    <n v="7.5"/>
    <n v="8.3000000000000007"/>
    <n v="312"/>
    <n v="530"/>
    <n v="1.4"/>
    <n v="1.8"/>
    <n v="0.32"/>
    <n v="92.02"/>
    <n v="130"/>
    <n v="1300"/>
    <n v="700"/>
    <n v="4900"/>
    <m/>
    <m/>
    <n v="1.26"/>
  </r>
  <r>
    <n v="3929"/>
    <s v="RIVER SINGDA JHOR (TALCHER KANIHA ROAD BRIDGE,_x000a_BALANGI)"/>
    <x v="22"/>
    <n v="23"/>
    <n v="30"/>
    <n v="6.6"/>
    <n v="10"/>
    <n v="7.3"/>
    <n v="8.1999999999999993"/>
    <n v="280"/>
    <n v="520"/>
    <n v="1.1000000000000001"/>
    <n v="1.6"/>
    <n v="0.32"/>
    <n v="3.74"/>
    <n v="170"/>
    <n v="2300"/>
    <n v="700"/>
    <n v="4900"/>
    <m/>
    <m/>
    <n v="0.88000000000000012"/>
  </r>
  <r>
    <n v="3930"/>
    <s v="BANGURU NALLAH (OVER BRIDGE TALCHER RENGALI_x000a_DAM ROAD, SARKISOREPAL)"/>
    <x v="22"/>
    <n v="21"/>
    <n v="28"/>
    <n v="5.8"/>
    <n v="9"/>
    <n v="7.2"/>
    <n v="7.9"/>
    <n v="471"/>
    <n v="1052"/>
    <n v="1.1000000000000001"/>
    <n v="2.5"/>
    <n v="0.32"/>
    <n v="2.98"/>
    <n v="130"/>
    <n v="1100"/>
    <n v="330"/>
    <n v="3500"/>
    <n v="2"/>
    <n v="34"/>
    <n v="1.375"/>
  </r>
  <r>
    <n v="1095"/>
    <s v="RIVER GODAVARI AT U/S OF GANGAPUR DAM, VILLAGE-GANGAPUR,TALUKA- NASHIK, DISTRICT- NASHIK."/>
    <x v="21"/>
    <n v="20"/>
    <n v="29"/>
    <n v="5.9"/>
    <n v="7.3"/>
    <n v="7.1"/>
    <n v="8"/>
    <n v="157"/>
    <n v="302"/>
    <n v="2.8"/>
    <n v="3.2"/>
    <n v="0.3"/>
    <n v="2.4"/>
    <n v="4"/>
    <n v="46"/>
    <n v="38"/>
    <n v="68"/>
    <n v="2"/>
    <n v="2"/>
    <n v="4.4799999999999995"/>
  </r>
  <r>
    <n v="2177"/>
    <s v="RIVER GODAVARI NEAR SOMESHWAR TEMPLE,_x000a_VILLAGE- SOMESHWAR, TALUKA- NASHIK, DISTRICT-NASHIK."/>
    <x v="21"/>
    <n v="20"/>
    <n v="28"/>
    <n v="5.5"/>
    <n v="6.5"/>
    <n v="7.2"/>
    <n v="7.9"/>
    <n v="280"/>
    <n v="856"/>
    <n v="2.8"/>
    <n v="3.6"/>
    <n v="0.75"/>
    <n v="3.67"/>
    <n v="4"/>
    <n v="63"/>
    <n v="35"/>
    <n v="68"/>
    <n v="2"/>
    <n v="4"/>
    <n v="5.04"/>
  </r>
  <r>
    <n v="2179"/>
    <s v="RIVER GODAVARI AT HANUMAN GHAT, VILLAGE-NASHIK CITY, TALUKA- NASHIK, DISTRICT- NASHIK."/>
    <x v="21"/>
    <n v="20"/>
    <n v="28"/>
    <n v="4.8"/>
    <n v="7.2"/>
    <n v="7.2"/>
    <n v="7.9"/>
    <n v="308"/>
    <n v="3317"/>
    <n v="3"/>
    <n v="4.2"/>
    <n v="0.61"/>
    <n v="3.19"/>
    <n v="4"/>
    <n v="48"/>
    <n v="40"/>
    <n v="58"/>
    <n v="2"/>
    <n v="2"/>
    <n v="6.3000000000000007"/>
  </r>
  <r>
    <n v="1096"/>
    <s v="RIVER GODAVARI AT RAMKUND, VILLAGE-PANCHAVATI, TALUKA- NASHIK, DISTRICT- NASHIK."/>
    <x v="21"/>
    <n v="20"/>
    <n v="29"/>
    <n v="3.5"/>
    <n v="6.9"/>
    <n v="7.3"/>
    <n v="8.1"/>
    <n v="272"/>
    <n v="578"/>
    <n v="3.4"/>
    <n v="4.2"/>
    <n v="0.3"/>
    <n v="3.03"/>
    <n v="4"/>
    <n v="63"/>
    <n v="48"/>
    <n v="110"/>
    <n v="2"/>
    <n v="2"/>
    <n v="7.14"/>
  </r>
  <r>
    <n v="1211"/>
    <s v="RIVER GODAVARI AT D/S OF NASHIK NEAR AMARDHAM,_x000a_VILLAGE- GADGEBABAMAHARAJ NAGAR, TALUKA -NASHIK, DISTRICT- NASHIK."/>
    <x v="21"/>
    <n v="20"/>
    <n v="28"/>
    <n v="3.8"/>
    <n v="6.8"/>
    <n v="6.8"/>
    <n v="8"/>
    <n v="272"/>
    <n v="588"/>
    <n v="3"/>
    <n v="4.2"/>
    <n v="0.59"/>
    <n v="4.0999999999999996"/>
    <n v="4"/>
    <n v="47"/>
    <n v="46"/>
    <n v="115"/>
    <n v="2"/>
    <n v="2"/>
    <n v="6.3000000000000007"/>
  </r>
  <r>
    <n v="2180"/>
    <s v="RIVER GODAVARI AT TAPOVAN,VILLAGE- TAPOVAN,_x000a_TALUKA- NASHIK, DISTRICT- NASHIK."/>
    <x v="21"/>
    <n v="20"/>
    <n v="28"/>
    <n v="2.2999999999999998"/>
    <n v="6.4"/>
    <n v="7.3"/>
    <n v="7.9"/>
    <n v="239"/>
    <n v="545"/>
    <n v="3"/>
    <n v="8"/>
    <n v="0.61"/>
    <n v="4.0999999999999996"/>
    <n v="4"/>
    <n v="63"/>
    <n v="48"/>
    <n v="68"/>
    <n v="2"/>
    <n v="2"/>
    <n v="12"/>
  </r>
  <r>
    <n v="2181"/>
    <s v="RIVER GODAVARI AT KAPILA- GODAVARI CONFLUENCE_x000a_POINT, VILLAGE- TAPOVAN, TALUKA- NASHIK, DISTRICT-NASHIK."/>
    <x v="21"/>
    <n v="20"/>
    <n v="28"/>
    <n v="5.4"/>
    <n v="7.1"/>
    <n v="7.2"/>
    <n v="7.9"/>
    <n v="243"/>
    <n v="3288"/>
    <n v="3"/>
    <n v="3.8"/>
    <n v="0.57999999999999996"/>
    <n v="4.3600000000000003"/>
    <n v="4"/>
    <n v="43"/>
    <n v="43"/>
    <n v="55"/>
    <n v="2"/>
    <n v="4"/>
    <n v="5.6999999999999993"/>
  </r>
  <r>
    <n v="2182"/>
    <s v="RIVER GODAVARI AT SAIKHEDA VILLAGE, VILLAGE-SAIKHEDA, TALUKA- NIPHAD, DISTRICT- NASHIK."/>
    <x v="21"/>
    <n v="20"/>
    <n v="28"/>
    <n v="5.5"/>
    <n v="6.4"/>
    <n v="7.2"/>
    <n v="8"/>
    <n v="238"/>
    <n v="761"/>
    <n v="2.8"/>
    <n v="3.8"/>
    <n v="0.63"/>
    <n v="5.4"/>
    <n v="4"/>
    <n v="48"/>
    <n v="40"/>
    <n v="58"/>
    <n v="2"/>
    <n v="2"/>
    <n v="5.3199999999999994"/>
  </r>
  <r>
    <n v="2183"/>
    <s v="RIVER GODAVARI AT NANDUR-MADHMESHWAR DAM,_x000a_VILLAGE- NANDUR, TALUKA- NIPHAD, DISTRICT- NASHIK."/>
    <x v="21"/>
    <n v="20"/>
    <n v="28"/>
    <n v="5.4"/>
    <n v="6.8"/>
    <n v="7.1"/>
    <n v="8"/>
    <n v="217"/>
    <n v="812"/>
    <n v="3"/>
    <n v="3.8"/>
    <n v="0.5"/>
    <n v="3.53"/>
    <n v="4"/>
    <n v="58"/>
    <n v="40"/>
    <n v="58"/>
    <n v="2"/>
    <n v="2"/>
    <n v="5.6999999999999993"/>
  </r>
  <r>
    <n v="2160"/>
    <s v="RIVER GODAVARI AT U/S OF AURANGABAD_x000a_RESERVOIR,KAIGAON TOKKA NEAR KAIGAON_x000a_BRIDGE,VILLAGE- KAIGAON,TALUKA- GANGAPUR,_x000a_DISTRICT- AURANGABAD."/>
    <x v="21"/>
    <n v="22"/>
    <n v="36"/>
    <n v="4.4000000000000004"/>
    <n v="7.3"/>
    <n v="7.9"/>
    <n v="9"/>
    <n v="630"/>
    <n v="2614"/>
    <n v="3"/>
    <n v="8"/>
    <n v="0.3"/>
    <n v="7.5"/>
    <n v="2"/>
    <n v="35"/>
    <n v="2"/>
    <n v="240"/>
    <n v="2"/>
    <n v="2"/>
    <n v="12"/>
  </r>
  <r>
    <n v="2158"/>
    <s v="RIVER GODAVARI AT U/S OF PAITHAN AT PAITHAN_x000a_INTAKE PUMP HOUSE, VILLAGE- JAYAKWADI, TALUKA-PAITHAN, DISTRICT- AURANGABAD."/>
    <x v="21"/>
    <n v="22"/>
    <n v="36"/>
    <n v="6"/>
    <n v="7.3"/>
    <n v="8.5"/>
    <n v="9"/>
    <n v="612"/>
    <n v="1273"/>
    <n v="2.4"/>
    <n v="7.5"/>
    <n v="0.3"/>
    <n v="1.45"/>
    <n v="2"/>
    <n v="17"/>
    <n v="2"/>
    <n v="47"/>
    <n v="2"/>
    <n v="2"/>
    <n v="9"/>
  </r>
  <r>
    <n v="1312"/>
    <s v="RIVER GODAVARI AT JAIKWADI DAM, VILLAGE-PAITHAN, TALUKA- PAITHAN, DISTRICT-AURANGABAD."/>
    <x v="21"/>
    <n v="22"/>
    <n v="36"/>
    <n v="5.8"/>
    <n v="7.2"/>
    <n v="8.1999999999999993"/>
    <n v="8.9"/>
    <n v="630"/>
    <n v="1250"/>
    <n v="2.4"/>
    <n v="6"/>
    <n v="0.3"/>
    <n v="1.36"/>
    <n v="2"/>
    <n v="9"/>
    <n v="2"/>
    <n v="47"/>
    <n v="2"/>
    <n v="2"/>
    <n v="7.1999999999999993"/>
  </r>
  <r>
    <n v="2159"/>
    <s v="RIVER GODAVARI AT D/S OF PAITHAN AT PATHEGAON_x000a_BRIDGE, VILLAGE- PATHEGAON, TALUKA- PAITHAN,_x000a_DISTRICT- AURANGABAD."/>
    <x v="21"/>
    <n v="22"/>
    <n v="36"/>
    <n v="6"/>
    <n v="7.3"/>
    <n v="8.5"/>
    <n v="9"/>
    <n v="652"/>
    <n v="1232"/>
    <n v="2.6"/>
    <n v="8.5"/>
    <n v="0.3"/>
    <n v="2.4700000000000002"/>
    <n v="2"/>
    <n v="14"/>
    <n v="2"/>
    <n v="140"/>
    <n v="2"/>
    <n v="2"/>
    <n v="11.05"/>
  </r>
  <r>
    <n v="2161"/>
    <s v="RIVER GODAVARI AT JALNA INTAKE WATER PUMP_x000a_HOUSE, VILLAGE- SHAHABAD, TALUKA- AMBAD,_x000a_DISTRICT- JALNA."/>
    <x v="21"/>
    <n v="23"/>
    <n v="30"/>
    <n v="3"/>
    <n v="7.1"/>
    <n v="8"/>
    <n v="8.6999999999999993"/>
    <n v="456"/>
    <n v="9153"/>
    <n v="3"/>
    <n v="12"/>
    <n v="0.45"/>
    <n v="7.12"/>
    <n v="2"/>
    <n v="25"/>
    <n v="2"/>
    <n v="170"/>
    <n v="2"/>
    <n v="2"/>
    <n v="18"/>
  </r>
  <r>
    <n v="2157"/>
    <s v="RIVER GODAVARI AT LATUR WATER INTAKE NEAR PUMP_x000a_HOUSE. VILLAGE. DHAMEGAON, TALUKA. KALUMB,_x000a_DISTRICT. OSMANABAD."/>
    <x v="21"/>
    <n v="19"/>
    <n v="23"/>
    <n v="4.0999999999999996"/>
    <n v="7.2"/>
    <n v="7.9"/>
    <n v="8"/>
    <n v="419"/>
    <n v="546"/>
    <n v="3"/>
    <n v="6"/>
    <n v="0.35"/>
    <n v="3.17"/>
    <n v="2"/>
    <n v="2"/>
    <n v="2"/>
    <n v="2"/>
    <n v="2"/>
    <n v="2"/>
    <n v="9"/>
  </r>
  <r>
    <n v="12"/>
    <s v="RIVER GODAVARI AT DHALEGAON, VILLAGE-DHALEGAON, TALUKA- PATHARI, DISTRICT- PARBHANI."/>
    <x v="21"/>
    <n v="18"/>
    <n v="24"/>
    <n v="2.9"/>
    <n v="7.4"/>
    <n v="7.4"/>
    <n v="8.8000000000000007"/>
    <n v="361"/>
    <n v="4548"/>
    <n v="2.4"/>
    <n v="11"/>
    <n v="0.41"/>
    <n v="3.48"/>
    <n v="2"/>
    <n v="26"/>
    <n v="2"/>
    <n v="280"/>
    <n v="2"/>
    <n v="2"/>
    <n v="13.2"/>
  </r>
  <r>
    <n v="1209"/>
    <s v="RIVER GODAVARI AT RAHER, VILLAGE.RAHER, TALUKA._x000a_NAYAGAON, DISTRICT. NANDED."/>
    <x v="21"/>
    <n v="18"/>
    <n v="34"/>
    <n v="5.5"/>
    <n v="7.2"/>
    <n v="8.1"/>
    <n v="8.6999999999999993"/>
    <n v="376"/>
    <n v="7952"/>
    <n v="2.6"/>
    <n v="6.5"/>
    <n v="0.31"/>
    <n v="4.32"/>
    <n v="2"/>
    <n v="33"/>
    <n v="2"/>
    <n v="170"/>
    <n v="2"/>
    <n v="2"/>
    <n v="8.4500000000000011"/>
  </r>
  <r>
    <n v="1210"/>
    <s v="RIVER GODAVARI NEAR INTAKE WATER PUMP HOUSE,_x000a_VILLAGE- VISHNUPURI, TALUKA- NANDED, DISTRICT-NANDED."/>
    <x v="21"/>
    <n v="19"/>
    <n v="35"/>
    <n v="6.4"/>
    <n v="7.2"/>
    <n v="8.1"/>
    <n v="8.6999999999999993"/>
    <n v="375"/>
    <n v="7229"/>
    <n v="2.8"/>
    <n v="5"/>
    <n v="0.3"/>
    <n v="16.100000000000001"/>
    <n v="2"/>
    <n v="22"/>
    <n v="2"/>
    <n v="170"/>
    <n v="2"/>
    <n v="2"/>
    <n v="7"/>
  </r>
  <r>
    <n v="30049"/>
    <s v="RIVER GODAVARI AT BELUR,DHARMADABAD, NANDED_x000a_(MAHARSHTRA)"/>
    <x v="21"/>
    <n v="21"/>
    <n v="21"/>
    <n v="5.3"/>
    <n v="5.3"/>
    <n v="8.3000000000000007"/>
    <n v="8.3000000000000007"/>
    <n v="530"/>
    <n v="530"/>
    <n v="4.8"/>
    <n v="4.8"/>
    <n v="1.17"/>
    <n v="1.17"/>
    <n v="25"/>
    <n v="25"/>
    <n v="275"/>
    <n v="275"/>
    <n v="7"/>
    <n v="7"/>
    <n v="11.52"/>
  </r>
  <r>
    <n v="2360"/>
    <s v="RIVER GODAVARI AT BASARA (V &amp; M), NIRMAL (D)"/>
    <x v="24"/>
    <n v="22"/>
    <n v="24"/>
    <n v="6.5"/>
    <n v="7.9"/>
    <n v="7.1"/>
    <n v="8.3000000000000007"/>
    <n v="574"/>
    <n v="1054"/>
    <n v="2"/>
    <n v="4.2"/>
    <n v="12.07"/>
    <n v="28.06"/>
    <n v="5"/>
    <n v="6"/>
    <n v="18"/>
    <n v="23"/>
    <n v="4"/>
    <n v="5"/>
    <n v="4.2"/>
  </r>
  <r>
    <n v="4227"/>
    <s v="RIVER GODAVARI- POCHERA WATER FALLS, POCHERA_x000a_(V), BOATH (M), ADILABAD (D)"/>
    <x v="24"/>
    <n v="20"/>
    <n v="27"/>
    <n v="6.2"/>
    <n v="7.8"/>
    <n v="7.1"/>
    <n v="8.4"/>
    <n v="406"/>
    <n v="913"/>
    <n v="2.8"/>
    <n v="4.2"/>
    <n v="10.06"/>
    <n v="26.08"/>
    <n v="6"/>
    <n v="6"/>
    <n v="17"/>
    <n v="25"/>
    <n v="2"/>
    <n v="6"/>
    <n v="5.88"/>
  </r>
  <r>
    <n v="5105"/>
    <s v="RIVER GODAVARI PUSHKAR GHAT , MANCHERIAL (V&amp;M),_x000a_MANCHERIAL (D)"/>
    <x v="24"/>
    <n v="22"/>
    <n v="25"/>
    <n v="6.1"/>
    <n v="7.5"/>
    <n v="7.2"/>
    <n v="8.3000000000000007"/>
    <n v="610"/>
    <n v="1225"/>
    <n v="2.6"/>
    <n v="4.2"/>
    <n v="11.07"/>
    <n v="36.15"/>
    <n v="6"/>
    <n v="6"/>
    <n v="20"/>
    <n v="27"/>
    <n v="3"/>
    <n v="4"/>
    <n v="5.4600000000000009"/>
  </r>
  <r>
    <n v="13"/>
    <s v="RIVER GODAVARI AT MANCHERIAL (V&amp;M),_x000a_MANCHERIAL(D)"/>
    <x v="24"/>
    <n v="25"/>
    <n v="27"/>
    <n v="0.3"/>
    <n v="6.2"/>
    <n v="7.4"/>
    <n v="8.1999999999999993"/>
    <n v="360"/>
    <n v="1309"/>
    <n v="1"/>
    <n v="8"/>
    <n v="0.72"/>
    <n v="4.4000000000000004"/>
    <n v="2"/>
    <n v="17"/>
    <n v="14"/>
    <n v="540"/>
    <n v="2"/>
    <n v="4"/>
    <n v="4"/>
  </r>
  <r>
    <n v="2361"/>
    <s v="RIVER GODAVARI-RIVER GODAVARI AT MANCHERIAL,_x000a_NEAR RAIL WAY BRIDGE B/C OF RALLAVAGU,_x000a_MANCHERIAL (D)"/>
    <x v="24"/>
    <n v="24"/>
    <n v="26"/>
    <n v="5.4"/>
    <n v="6.2"/>
    <n v="7.2"/>
    <n v="8.1999999999999993"/>
    <n v="364"/>
    <n v="1398"/>
    <n v="1"/>
    <n v="2.4"/>
    <n v="0.62"/>
    <n v="2.6"/>
    <n v="2"/>
    <n v="2"/>
    <n v="24"/>
    <n v="43"/>
    <n v="2"/>
    <n v="2"/>
    <n v="1.2"/>
  </r>
  <r>
    <n v="2362"/>
    <s v="RIVER GODAVARI-D/S AT RAMAGUNDAM NEAR FCI_x000a_INTAKE WELL, PEDDAPALLI"/>
    <x v="24"/>
    <n v="24"/>
    <n v="28"/>
    <n v="5.2"/>
    <n v="6.1"/>
    <n v="7.3"/>
    <n v="8.4"/>
    <n v="365"/>
    <n v="597"/>
    <n v="1"/>
    <n v="3.4"/>
    <n v="0.62"/>
    <n v="2.6"/>
    <n v="2"/>
    <n v="2"/>
    <n v="14"/>
    <n v="48"/>
    <n v="2"/>
    <n v="2"/>
    <n v="1.7"/>
  </r>
  <r>
    <n v="2363"/>
    <s v="RIVER GODAVARI AT GODAVARIKHANI NEAR BATHING_x000a_GHAT , PEDDAPALLI"/>
    <x v="24"/>
    <n v="25"/>
    <n v="26"/>
    <n v="4.8"/>
    <n v="6.1"/>
    <n v="7"/>
    <n v="8.1999999999999993"/>
    <n v="401"/>
    <n v="595"/>
    <n v="1.4"/>
    <n v="4"/>
    <n v="0.78"/>
    <n v="2.2000000000000002"/>
    <n v="2"/>
    <n v="2"/>
    <n v="21"/>
    <n v="40"/>
    <n v="2"/>
    <n v="2"/>
    <n v="2.8"/>
  </r>
  <r>
    <n v="2364"/>
    <s v="RIVER GODAVARI AT RAMAGUNDAM UPSTREAM NEAR_x000a_DAM, PEDDAPALLI"/>
    <x v="24"/>
    <n v="24.5"/>
    <n v="27"/>
    <n v="5"/>
    <n v="6.2"/>
    <n v="7.2"/>
    <n v="8.1999999999999993"/>
    <n v="380"/>
    <n v="744"/>
    <n v="1"/>
    <n v="4"/>
    <n v="0.42"/>
    <n v="2.4"/>
    <n v="2"/>
    <n v="2"/>
    <n v="24"/>
    <n v="58"/>
    <n v="2"/>
    <n v="2"/>
    <n v="2"/>
  </r>
  <r>
    <n v="5497"/>
    <s v="RIVER GODAVARI D/S AFTER CONFLUENCE OF_x000a_RAMAGUNDAM FERTILIZE AND CHEMICALS LTD_x000a_(RFCL),DISCHARGE INTO RIVER"/>
    <x v="24"/>
    <n v="25.8"/>
    <n v="28"/>
    <n v="2.8"/>
    <n v="6.2"/>
    <n v="6.7"/>
    <n v="7.8"/>
    <n v="424"/>
    <n v="1040"/>
    <n v="1"/>
    <n v="2.6"/>
    <n v="0.8"/>
    <n v="3.8"/>
    <n v="2"/>
    <n v="2"/>
    <n v="17"/>
    <n v="120"/>
    <n v="2"/>
    <n v="2"/>
    <n v="1.3"/>
  </r>
  <r>
    <n v="2356"/>
    <s v="RIVER GODAVARI D/S OF RAMAGUNDAM AT MANTHANI,_x000a_PEDDAPALLI"/>
    <x v="24"/>
    <n v="25"/>
    <n v="27"/>
    <n v="5"/>
    <n v="6.2"/>
    <n v="7.3"/>
    <n v="8.1"/>
    <n v="412"/>
    <n v="744"/>
    <n v="1"/>
    <n v="2.4"/>
    <n v="0.82"/>
    <n v="2.4"/>
    <n v="2"/>
    <n v="2"/>
    <n v="21"/>
    <n v="94"/>
    <n v="2"/>
    <n v="2"/>
    <n v="1.2"/>
  </r>
  <r>
    <n v="4662"/>
    <s v="RIVER GODAVARI AT KALESHWARAM, 500 MTS. BEFORE_x000a_BATHING GHAT, KALESHWARAM (V), MAHADEVPUR_x000a_(M),JAYASHANKAR BHUPALAPALLY"/>
    <x v="24"/>
    <n v="24"/>
    <n v="28"/>
    <n v="5.6"/>
    <n v="6.3"/>
    <n v="7"/>
    <n v="8.4"/>
    <n v="322"/>
    <n v="1128"/>
    <n v="1"/>
    <n v="4"/>
    <n v="0.3"/>
    <n v="4.5999999999999996"/>
    <n v="2"/>
    <n v="2"/>
    <n v="21"/>
    <n v="34"/>
    <n v="2"/>
    <n v="2"/>
    <n v="2"/>
  </r>
  <r>
    <n v="2365"/>
    <s v="RIVER GODAVARI - U/S AT KAMALAPUR ,AT M/S.AP_x000a_RAYONS LTD., INTAKE WELL , KAMALAPUR (V),_x000a_MANGAPET (M), MULUGU (D)"/>
    <x v="24"/>
    <n v="25"/>
    <n v="30"/>
    <n v="5.4"/>
    <n v="6.2"/>
    <n v="7.1"/>
    <n v="8.4"/>
    <n v="251"/>
    <n v="588"/>
    <n v="1"/>
    <n v="2"/>
    <n v="0.3"/>
    <n v="2.6"/>
    <n v="2"/>
    <n v="2"/>
    <n v="17"/>
    <n v="40"/>
    <n v="2"/>
    <n v="2"/>
    <n v="1"/>
  </r>
  <r>
    <n v="2366"/>
    <s v="RIVER GODAVARI - D/S AT KAMALAPUR ,AT M/S.AP_x000a_RAYONS LTD., DISCHARGE POINT , MANGAPET (V&amp;M),_x000a_MULUGU (D)"/>
    <x v="24"/>
    <n v="26"/>
    <n v="30"/>
    <n v="5.4"/>
    <n v="6.2"/>
    <n v="7"/>
    <n v="8.4"/>
    <n v="225"/>
    <n v="517"/>
    <n v="1"/>
    <n v="2.2000000000000002"/>
    <n v="0.3"/>
    <n v="3.2"/>
    <n v="2"/>
    <n v="2"/>
    <n v="20"/>
    <n v="58"/>
    <n v="2"/>
    <n v="2"/>
    <n v="1.1000000000000001"/>
  </r>
  <r>
    <n v="2367"/>
    <s v="RIVER GODAVARI - U/S AT BHADRACHALAM BATHING_x000a_GHAT, BHADRADRI KOTHAGUDEM"/>
    <x v="24"/>
    <n v="25"/>
    <n v="31.1"/>
    <n v="5"/>
    <n v="6.2"/>
    <n v="7.3"/>
    <n v="8.4"/>
    <n v="254"/>
    <n v="762"/>
    <n v="1"/>
    <n v="2.5"/>
    <n v="0.43"/>
    <n v="2.8"/>
    <n v="2"/>
    <n v="2"/>
    <n v="17"/>
    <n v="47"/>
    <n v="2"/>
    <n v="2"/>
    <n v="1.25"/>
  </r>
  <r>
    <n v="2368"/>
    <s v="RIVER GODAVARI - D/S AT BHADRACHALAM BATHING_x000a_GHAT , BHADRADRI KOTHAGUDEM"/>
    <x v="24"/>
    <n v="26"/>
    <n v="31"/>
    <n v="5.0999999999999996"/>
    <n v="6.1"/>
    <n v="7"/>
    <n v="8.1999999999999993"/>
    <n v="223"/>
    <n v="512"/>
    <n v="1.2"/>
    <n v="2.2000000000000002"/>
    <n v="0.55000000000000004"/>
    <n v="3.16"/>
    <n v="2"/>
    <n v="2"/>
    <n v="17"/>
    <n v="47"/>
    <n v="2"/>
    <n v="2"/>
    <n v="1.32"/>
  </r>
  <r>
    <n v="2369"/>
    <s v="RIVER GODAVARI AT BURGAMPAHAD , BHADRADRI_x000a_KOTHAGUDEM"/>
    <x v="24"/>
    <n v="24.8"/>
    <n v="31.3"/>
    <n v="4.8"/>
    <n v="6.2"/>
    <n v="7.1"/>
    <n v="8.1999999999999993"/>
    <n v="247"/>
    <n v="687"/>
    <n v="1"/>
    <n v="3.2"/>
    <n v="0.88"/>
    <n v="20.3"/>
    <n v="2"/>
    <n v="2"/>
    <n v="24"/>
    <n v="220"/>
    <n v="2"/>
    <n v="2"/>
    <n v="1.6"/>
  </r>
  <r>
    <n v="4367"/>
    <s v="RIVER GODAVARI KOUNDINYA MUKTHI (V), KUKUNUR_x000a_(M), BORDER POINT BETWEEN ANDHRA PRADESH &amp;_x000a_TELANGANA STATES"/>
    <x v="25"/>
    <n v="22"/>
    <n v="32"/>
    <n v="6.2"/>
    <n v="7.5"/>
    <n v="7.8"/>
    <n v="8.4"/>
    <n v="130"/>
    <n v="2133"/>
    <n v="1.1000000000000001"/>
    <n v="2.2000000000000002"/>
    <n v="0.32"/>
    <n v="2.3199999999999998"/>
    <n v="3"/>
    <n v="9"/>
    <n v="64"/>
    <n v="210"/>
    <n v="2"/>
    <n v="3"/>
    <n v="1.2100000000000002"/>
  </r>
  <r>
    <n v="4359"/>
    <s v="RIVER GODAVARI AFTER CONFLUENCE WITH SABARI_x000a_TRIBUTARY (KUNAVARAM) AT WADDIGUDEM(V) V.R._x000a_PURAM (M)"/>
    <x v="25"/>
    <n v="23"/>
    <n v="27"/>
    <n v="6.2"/>
    <n v="7.8"/>
    <n v="7.2"/>
    <n v="8.5"/>
    <n v="64"/>
    <n v="762"/>
    <n v="1.3"/>
    <n v="2.2999999999999998"/>
    <n v="0.32"/>
    <n v="1.06"/>
    <n v="2"/>
    <n v="9"/>
    <n v="21"/>
    <n v="120"/>
    <n v="2"/>
    <n v="2"/>
    <n v="1.4949999999999999"/>
  </r>
  <r>
    <n v="14"/>
    <s v="RIVER GODAVARI AT POLAVARAM (V &amp; M)"/>
    <x v="25"/>
    <n v="22"/>
    <n v="34"/>
    <n v="6"/>
    <n v="7.5"/>
    <n v="7.4"/>
    <n v="8.4"/>
    <n v="130"/>
    <n v="284"/>
    <n v="1.2"/>
    <n v="2.6"/>
    <n v="0.3"/>
    <n v="3.87"/>
    <n v="3"/>
    <n v="14"/>
    <n v="64"/>
    <n v="240"/>
    <n v="2"/>
    <n v="3"/>
    <n v="1.56"/>
  </r>
  <r>
    <n v="1218"/>
    <s v="RIVER GODAVARI AT RAJAHMUNDRY U/S,_x000a_KUMARADEVAM (V), KOVVUR (M)"/>
    <x v="25"/>
    <n v="25"/>
    <n v="32"/>
    <n v="6.9"/>
    <n v="7.6"/>
    <n v="6.6"/>
    <n v="8.3000000000000007"/>
    <n v="155"/>
    <n v="630"/>
    <n v="1.6"/>
    <n v="2.2000000000000002"/>
    <n v="0.3"/>
    <n v="1.82"/>
    <n v="4"/>
    <n v="9"/>
    <n v="75"/>
    <n v="150"/>
    <n v="2"/>
    <n v="3"/>
    <n v="1.7600000000000002"/>
  </r>
  <r>
    <n v="2370"/>
    <s v="RIVER GODAVARI AT RAJAMUNDRY U/S OF NALLA_x000a_CHANNEL,RAJAMUNDRY"/>
    <x v="25"/>
    <n v="25"/>
    <n v="27"/>
    <n v="6.7"/>
    <n v="7.5"/>
    <n v="6.3"/>
    <n v="8.3000000000000007"/>
    <n v="180"/>
    <n v="361"/>
    <n v="1.8"/>
    <n v="2.4"/>
    <n v="0.3"/>
    <n v="2.64"/>
    <n v="3"/>
    <n v="11"/>
    <n v="75"/>
    <n v="210"/>
    <n v="2"/>
    <n v="3"/>
    <n v="2.16"/>
  </r>
  <r>
    <n v="2371"/>
    <s v="RIVER GODAVARI AT RAJAMUNDRY D/S OF NALLA_x000a_CHANNEL, RAJAMUNDRY"/>
    <x v="25"/>
    <n v="25"/>
    <n v="27"/>
    <n v="6.1"/>
    <n v="7.2"/>
    <n v="6.4"/>
    <n v="8.4"/>
    <n v="141"/>
    <n v="296"/>
    <n v="2"/>
    <n v="2.4"/>
    <n v="0.32"/>
    <n v="2.4300000000000002"/>
    <n v="4"/>
    <n v="20"/>
    <n v="150"/>
    <n v="240"/>
    <n v="2"/>
    <n v="3"/>
    <n v="2.4"/>
  </r>
  <r>
    <n v="3067"/>
    <s v="RIVER GODAVARI D/S DOWLEISWARAM AFTER_x000a_CONFLUENCE OF STP OUTLET, DOWLEISWARAM (V)"/>
    <x v="25"/>
    <n v="26"/>
    <n v="28"/>
    <n v="6.4"/>
    <n v="7.4"/>
    <n v="6.5"/>
    <n v="8.4"/>
    <n v="129"/>
    <n v="297"/>
    <n v="1.8"/>
    <n v="2.4"/>
    <n v="0.32"/>
    <n v="2.42"/>
    <n v="4"/>
    <n v="15"/>
    <n v="39"/>
    <n v="240"/>
    <n v="2"/>
    <n v="3"/>
    <n v="2.16"/>
  </r>
  <r>
    <n v="1219"/>
    <s v="RIVER GODAVARI AT RAJAHMUNDRY D/S,_x000a_DOWLESWARAM (V), RAJAHMUNDRY (M)"/>
    <x v="25"/>
    <n v="25"/>
    <n v="29"/>
    <n v="6.4"/>
    <n v="7.4"/>
    <n v="6.6"/>
    <n v="8.5"/>
    <n v="125"/>
    <n v="285"/>
    <n v="2"/>
    <n v="2.4"/>
    <n v="0.32"/>
    <n v="1.02"/>
    <n v="4"/>
    <n v="15"/>
    <n v="93"/>
    <n v="460"/>
    <n v="2"/>
    <n v="3"/>
    <n v="2.4"/>
  </r>
  <r>
    <n v="3948"/>
    <s v="RIVER INDRAVATI AT NAWARANGPUR"/>
    <x v="22"/>
    <n v="13"/>
    <n v="30"/>
    <n v="4.5"/>
    <n v="8.1999999999999993"/>
    <n v="6.7"/>
    <n v="7.8"/>
    <n v="90"/>
    <n v="192"/>
    <n v="1.1000000000000001"/>
    <n v="1.8"/>
    <n v="0.32"/>
    <n v="3.77"/>
    <n v="78"/>
    <n v="13000"/>
    <n v="490"/>
    <n v="28000"/>
    <m/>
    <m/>
    <n v="0.9900000000000001"/>
  </r>
  <r>
    <n v="30062"/>
    <s v="RIVER INDRAWATI AT NOWRANGPUR (ODISHA)"/>
    <x v="22"/>
    <n v="26"/>
    <n v="30"/>
    <n v="7.5"/>
    <n v="7.6"/>
    <n v="7"/>
    <n v="7"/>
    <n v="102"/>
    <n v="110"/>
    <n v="1"/>
    <n v="1"/>
    <n v="0.32"/>
    <n v="0.32"/>
    <n v="1300"/>
    <n v="1300"/>
    <n v="2200"/>
    <n v="2200"/>
    <n v="20"/>
    <n v="20"/>
    <n v="0.5"/>
  </r>
  <r>
    <n v="3312"/>
    <s v="RIVER KANHAN AT CHINDWARA BEFORE MIXING_x000a_BOREGAON GROWTHCENTRE NALLA, JABALPUR"/>
    <x v="10"/>
    <n v="20"/>
    <n v="31"/>
    <n v="7.1"/>
    <n v="7.2"/>
    <n v="7.4"/>
    <n v="8.1999999999999993"/>
    <n v="611"/>
    <n v="816"/>
    <n v="1.8"/>
    <n v="2.2000000000000002"/>
    <n v="1.6"/>
    <n v="2.44"/>
    <n v="3"/>
    <n v="4"/>
    <n v="15"/>
    <n v="39"/>
    <m/>
    <m/>
    <n v="1.9800000000000002"/>
  </r>
  <r>
    <n v="5537"/>
    <s v="RIVER KANHAN NEAR MANDIR MAIN GHAT_x000a_KHAPPADIWAR, CHHINDWARA"/>
    <x v="10"/>
    <n v="19"/>
    <n v="31"/>
    <n v="7.1"/>
    <n v="7.8"/>
    <n v="7.1"/>
    <n v="8.1"/>
    <n v="288"/>
    <n v="816"/>
    <n v="1"/>
    <n v="2.2000000000000002"/>
    <n v="0"/>
    <n v="3.38"/>
    <n v="2"/>
    <n v="7"/>
    <n v="10"/>
    <n v="120"/>
    <m/>
    <m/>
    <n v="1.1000000000000001"/>
  </r>
  <r>
    <n v="2170"/>
    <s v="RIVER KANHAN AT U/S OF M/S VIDARBHA PAPER MILLS,_x000a_VILLAGE- SINORA, TALUKA- PARSEONI, DISTRICT-NAGPUR."/>
    <x v="21"/>
    <n v="19"/>
    <n v="30"/>
    <n v="5.4"/>
    <n v="6.8"/>
    <n v="7.2"/>
    <n v="8.6"/>
    <n v="906"/>
    <n v="1411"/>
    <n v="3"/>
    <n v="3.5"/>
    <n v="0.3"/>
    <n v="2.73"/>
    <n v="14"/>
    <n v="43"/>
    <n v="110"/>
    <n v="350"/>
    <n v="2"/>
    <n v="2"/>
    <n v="5.25"/>
  </r>
  <r>
    <n v="2171"/>
    <s v="RIVER KANHAN AT D/S OF M/S VIDARBHA PAPER MILLS,_x000a_VILLAGE- SINORA, TALUKA- PARSEONI, DISTRICT-NAGPUR."/>
    <x v="21"/>
    <n v="19"/>
    <n v="30"/>
    <n v="5.0999999999999996"/>
    <n v="6.6"/>
    <n v="7.6"/>
    <n v="8.6"/>
    <n v="819"/>
    <n v="1316"/>
    <n v="3"/>
    <n v="4"/>
    <n v="0.3"/>
    <n v="2.98"/>
    <n v="11"/>
    <n v="48"/>
    <n v="140"/>
    <n v="430"/>
    <n v="2"/>
    <n v="2"/>
    <n v="6"/>
  </r>
  <r>
    <n v="1909"/>
    <s v="RIVER KANHAN AT D/S OF NAGPUR, VILLAGE-AGARGAON, TALUKA- KUHI, DISTRICT- NAGPUR."/>
    <x v="21"/>
    <n v="16"/>
    <n v="21"/>
    <n v="2"/>
    <n v="6.2"/>
    <n v="7.5"/>
    <n v="8.4"/>
    <n v="730"/>
    <n v="1756"/>
    <n v="3"/>
    <n v="9.8000000000000007"/>
    <n v="0.3"/>
    <n v="2.93"/>
    <n v="14"/>
    <n v="43"/>
    <n v="110"/>
    <n v="280"/>
    <n v="2"/>
    <n v="2"/>
    <n v="14.700000000000001"/>
  </r>
  <r>
    <n v="3080"/>
    <s v="RIVER KINNERASANI (TRIBUTRARY OF GODAVARI) - U/S_x000a_OF KARAKAVAGU AT PALONCHA , BHADRADRI_x000a_KOTHAGUDEM"/>
    <x v="24"/>
    <n v="24"/>
    <n v="28.6"/>
    <n v="5"/>
    <n v="6.2"/>
    <n v="7.2"/>
    <n v="8.3000000000000007"/>
    <n v="412"/>
    <n v="835"/>
    <n v="1"/>
    <n v="2.2000000000000002"/>
    <n v="0.3"/>
    <n v="2.4"/>
    <n v="2"/>
    <n v="2"/>
    <n v="24"/>
    <n v="39"/>
    <n v="2"/>
    <n v="2"/>
    <n v="1.1000000000000001"/>
  </r>
  <r>
    <n v="3081"/>
    <s v="RIVER KINNERASANI (TRIBUTRARY OF GODAVARI) - D/S_x000a_OF KARAKAVAGU AT PALONCHA, BHADRADRI_x000a_KOTHAGUDEM"/>
    <x v="24"/>
    <n v="25.8"/>
    <n v="29.1"/>
    <n v="4.5999999999999996"/>
    <n v="6.1"/>
    <n v="7.5"/>
    <n v="8.1999999999999993"/>
    <n v="408"/>
    <n v="596"/>
    <n v="1"/>
    <n v="2.4"/>
    <n v="0.3"/>
    <n v="2.8"/>
    <n v="2"/>
    <n v="2"/>
    <n v="20"/>
    <n v="39"/>
    <n v="2"/>
    <n v="2"/>
    <n v="1.2"/>
  </r>
  <r>
    <n v="2372"/>
    <s v="RIVER KINNERASANI (TRIBUTRARY OF GODAVARI) -KINNERASANI AFTER CONFLUENCE OF KTPS ASH POND_x000a_EFFLUENTS ,BHADRADRI KOTHAGUDEM"/>
    <x v="24"/>
    <n v="25"/>
    <n v="29.1"/>
    <n v="4.8"/>
    <n v="6.2"/>
    <n v="7.5"/>
    <n v="8.1999999999999993"/>
    <n v="179"/>
    <n v="612"/>
    <n v="1"/>
    <n v="2.8"/>
    <n v="0.78"/>
    <n v="2.5"/>
    <n v="2"/>
    <n v="2"/>
    <n v="17"/>
    <n v="120"/>
    <n v="2"/>
    <n v="2"/>
    <n v="1.4"/>
  </r>
  <r>
    <n v="1908"/>
    <s v="RIVER KOLAR BEFORE CONFLUENCE WITH KANHAN_x000a_RIVER AT WAREGAON BRIDGE, VILLAGE- WAREGAON,_x000a_TALUKA-KAMPTEE, DISTRICT -NAGPUR."/>
    <x v="21"/>
    <n v="19"/>
    <n v="30"/>
    <n v="5.0999999999999996"/>
    <n v="6.8"/>
    <n v="7.2"/>
    <n v="8.6999999999999993"/>
    <n v="870"/>
    <n v="1740"/>
    <n v="3"/>
    <n v="4"/>
    <n v="0.3"/>
    <n v="2.9"/>
    <n v="11"/>
    <n v="40"/>
    <n v="110"/>
    <n v="220"/>
    <n v="2"/>
    <n v="2"/>
    <n v="6"/>
  </r>
  <r>
    <n v="4257"/>
    <s v="RIVER MANERU (TRIBUTARY OF GODAVARI) - AT D/S OF_x000a_MUNICIPAL DUMP SITE, KARIMNAGAR"/>
    <x v="24"/>
    <n v="26"/>
    <n v="27"/>
    <n v="0.3"/>
    <n v="5.9"/>
    <n v="6.9"/>
    <n v="8.4"/>
    <n v="438"/>
    <n v="2143"/>
    <n v="1.8"/>
    <n v="13"/>
    <n v="1.1200000000000001"/>
    <n v="6.6"/>
    <n v="2"/>
    <n v="24"/>
    <n v="32"/>
    <n v="430"/>
    <n v="2"/>
    <n v="4"/>
    <n v="11.700000000000001"/>
  </r>
  <r>
    <n v="4664"/>
    <s v="RIVER MANERU (TRIBUTARY OF GODAVARI) - AT_x000a_GHATTEPALLI (V) NEAR SULTHANABAD, KARIMNAGAR"/>
    <x v="24"/>
    <n v="25"/>
    <n v="26"/>
    <n v="4"/>
    <n v="6"/>
    <n v="6.9"/>
    <n v="8.1"/>
    <n v="424"/>
    <n v="872"/>
    <n v="1.6"/>
    <n v="3.8"/>
    <n v="2.2000000000000002"/>
    <n v="3.28"/>
    <n v="2"/>
    <n v="2"/>
    <n v="27"/>
    <n v="84"/>
    <n v="2"/>
    <n v="2"/>
    <n v="3.04"/>
  </r>
  <r>
    <n v="1158"/>
    <s v="RIVER MANERU (TRIBUTARY OF GODAVARI) - AT_x000a_SOMANPALLY , PEDDAPALLI"/>
    <x v="24"/>
    <n v="25"/>
    <n v="27"/>
    <n v="5.2"/>
    <n v="6.2"/>
    <n v="6.6"/>
    <n v="8.4"/>
    <n v="436"/>
    <n v="811"/>
    <n v="1"/>
    <n v="2.9"/>
    <n v="0.57999999999999996"/>
    <n v="3.24"/>
    <n v="2"/>
    <n v="2"/>
    <n v="21"/>
    <n v="70"/>
    <n v="2"/>
    <n v="2"/>
    <n v="1.45"/>
  </r>
  <r>
    <n v="1891"/>
    <s v="RIVER MANJEERA AT D/S INTAKE POINT TO BIDAR CITY"/>
    <x v="26"/>
    <n v="24"/>
    <n v="30"/>
    <n v="6.9"/>
    <n v="7.9"/>
    <n v="7.4"/>
    <n v="8.3000000000000007"/>
    <n v="390"/>
    <n v="582"/>
    <n v="2"/>
    <n v="3"/>
    <n v="0.57999999999999996"/>
    <n v="4"/>
    <n v="33"/>
    <n v="540"/>
    <n v="140"/>
    <n v="2800"/>
    <m/>
    <m/>
    <n v="3"/>
  </r>
  <r>
    <n v="1157"/>
    <s v="RIVER MANJEERA (TRIBUTARY OF GODAVARI) - AT_x000a_RAIPALLY, SANGAREEDY"/>
    <x v="24"/>
    <n v="22"/>
    <n v="34"/>
    <n v="6.1"/>
    <n v="7.6"/>
    <n v="7.5"/>
    <n v="8.4"/>
    <n v="575"/>
    <n v="676"/>
    <n v="2.1"/>
    <n v="3.3"/>
    <n v="6.02"/>
    <n v="28.04"/>
    <n v="4"/>
    <n v="6"/>
    <n v="27"/>
    <n v="39"/>
    <n v="4"/>
    <n v="5"/>
    <n v="3.4649999999999999"/>
  </r>
  <r>
    <n v="1781"/>
    <s v="RIVER MANJEERA (TRIBUTARY OF GODAVARI) - AT_x000a_GANAPATHI SUGARS, SANGAREDDY"/>
    <x v="24"/>
    <n v="20"/>
    <n v="29"/>
    <n v="5.8"/>
    <n v="6.6"/>
    <n v="7"/>
    <n v="8.3000000000000007"/>
    <n v="605"/>
    <n v="758"/>
    <n v="2"/>
    <n v="3.2"/>
    <n v="5.03"/>
    <n v="123"/>
    <n v="8"/>
    <n v="8"/>
    <n v="39"/>
    <n v="52"/>
    <n v="4"/>
    <n v="6"/>
    <n v="3.2"/>
  </r>
  <r>
    <n v="2374"/>
    <s v="RIVER MANJEERA (TRIBUTARY OF GODAVARI) - U/S OF_x000a_RIVER MANJEERA AT GOWDICHERLA BEFORE_x000a_CONFLUENCE WITH NAKKAVAGU, SANGAREDY"/>
    <x v="24"/>
    <n v="19"/>
    <n v="27"/>
    <n v="5.9"/>
    <n v="6.9"/>
    <n v="7.1"/>
    <n v="7.9"/>
    <n v="850"/>
    <n v="1020"/>
    <n v="2"/>
    <n v="3.2"/>
    <n v="10.06"/>
    <n v="29.04"/>
    <n v="7"/>
    <n v="8"/>
    <n v="27"/>
    <n v="34"/>
    <n v="6"/>
    <n v="6"/>
    <n v="3.2"/>
  </r>
  <r>
    <n v="2375"/>
    <s v="RIVER MANJEERA (TRIBUTARY OF GODAVARI) - D/S OF_x000a_RIVER MANJEERA AT GOWDICHERLA ATFTER_x000a_CONFLUENCE WITH NAKKAVAGU, SANGAREDDY"/>
    <x v="24"/>
    <n v="19"/>
    <n v="28"/>
    <n v="5.9"/>
    <n v="7"/>
    <n v="7.2"/>
    <n v="7.8"/>
    <n v="1203"/>
    <n v="1489"/>
    <n v="2.2999999999999998"/>
    <n v="3.9"/>
    <n v="14.13"/>
    <n v="26.12"/>
    <n v="6"/>
    <n v="7"/>
    <n v="34"/>
    <n v="41"/>
    <n v="4"/>
    <n v="5"/>
    <n v="4.4849999999999994"/>
  </r>
  <r>
    <n v="4226"/>
    <s v="RIVER MANJEERA (TRIBUTARY OF GODAVARI) - RIVER_x000a_MANJEERA AT YEDU PAYALA TEMPLE, NAGSAMPALLI_x000a_(V), PAPANNAPET (M), MEDAK DISTRICT"/>
    <x v="24"/>
    <n v="16"/>
    <n v="28"/>
    <n v="6.2"/>
    <n v="7.3"/>
    <n v="7.1"/>
    <n v="8.3000000000000007"/>
    <n v="592"/>
    <n v="1195"/>
    <n v="2.2000000000000002"/>
    <n v="4"/>
    <n v="9.16"/>
    <n v="41.13"/>
    <n v="4"/>
    <n v="6"/>
    <n v="18"/>
    <n v="84"/>
    <n v="2"/>
    <n v="2"/>
    <n v="4.4000000000000004"/>
  </r>
  <r>
    <n v="2673"/>
    <s v="RIVER MANJRA AT D/S OF LATUR, NEAR LATUR-NANDED BRIDGE, VILLAGE- BHATKHEDA, TALUKA-LATUR, DISTRICT- LATUR."/>
    <x v="21"/>
    <n v="18"/>
    <n v="20"/>
    <n v="6"/>
    <n v="6.5"/>
    <n v="8"/>
    <n v="8.5"/>
    <n v="641"/>
    <n v="792"/>
    <n v="5.2"/>
    <n v="5.2"/>
    <n v="0.59"/>
    <n v="0.62"/>
    <n v="2"/>
    <n v="2"/>
    <n v="5"/>
    <n v="32"/>
    <n v="2"/>
    <n v="5"/>
    <n v="13.520000000000001"/>
  </r>
  <r>
    <n v="30055"/>
    <s v="RIVER MANJEERA AT JANWADA(BANGALORE)"/>
    <x v="26"/>
    <n v="24"/>
    <n v="28"/>
    <n v="7.7"/>
    <n v="9.3000000000000007"/>
    <n v="8.4"/>
    <n v="8.5"/>
    <n v="461"/>
    <n v="604"/>
    <n v="1"/>
    <n v="7"/>
    <n v="0"/>
    <n v="4.8"/>
    <n v="470"/>
    <n v="1400"/>
    <n v="3500"/>
    <n v="7000"/>
    <m/>
    <m/>
    <n v="3.5"/>
  </r>
  <r>
    <n v="2675"/>
    <s v="RIVER MORNA D/S OF RAILWAY BRIDGE AKOLA"/>
    <x v="21"/>
    <n v="23"/>
    <n v="27"/>
    <n v="3.1"/>
    <n v="5.9"/>
    <n v="7.4"/>
    <n v="8.3000000000000007"/>
    <n v="891"/>
    <n v="1989"/>
    <n v="3"/>
    <n v="5.8"/>
    <n v="0.32"/>
    <n v="9.43"/>
    <n v="12"/>
    <n v="48"/>
    <n v="120"/>
    <n v="210"/>
    <n v="2"/>
    <n v="2"/>
    <n v="8.6999999999999993"/>
  </r>
  <r>
    <n v="2349"/>
    <s v="RIVER MANJEERA (TRIBUTARY OF GODAVARI) - NAKKA_x000a_VAGU AT BACHUGUDEM, SANGAREEDY"/>
    <x v="24"/>
    <n v="18"/>
    <n v="21"/>
    <n v="4.2"/>
    <n v="5.4"/>
    <n v="6.8"/>
    <n v="7.3"/>
    <n v="1206"/>
    <n v="1555"/>
    <n v="3.5"/>
    <n v="4.8"/>
    <n v="20.12"/>
    <n v="40.130000000000003"/>
    <n v="8"/>
    <n v="8"/>
    <n v="79"/>
    <n v="94"/>
    <n v="7"/>
    <n v="8"/>
    <n v="8.4"/>
  </r>
  <r>
    <n v="1214"/>
    <s v="RIVER PENCH AT CHHINDWARA ,NEAR SINGORI ROAD_x000a_BRIDGE, CHHINDWARA"/>
    <x v="10"/>
    <n v="19"/>
    <n v="30"/>
    <n v="7.1"/>
    <n v="7.7"/>
    <n v="7.2"/>
    <n v="8.1"/>
    <n v="264"/>
    <n v="716"/>
    <n v="1.4"/>
    <n v="2"/>
    <n v="0.47"/>
    <n v="5.04"/>
    <n v="2"/>
    <n v="10"/>
    <n v="15"/>
    <n v="120"/>
    <m/>
    <m/>
    <n v="1.4"/>
  </r>
  <r>
    <n v="5541"/>
    <s v="RIVER PENCHÂ NEAR ROAD BRIDGE_x000a_HALLAKHURD,CHHINDWARA"/>
    <x v="10"/>
    <n v="19"/>
    <n v="31"/>
    <n v="7.1"/>
    <n v="7.8"/>
    <n v="7.1"/>
    <n v="8.1"/>
    <n v="322"/>
    <n v="716"/>
    <n v="1"/>
    <n v="2"/>
    <n v="0"/>
    <n v="5.0999999999999996"/>
    <n v="2"/>
    <n v="7"/>
    <n v="15"/>
    <n v="120"/>
    <m/>
    <m/>
    <n v="1"/>
  </r>
  <r>
    <n v="2699"/>
    <s v="RIVER PENGANGA AT MEHKAR -BULDANA ROAD_x000a_BRIDGE, VILLAGE-MEHKAR, TALUKA-MEHKAR,DISTRICT-AKOLA."/>
    <x v="21"/>
    <n v="23"/>
    <n v="28"/>
    <n v="5.2"/>
    <n v="6.1"/>
    <n v="7.8"/>
    <n v="8.4"/>
    <n v="780"/>
    <n v="1214"/>
    <n v="3"/>
    <n v="4"/>
    <n v="0.32"/>
    <n v="7.08"/>
    <n v="12"/>
    <n v="41"/>
    <n v="110"/>
    <n v="170"/>
    <n v="2"/>
    <n v="2"/>
    <n v="6"/>
  </r>
  <r>
    <n v="2698"/>
    <s v="RIVER PENGANGA D/S OF ISAPUR DAM, VILLAGE-ISAPUR,TALUKA- PUSAD, DISTRICT- YAVATMAL."/>
    <x v="21"/>
    <n v="19"/>
    <n v="23"/>
    <n v="5.6"/>
    <n v="5.9"/>
    <n v="7.7"/>
    <n v="8.6999999999999993"/>
    <n v="665"/>
    <n v="1226"/>
    <n v="3.2"/>
    <n v="3.8"/>
    <n v="0.3"/>
    <n v="3.75"/>
    <n v="12"/>
    <n v="46"/>
    <n v="110"/>
    <n v="220"/>
    <n v="2"/>
    <n v="2"/>
    <n v="6.08"/>
  </r>
  <r>
    <n v="2697"/>
    <s v="RIVER PENGANGA NEAR WATER SUPPLY SCHEME OF_x000a_UMARKHED M.C., VILLAGE. BELKHED, TALUKA._x000a_UMARKHED, DISTRICT. YAVATMAL."/>
    <x v="21"/>
    <n v="20"/>
    <n v="22"/>
    <n v="5.7"/>
    <n v="6.2"/>
    <n v="7.8"/>
    <n v="8.6999999999999993"/>
    <n v="650"/>
    <n v="1146"/>
    <n v="3"/>
    <n v="3.6"/>
    <n v="0.3"/>
    <n v="3.57"/>
    <n v="12"/>
    <n v="40"/>
    <n v="94"/>
    <n v="210"/>
    <n v="2"/>
    <n v="2"/>
    <n v="5.4"/>
  </r>
  <r>
    <n v="2373"/>
    <s v="RIVER SABARI AT KUNAVARAM, EAST GODAVARI DIST"/>
    <x v="25"/>
    <n v="23"/>
    <n v="28"/>
    <n v="6"/>
    <n v="7.6"/>
    <n v="7.4"/>
    <n v="8.5"/>
    <n v="70"/>
    <n v="1178"/>
    <n v="1.2"/>
    <n v="2.9"/>
    <n v="0.32"/>
    <n v="2.02"/>
    <n v="2"/>
    <n v="7"/>
    <n v="28"/>
    <n v="93"/>
    <n v="2"/>
    <n v="3"/>
    <n v="1.74"/>
  </r>
  <r>
    <n v="3330"/>
    <s v="RIVER RIVER WAINGANGA AT CHHAPARA , SEONI, NEAR_x000a_WSS INTAKE POINT"/>
    <x v="10"/>
    <n v="20.3"/>
    <n v="24.1"/>
    <n v="6.9"/>
    <n v="7.8"/>
    <n v="7.2"/>
    <n v="7.9"/>
    <n v="238"/>
    <n v="368"/>
    <n v="1.2"/>
    <n v="1.6"/>
    <n v="0.19"/>
    <n v="1.6"/>
    <n v="2"/>
    <n v="7"/>
    <n v="23"/>
    <n v="48"/>
    <m/>
    <m/>
    <n v="0.96"/>
  </r>
  <r>
    <n v="3331"/>
    <s v="RIVER WAINGANGA AT CHHAPARA, NEAR ROAD BRIDGE_x000a_AFTER MIXING_x000a_MOTI &amp; CHAMARIYA NALLA, JABALPUR"/>
    <x v="10"/>
    <n v="20.7"/>
    <n v="24.2"/>
    <n v="5.4"/>
    <n v="7.8"/>
    <n v="7.1"/>
    <n v="7.9"/>
    <n v="257"/>
    <n v="421"/>
    <n v="1.6"/>
    <n v="2.4"/>
    <n v="0.23"/>
    <n v="1.34"/>
    <n v="2"/>
    <n v="10"/>
    <n v="39"/>
    <n v="150"/>
    <m/>
    <m/>
    <n v="1.92"/>
  </r>
  <r>
    <n v="1213"/>
    <s v="RIVER WAINGANGA AT BALAGHAT, M.P."/>
    <x v="10"/>
    <n v="20.2"/>
    <n v="24.2"/>
    <n v="7.2"/>
    <n v="7.7"/>
    <n v="7.2"/>
    <n v="7.8"/>
    <n v="270"/>
    <n v="519"/>
    <n v="1.6"/>
    <n v="1.9"/>
    <n v="0.03"/>
    <n v="1.6"/>
    <n v="2"/>
    <n v="17"/>
    <n v="15"/>
    <n v="170"/>
    <m/>
    <m/>
    <n v="1.52"/>
  </r>
  <r>
    <n v="30041"/>
    <s v="RIVER WAINGANGA AT BAPERA, BHANDARA,_x000a_(MAHARASHTRA)"/>
    <x v="21"/>
    <n v="21"/>
    <n v="21"/>
    <n v="6"/>
    <n v="6"/>
    <n v="8.6"/>
    <n v="8.6"/>
    <n v="736"/>
    <n v="736"/>
    <n v="3"/>
    <n v="3"/>
    <n v="0.68"/>
    <n v="0.68"/>
    <n v="22"/>
    <n v="22"/>
    <n v="120"/>
    <n v="120"/>
    <n v="2"/>
    <n v="2"/>
    <n v="4.5"/>
  </r>
  <r>
    <n v="2173"/>
    <s v="RIVER WAINGANGA AT U/S OF ELLORA PAPER MILLS,_x000a_VILLAGE. TUMSAR, TALUKA. TUMSAR, DISTRICT._x000a_BHANDARA."/>
    <x v="21"/>
    <n v="18"/>
    <n v="39"/>
    <n v="6"/>
    <n v="6.7"/>
    <n v="7.7"/>
    <n v="8.6999999999999993"/>
    <n v="667"/>
    <n v="1210"/>
    <n v="3"/>
    <n v="3.2"/>
    <n v="0.3"/>
    <n v="2.87"/>
    <n v="12"/>
    <n v="42"/>
    <n v="120"/>
    <n v="280"/>
    <n v="2"/>
    <n v="2"/>
    <n v="4.8000000000000007"/>
  </r>
  <r>
    <n v="2172"/>
    <s v="RIVER WAINGANGA AT D/S OF ELLORA PAPER MILLS,_x000a_VILLAGE. TUMSAR, TALUKA. TUMSAR, DISTRICT._x000a_BHANDARA."/>
    <x v="21"/>
    <n v="18"/>
    <n v="39"/>
    <n v="5.5"/>
    <n v="6.8"/>
    <n v="7.8"/>
    <n v="8.8000000000000007"/>
    <n v="739"/>
    <n v="1290"/>
    <n v="3"/>
    <n v="3.5"/>
    <n v="0.3"/>
    <n v="1.1200000000000001"/>
    <n v="24"/>
    <n v="43"/>
    <n v="210"/>
    <n v="430"/>
    <n v="2"/>
    <n v="2"/>
    <n v="5.25"/>
  </r>
  <r>
    <n v="2175"/>
    <s v="RIVER WAINGANGA AT U/S OF GAURAV PAPER MILLS,_x000a_NEAR JACKWELL, VILLAGE. BRAMHPURI, TALUKA._x000a_CHANDRAPUR, DISTRICT. CHANDRAPUR."/>
    <x v="21"/>
    <n v="19"/>
    <n v="22"/>
    <n v="5.7"/>
    <n v="7"/>
    <n v="7.9"/>
    <n v="8.8000000000000007"/>
    <n v="654"/>
    <n v="1230"/>
    <n v="3"/>
    <n v="3.4"/>
    <n v="0.3"/>
    <n v="3.24"/>
    <n v="11"/>
    <n v="43"/>
    <n v="170"/>
    <n v="350"/>
    <n v="2"/>
    <n v="2"/>
    <n v="5.0999999999999996"/>
  </r>
  <r>
    <n v="2176"/>
    <s v="RIVER WAINGANGA AT D/S OF GAURAV PAPER MILLS,_x000a_NEAR JACKWELL VILLAGE. BRAMHPURI, TALUKA._x000a_CHANDRAPUR, DISTRICT. CHANDRAPUR."/>
    <x v="21"/>
    <n v="19"/>
    <n v="22"/>
    <n v="5.5"/>
    <n v="6.7"/>
    <n v="7.8"/>
    <n v="8.8000000000000007"/>
    <n v="549"/>
    <n v="1375"/>
    <n v="3.2"/>
    <n v="4.5"/>
    <n v="0.3"/>
    <n v="3.22"/>
    <n v="17"/>
    <n v="47"/>
    <n v="110"/>
    <n v="430"/>
    <n v="2"/>
    <n v="2"/>
    <n v="7.2"/>
  </r>
  <r>
    <n v="1910"/>
    <s v="RIVER WAINGANGA AFTER CONFLUENCE WITH_x000a_KANHAN RIVER, VILLAGE- AMBHORA,TALUKA- KUHI,_x000a_DISTRICT- NAGPUR."/>
    <x v="21"/>
    <n v="16"/>
    <n v="21"/>
    <n v="3.9"/>
    <n v="6.1"/>
    <n v="7.6"/>
    <n v="9"/>
    <n v="789"/>
    <n v="1126"/>
    <n v="3.1"/>
    <n v="5"/>
    <n v="0.3"/>
    <n v="1.1399999999999999"/>
    <n v="12"/>
    <n v="38"/>
    <n v="110"/>
    <n v="280"/>
    <n v="2"/>
    <n v="2"/>
    <n v="7.75"/>
  </r>
  <r>
    <n v="11"/>
    <s v="RIVER WAINGANGA AT ASHTI, VILLAGE. ASHTI, TALUKA._x000a_GONDPIPRI, DISTRICT.CHANDRAPUR."/>
    <x v="21"/>
    <n v="19"/>
    <n v="23"/>
    <n v="2.5"/>
    <n v="6.1"/>
    <n v="7.9"/>
    <n v="8.8000000000000007"/>
    <n v="674"/>
    <n v="1251"/>
    <n v="3.2"/>
    <n v="8.4"/>
    <n v="0.3"/>
    <n v="3.24"/>
    <n v="14"/>
    <n v="34"/>
    <n v="94"/>
    <n v="220"/>
    <n v="2"/>
    <n v="2"/>
    <n v="13.440000000000001"/>
  </r>
  <r>
    <n v="30059"/>
    <s v="RIVER WARDHA AT VILLAGE BANGAON NEAR_x000a_PANDHURNA (MP &amp; MAHARASHTRA)"/>
    <x v="10"/>
    <n v="26"/>
    <n v="31"/>
    <n v="8"/>
    <n v="8.4"/>
    <n v="8.1"/>
    <n v="8.3000000000000007"/>
    <n v="266"/>
    <n v="394"/>
    <n v="1.2"/>
    <n v="2.1"/>
    <n v="0.48"/>
    <n v="0.5"/>
    <n v="2"/>
    <n v="2"/>
    <n v="63"/>
    <n v="100"/>
    <n v="2"/>
    <n v="2"/>
    <n v="1.26"/>
  </r>
  <r>
    <n v="1315"/>
    <s v="RIVER WARDHA AT PULGAON RAILWAY BRIDGE,_x000a_VILLAGE- PULGAON,TALUKA - WARDHA, DISTRICT-WARDHA."/>
    <x v="21"/>
    <n v="16"/>
    <n v="18"/>
    <n v="5.8"/>
    <n v="6.7"/>
    <n v="7.9"/>
    <n v="8.8000000000000007"/>
    <n v="762"/>
    <n v="1080"/>
    <n v="3"/>
    <n v="3.6"/>
    <n v="0.3"/>
    <n v="2.87"/>
    <n v="24"/>
    <n v="43"/>
    <n v="110"/>
    <n v="220"/>
    <n v="2"/>
    <n v="2"/>
    <n v="5.4"/>
  </r>
  <r>
    <n v="2721"/>
    <s v="RIVER WARDHA AT U/S OF ACC LTD. GHUGGUS NEAR_x000a_WCL PUMP HOUSE, VILLAGE- GHUGGUS, TALUKA-CHANDRAPUR, DISTRICT- CHANDRAPUR."/>
    <x v="21"/>
    <n v="19"/>
    <n v="20"/>
    <n v="5.8"/>
    <n v="6.6"/>
    <n v="7.8"/>
    <n v="8.6999999999999993"/>
    <n v="892"/>
    <n v="5473"/>
    <n v="3"/>
    <n v="3.2"/>
    <n v="0.3"/>
    <n v="3.01"/>
    <n v="6"/>
    <n v="41"/>
    <n v="130"/>
    <n v="350"/>
    <n v="2"/>
    <n v="2"/>
    <n v="4.8000000000000007"/>
  </r>
  <r>
    <n v="2174"/>
    <s v="RIVER WARDHA AT D/S OF ACC LTD. GHUGGUS NEAR_x000a_WCL PUMP HOUSE, VILLAGE- GHUGGUS, TALUKA-CHANDRAPUR, DISTRICT- CHANDRAPUR."/>
    <x v="21"/>
    <n v="19"/>
    <n v="20"/>
    <n v="5.2"/>
    <n v="6.1"/>
    <n v="7.8"/>
    <n v="8.8000000000000007"/>
    <n v="549"/>
    <n v="1370"/>
    <n v="3"/>
    <n v="4.5999999999999996"/>
    <n v="0.3"/>
    <n v="3.33"/>
    <n v="11"/>
    <n v="40"/>
    <n v="120"/>
    <n v="430"/>
    <n v="2"/>
    <n v="2"/>
    <n v="6.8999999999999995"/>
  </r>
  <r>
    <n v="2156"/>
    <s v="RIVER WARDHA AT CONFLUENCE POINT OF PENGANGA_x000a_&amp; WARDHA. VILLAGE. JUGAD, TALUKA. WANI, DISTRICT._x000a_YAVATMAL."/>
    <x v="21"/>
    <n v="19"/>
    <n v="20"/>
    <n v="5.3"/>
    <n v="6"/>
    <n v="7.8"/>
    <n v="8.6999999999999993"/>
    <n v="750"/>
    <n v="1210"/>
    <n v="3"/>
    <n v="4"/>
    <n v="0.3"/>
    <n v="4.07"/>
    <n v="12"/>
    <n v="38"/>
    <n v="110"/>
    <n v="280"/>
    <n v="2"/>
    <n v="2"/>
    <n v="6"/>
  </r>
  <r>
    <n v="2720"/>
    <s v="RIVER WARDHA AT U/S OF ERAI RIVER AT HADASTI_x000a_NEAR ARUN ENGG. WORKS, VILLAGE- HADASTI,_x000a_TALUKA- CHANDRAPUR, DISTRICT- CHANDRAPUR."/>
    <x v="21"/>
    <n v="19"/>
    <n v="23"/>
    <n v="5.6"/>
    <n v="6.5"/>
    <n v="7.9"/>
    <n v="8.8000000000000007"/>
    <n v="698"/>
    <n v="1290"/>
    <n v="3"/>
    <n v="3.9"/>
    <n v="0.3"/>
    <n v="3.18"/>
    <n v="13"/>
    <n v="41"/>
    <n v="110"/>
    <n v="350"/>
    <n v="2"/>
    <n v="2"/>
    <n v="5.85"/>
  </r>
  <r>
    <n v="2719"/>
    <s v="RIVER WARDHA AT D/S OF ERAI RIVER AT HADASTI_x000a_NEAR ARUN ENGG. WORKS, VILLAGE- HADASTI,_x000a_TALUKA- CHANDRAPUR, DISTRICT- CHANDRAPUR."/>
    <x v="21"/>
    <n v="19"/>
    <n v="23"/>
    <n v="5.4"/>
    <n v="6.2"/>
    <n v="7.7"/>
    <n v="8.8000000000000007"/>
    <n v="722"/>
    <n v="1390"/>
    <n v="3.2"/>
    <n v="4.2"/>
    <n v="0.3"/>
    <n v="3.22"/>
    <n v="20"/>
    <n v="47"/>
    <n v="170"/>
    <n v="430"/>
    <n v="2"/>
    <n v="2"/>
    <n v="6.7200000000000006"/>
  </r>
  <r>
    <n v="1212"/>
    <s v="RIVER WARDHA AT RAJURA BRIDGE, VILLAGE- RAJURA,_x000a_TALUKA- CHANDRAPUR, DISTRICT- CHANDRAPUR."/>
    <x v="21"/>
    <n v="19"/>
    <n v="23"/>
    <n v="5.2"/>
    <n v="6.5"/>
    <n v="7.9"/>
    <n v="8.6999999999999993"/>
    <n v="660"/>
    <n v="1162"/>
    <n v="3"/>
    <n v="3.8"/>
    <n v="0.3"/>
    <n v="3.31"/>
    <n v="14"/>
    <n v="43"/>
    <n v="120"/>
    <n v="280"/>
    <n v="2"/>
    <n v="2"/>
    <n v="5.6999999999999993"/>
  </r>
  <r>
    <n v="2722"/>
    <s v="RIVER WENA AT U/S OF MOHATA MILLS, NEAR RAILWAY_x000a_BRIDGE ON WARDHA, CHANDRAPUR RAILWAY LINE,_x000a_VILLAGE- HINGANGHAT, TALUKA- HINGANGHAT,_x000a_DISTRICT- WARDHA."/>
    <x v="21"/>
    <n v="16"/>
    <n v="20"/>
    <n v="5.8"/>
    <n v="6.8"/>
    <n v="8.1"/>
    <n v="8.8000000000000007"/>
    <n v="936"/>
    <n v="1142"/>
    <n v="3"/>
    <n v="3.4"/>
    <n v="0.3"/>
    <n v="3.36"/>
    <n v="17"/>
    <n v="43"/>
    <n v="210"/>
    <n v="350"/>
    <n v="2"/>
    <n v="2"/>
    <n v="5.0999999999999996"/>
  </r>
  <r>
    <n v="2723"/>
    <s v="RIVER WENA AT D/S OF MOHATA MILLS, NEAR BRIDGE_x000a_ON HINGANGHAT- WADNER ROAD, VILLAGE-HINGANGHAT, TALUKA- HINGANGHAT, DISTRICT-WARDHA."/>
    <x v="21"/>
    <n v="16"/>
    <n v="20"/>
    <n v="5.0999999999999996"/>
    <n v="6.7"/>
    <n v="8"/>
    <n v="8.8000000000000007"/>
    <n v="976"/>
    <n v="1236"/>
    <n v="3"/>
    <n v="3.8"/>
    <n v="0.3"/>
    <n v="2.89"/>
    <n v="20"/>
    <n v="48"/>
    <n v="280"/>
    <n v="540"/>
    <n v="2"/>
    <n v="2"/>
    <n v="5.6999999999999993"/>
  </r>
  <r>
    <n v="1194"/>
    <s v="RIVER KRISHNA AT DHOM DAM, VILLAGE- WAI, TALUKA-MAHABALESHWAR, DISTRICT-SATARA."/>
    <x v="21"/>
    <n v="22"/>
    <n v="30"/>
    <n v="0.3"/>
    <n v="6.6"/>
    <n v="2"/>
    <n v="8"/>
    <n v="5"/>
    <n v="137"/>
    <n v="1"/>
    <n v="3"/>
    <n v="0.3"/>
    <n v="1.65"/>
    <n v="2"/>
    <n v="20"/>
    <n v="2"/>
    <n v="250"/>
    <n v="2"/>
    <n v="14"/>
    <n v="1.5"/>
  </r>
  <r>
    <n v="2190"/>
    <s v="RIEVR KRISHNA AT GANPATI GHAT, WAI, VILLAGE-WAI,TALUKA- WAI,DISTRICT- SATARA."/>
    <x v="21"/>
    <n v="25"/>
    <n v="31"/>
    <n v="5.0999999999999996"/>
    <n v="6.3"/>
    <n v="7.4"/>
    <n v="8.1999999999999993"/>
    <n v="230"/>
    <n v="3504"/>
    <n v="2.8"/>
    <n v="5.8"/>
    <n v="0.3"/>
    <n v="1.56"/>
    <n v="8"/>
    <n v="30"/>
    <n v="85"/>
    <n v="250"/>
    <n v="2"/>
    <n v="14"/>
    <n v="8.1199999999999992"/>
  </r>
  <r>
    <n v="2187"/>
    <s v="RIVER KRISHNA AT KSHETRA MAHULI, VILLAGE-KSHETRA-MAHULI,TALUKA- MAHULI, DISTRICT- SATARA."/>
    <x v="21"/>
    <n v="23"/>
    <n v="29"/>
    <n v="5.0999999999999996"/>
    <n v="6.3"/>
    <n v="7.9"/>
    <n v="8.5"/>
    <n v="342"/>
    <n v="620"/>
    <n v="2.5"/>
    <n v="5.4"/>
    <n v="0.3"/>
    <n v="3.62"/>
    <n v="9"/>
    <n v="110"/>
    <n v="170"/>
    <n v="425"/>
    <n v="4"/>
    <n v="20"/>
    <n v="6.75"/>
  </r>
  <r>
    <n v="2188"/>
    <s v="RIVER KRISHNA AT KRISHNA- VENNA SANGAM MAHULI ,_x000a_VILLAGE- MAHULI,TALUKA- MAHULI, DISTRICT- SATARA."/>
    <x v="21"/>
    <n v="25"/>
    <n v="30"/>
    <n v="4.7"/>
    <n v="6.4"/>
    <n v="7.1"/>
    <n v="8.1999999999999993"/>
    <n v="293"/>
    <n v="4553"/>
    <n v="3"/>
    <n v="8.4"/>
    <n v="0.3"/>
    <n v="2.88"/>
    <n v="9"/>
    <n v="45"/>
    <n v="150"/>
    <n v="425"/>
    <n v="4"/>
    <n v="17"/>
    <n v="12.600000000000001"/>
  </r>
  <r>
    <n v="36"/>
    <s v="RIVER KRISHNA AT OLD KRISHNA BRIDGE, KARAD_x000a_STATION ROAD , KARAD, TALUKA- KARAD, DISTRICT-SATARA."/>
    <x v="21"/>
    <n v="25"/>
    <n v="31.5"/>
    <n v="5.3"/>
    <n v="6.2"/>
    <n v="7.5"/>
    <n v="8.1"/>
    <n v="82"/>
    <n v="2086"/>
    <n v="2.8"/>
    <n v="5.2"/>
    <n v="0.3"/>
    <n v="1.74"/>
    <n v="8"/>
    <n v="30"/>
    <n v="140"/>
    <n v="250"/>
    <n v="4"/>
    <n v="14"/>
    <n v="7.2799999999999994"/>
  </r>
  <r>
    <n v="1906"/>
    <s v="RIVER KRISHNA AT WALWA, D/S OF ISLAMPUR NEAR_x000a_VITHAL TEMPLE, VILLAGE- WALWA, TALUKA- WALWA,_x000a_DISTRICT- SANGLI."/>
    <x v="21"/>
    <n v="26"/>
    <n v="30"/>
    <n v="5.8"/>
    <n v="7.8"/>
    <n v="7.7"/>
    <n v="8.6999999999999993"/>
    <n v="50"/>
    <n v="4273"/>
    <n v="1.8"/>
    <n v="3"/>
    <n v="0.42"/>
    <n v="3.77"/>
    <n v="5"/>
    <n v="10"/>
    <n v="20"/>
    <n v="48"/>
    <n v="2"/>
    <n v="2"/>
    <n v="2.7"/>
  </r>
  <r>
    <n v="37"/>
    <s v="RIVER KRISHNA AT MAIGHAT, VILLAGE- GAWALI GALLY,_x000a_TALUKA- MIRAJ, DISTRICT- SANGLI."/>
    <x v="21"/>
    <n v="8.1"/>
    <n v="28"/>
    <n v="5.2"/>
    <n v="7.8"/>
    <n v="7.4"/>
    <n v="8.6999999999999993"/>
    <n v="221"/>
    <n v="4394"/>
    <n v="1.8"/>
    <n v="4"/>
    <n v="0.32"/>
    <n v="2.56"/>
    <n v="6"/>
    <n v="10"/>
    <n v="17"/>
    <n v="38"/>
    <n v="2"/>
    <n v="2"/>
    <n v="3.6"/>
  </r>
  <r>
    <n v="30047"/>
    <s v="RIVER KRISHNA AT KURUNDWAD, KOLHAPUR,_x000a_(MAHARASHTRA)"/>
    <x v="21"/>
    <n v="22"/>
    <n v="22"/>
    <n v="5.0999999999999996"/>
    <n v="5.0999999999999996"/>
    <n v="8.1"/>
    <n v="8.1"/>
    <n v="659"/>
    <n v="659"/>
    <n v="5.8"/>
    <n v="5.8"/>
    <n v="1.67"/>
    <n v="1.67"/>
    <n v="17"/>
    <n v="17"/>
    <n v="250"/>
    <n v="250"/>
    <n v="7"/>
    <n v="7"/>
    <n v="16.82"/>
  </r>
  <r>
    <n v="1310"/>
    <s v="RIVER KRISHNA AT KURUNDWAD NEAR SANTAJI_x000a_GHORPADE GHAT, VILLAGE.NARSHINGWADI,_x000a_KURUNDWAD, TALUKA. SHIROL, DISTRICT. KOLHAPUR."/>
    <x v="21"/>
    <n v="24"/>
    <n v="28"/>
    <n v="5.3"/>
    <n v="7.7"/>
    <n v="7.7"/>
    <n v="8.6"/>
    <n v="156"/>
    <n v="735"/>
    <n v="1.8"/>
    <n v="3"/>
    <n v="0.49"/>
    <n v="4.5199999999999996"/>
    <n v="6"/>
    <n v="10"/>
    <n v="24"/>
    <n v="40"/>
    <n v="2"/>
    <n v="2"/>
    <n v="2.7"/>
  </r>
  <r>
    <n v="1153"/>
    <s v="RIVER KRISHNA AT RAJAPUR WEIR, VILLAGE. RAJAPUR,_x000a_TALUKA. SHIROL, DISTRICT. KOLHAPUR."/>
    <x v="21"/>
    <n v="24"/>
    <n v="28"/>
    <n v="5.3"/>
    <n v="7.6"/>
    <n v="7.6"/>
    <n v="8.6"/>
    <n v="157"/>
    <n v="1016"/>
    <n v="1.8"/>
    <n v="3"/>
    <n v="0.57999999999999996"/>
    <n v="3.6"/>
    <n v="6"/>
    <n v="9"/>
    <n v="21"/>
    <n v="46"/>
    <n v="2"/>
    <n v="2"/>
    <n v="2.7"/>
  </r>
  <r>
    <n v="1889"/>
    <s v="RIVER KRISHNA - ANKALI BRIDGE ALONG CHIKKODI_x000a_KAGWAD ROAD"/>
    <x v="26"/>
    <n v="24"/>
    <n v="31"/>
    <n v="6.3"/>
    <n v="8.5"/>
    <n v="6.3"/>
    <n v="9"/>
    <n v="274"/>
    <n v="956"/>
    <n v="1"/>
    <n v="3.9"/>
    <n v="5.61"/>
    <n v="23"/>
    <n v="350"/>
    <n v="920"/>
    <n v="920"/>
    <n v="1600"/>
    <n v="220"/>
    <n v="540"/>
    <n v="1.95"/>
  </r>
  <r>
    <n v="1182"/>
    <s v="RIVER KRISHNA AT U/S OF UGARKHURD BARRAGE"/>
    <x v="26"/>
    <n v="25"/>
    <n v="32"/>
    <n v="6.5"/>
    <n v="8.1"/>
    <n v="6.2"/>
    <n v="8.9"/>
    <n v="210"/>
    <n v="960"/>
    <n v="1"/>
    <n v="3.5"/>
    <n v="5.9"/>
    <n v="19.260000000000002"/>
    <n v="540"/>
    <n v="920"/>
    <n v="920"/>
    <n v="1600"/>
    <n v="240"/>
    <n v="540"/>
    <n v="1.75"/>
  </r>
  <r>
    <n v="2763"/>
    <s v="RIVER KRISHNA AT ASANGI VILLAGE (JAMAKANDI_x000a_VILLAGE)"/>
    <x v="26"/>
    <n v="18"/>
    <n v="21"/>
    <n v="5.9"/>
    <n v="11.7"/>
    <n v="6.3"/>
    <n v="8.8000000000000007"/>
    <n v="260"/>
    <n v="2080"/>
    <n v="1.2"/>
    <n v="17"/>
    <n v="1.36"/>
    <n v="32.35"/>
    <n v="350"/>
    <n v="920"/>
    <n v="920"/>
    <n v="1600"/>
    <n v="170"/>
    <n v="540"/>
    <n v="10.199999999999999"/>
  </r>
  <r>
    <n v="5597"/>
    <s v="RIVER KRISHNA AT ALMATTI DAM HAVELI , OLD_x000a_JACKWELL POINT, BAGALKOTE"/>
    <x v="26"/>
    <n v="18"/>
    <n v="21"/>
    <n v="6.4"/>
    <n v="11.8"/>
    <n v="8"/>
    <n v="8.5"/>
    <n v="396"/>
    <n v="948"/>
    <n v="1.1000000000000001"/>
    <n v="2.9"/>
    <n v="2.41"/>
    <n v="24.94"/>
    <n v="540"/>
    <n v="920"/>
    <n v="1600"/>
    <n v="1600"/>
    <n v="240"/>
    <n v="540"/>
    <n v="1.595"/>
  </r>
  <r>
    <n v="2781"/>
    <s v="RIVER KRISHNA AT D/S OF ALAMATTI DAM"/>
    <x v="26"/>
    <n v="28"/>
    <n v="32"/>
    <n v="5.6"/>
    <n v="8.6999999999999993"/>
    <n v="7"/>
    <n v="8.8000000000000007"/>
    <n v="280"/>
    <n v="1378"/>
    <n v="1"/>
    <n v="4.8"/>
    <n v="2"/>
    <n v="17.22"/>
    <n v="350"/>
    <n v="920"/>
    <n v="920"/>
    <n v="1600"/>
    <n v="240"/>
    <n v="540"/>
    <n v="2.4"/>
  </r>
  <r>
    <n v="1181"/>
    <s v="RIVER KRISHNA AT D/S OF NARAYANPURA DAM"/>
    <x v="26"/>
    <n v="28"/>
    <n v="32"/>
    <n v="6.3"/>
    <n v="8.6"/>
    <n v="7"/>
    <n v="8.8000000000000007"/>
    <n v="272"/>
    <n v="1388"/>
    <n v="1"/>
    <n v="4.3"/>
    <n v="1.1200000000000001"/>
    <n v="10.6"/>
    <n v="280"/>
    <n v="1840"/>
    <n v="920"/>
    <n v="3200"/>
    <n v="130"/>
    <n v="1080"/>
    <n v="2.15"/>
  </r>
  <r>
    <n v="1028"/>
    <s v="RIVER KRISHNA AT TINTINI BRIDGE"/>
    <x v="26"/>
    <n v="27"/>
    <n v="32"/>
    <n v="6.7"/>
    <n v="8"/>
    <n v="8.1999999999999993"/>
    <n v="8.6999999999999993"/>
    <n v="685"/>
    <n v="1961"/>
    <n v="2"/>
    <n v="3.2"/>
    <n v="0.5"/>
    <n v="3.6"/>
    <n v="170"/>
    <n v="460"/>
    <n v="920"/>
    <n v="2700"/>
    <m/>
    <m/>
    <n v="3.2"/>
  </r>
  <r>
    <n v="30056"/>
    <s v="RIVER KRISHNA AT DEODURGA (BANGALORE)"/>
    <x v="26"/>
    <n v="25"/>
    <n v="28"/>
    <n v="6.4"/>
    <n v="13.2"/>
    <n v="7.9"/>
    <n v="8.6999999999999993"/>
    <n v="1104"/>
    <n v="2060"/>
    <n v="1"/>
    <n v="1"/>
    <n v="0"/>
    <n v="1.42"/>
    <n v="79"/>
    <n v="2800"/>
    <n v="350"/>
    <n v="16000"/>
    <m/>
    <m/>
    <n v="0.5"/>
  </r>
  <r>
    <n v="1784"/>
    <s v="RIVER KRISHNA AT THANGADI, THANGADI(V),_x000a_KRISHNA(M), NARAYANAPET(D)"/>
    <x v="24"/>
    <n v="25"/>
    <n v="28.2"/>
    <n v="5.2"/>
    <n v="6.2"/>
    <n v="7.4"/>
    <n v="8.3000000000000007"/>
    <n v="312"/>
    <n v="1293"/>
    <n v="1.2"/>
    <n v="2.8"/>
    <n v="0.3"/>
    <n v="6"/>
    <n v="2"/>
    <n v="2"/>
    <n v="13"/>
    <n v="58"/>
    <n v="2"/>
    <n v="2"/>
    <n v="1.68"/>
  </r>
  <r>
    <n v="1170"/>
    <s v="RIVER KRISHNA AT D/S OF DEVASAGAR BDG."/>
    <x v="26"/>
    <n v="24"/>
    <n v="32"/>
    <n v="6.5"/>
    <n v="8.5"/>
    <n v="8.1"/>
    <n v="8.6"/>
    <n v="894"/>
    <n v="1750"/>
    <n v="2.2000000000000002"/>
    <n v="3.5"/>
    <n v="0.45"/>
    <n v="9.68"/>
    <n v="220"/>
    <n v="580"/>
    <n v="920"/>
    <n v="2800"/>
    <m/>
    <m/>
    <n v="3.8500000000000005"/>
  </r>
  <r>
    <n v="39"/>
    <s v="RIVER KRISHNA AT GADWAL BRIDGE,NADHI_x000a_AGRAHARAM, GADWAL(MUNCI.), JOGULAMBA_x000a_GADWAL(D)"/>
    <x v="24"/>
    <n v="24"/>
    <n v="28.4"/>
    <n v="5.0999999999999996"/>
    <n v="6.2"/>
    <n v="7.3"/>
    <n v="8.4"/>
    <n v="344"/>
    <n v="1792"/>
    <n v="1.2"/>
    <n v="3.6"/>
    <n v="0.4"/>
    <n v="6"/>
    <n v="2"/>
    <n v="2"/>
    <n v="21"/>
    <n v="70"/>
    <n v="2"/>
    <n v="2"/>
    <n v="2.16"/>
  </r>
  <r>
    <n v="4225"/>
    <s v="RIVER KRISHNA AT JOGULAMBA TEMPLE,_x000a_ALAMPUR(V&amp;M), JOGULAMBA GADWAL(D)"/>
    <x v="24"/>
    <n v="25"/>
    <n v="28.9"/>
    <n v="4.4000000000000004"/>
    <n v="6.2"/>
    <n v="7"/>
    <n v="8.3000000000000007"/>
    <n v="512"/>
    <n v="1692"/>
    <n v="1.4"/>
    <n v="3.2"/>
    <n v="0.4"/>
    <n v="12"/>
    <n v="2"/>
    <n v="10"/>
    <n v="21"/>
    <n v="170"/>
    <n v="2"/>
    <n v="2"/>
    <n v="2.2399999999999998"/>
  </r>
  <r>
    <n v="1175"/>
    <s v="RIVER KRISHNA A/C WITH TUNGABHADRA,_x000a_SANGAMESHWARAM (V), KOTTAPALLE (M)"/>
    <x v="25"/>
    <n v="20"/>
    <n v="28"/>
    <n v="5.3"/>
    <n v="6.2"/>
    <n v="6.9"/>
    <n v="8.1999999999999993"/>
    <n v="531"/>
    <n v="1714"/>
    <n v="1"/>
    <n v="2"/>
    <n v="0.35"/>
    <n v="0.94"/>
    <n v="102"/>
    <n v="303"/>
    <n v="549"/>
    <n v="1046"/>
    <m/>
    <m/>
    <n v="1"/>
  </r>
  <r>
    <n v="3083"/>
    <s v="RIVER KRISHNA D/S OF SRISHAILAM, SRISHAILAM"/>
    <x v="25"/>
    <n v="19"/>
    <n v="29"/>
    <n v="5.3"/>
    <n v="6.2"/>
    <n v="6.9"/>
    <n v="8"/>
    <n v="580"/>
    <n v="842"/>
    <n v="1"/>
    <n v="1.7"/>
    <n v="0.34"/>
    <n v="1.31"/>
    <n v="152"/>
    <n v="343"/>
    <n v="479"/>
    <n v="921"/>
    <m/>
    <m/>
    <n v="0.85"/>
  </r>
  <r>
    <n v="5108"/>
    <s v="RIVER KRISHNA BEFORE CONFLUENCE OF RIVER MUSI_x000a_AT WADAPALLY (V), DAMARACHARLA (M), NALGONDA_x000a_(D)"/>
    <x v="24"/>
    <n v="17"/>
    <n v="24"/>
    <n v="6.2"/>
    <n v="7.6"/>
    <n v="6.8"/>
    <n v="8.4"/>
    <n v="852"/>
    <n v="1281"/>
    <n v="2.2000000000000002"/>
    <n v="3.4"/>
    <n v="14.12"/>
    <n v="35.15"/>
    <n v="6"/>
    <n v="6"/>
    <n v="33"/>
    <n v="41"/>
    <n v="4"/>
    <n v="5"/>
    <n v="3.74"/>
  </r>
  <r>
    <n v="1465"/>
    <s v="RIVER KRISHNA - CONFLUENCE OF RIVER KRISHNA &amp;_x000a_RIVER MUSI AT WADAPALLY (V), DAMARCHARLA (M),_x000a_NALGONDA DISTRICT"/>
    <x v="24"/>
    <n v="17"/>
    <n v="25"/>
    <n v="5.4"/>
    <n v="7.2"/>
    <n v="7.2"/>
    <n v="8.6"/>
    <n v="1010"/>
    <n v="1311"/>
    <n v="2.1"/>
    <n v="4.0999999999999996"/>
    <n v="15.22"/>
    <n v="35.229999999999997"/>
    <n v="8"/>
    <n v="9"/>
    <n v="27"/>
    <n v="39"/>
    <n v="6"/>
    <n v="6"/>
    <n v="4.3049999999999997"/>
  </r>
  <r>
    <n v="4381"/>
    <s v="RIVER KRISHNA AFTER CONFLUENCE WITH RIVER MUSI_x000a_AT VADAPALLI (V), DACHEPALLI (M) BETWEEN ANDHRA_x000a_PRADESH &amp; TELANGANA STATES"/>
    <x v="25"/>
    <n v="23"/>
    <n v="25"/>
    <n v="6.9"/>
    <n v="7.6"/>
    <n v="7.2"/>
    <n v="8.1"/>
    <n v="621"/>
    <n v="998"/>
    <n v="2.6"/>
    <n v="2.9"/>
    <n v="1.27"/>
    <n v="1.86"/>
    <n v="4"/>
    <n v="39"/>
    <n v="43"/>
    <n v="470"/>
    <n v="2"/>
    <n v="3"/>
    <n v="3.77"/>
  </r>
  <r>
    <n v="5109"/>
    <s v="RIVER KRISHNA AFTER CONFLUENCE OF RIVER MUSI_x000a_AT WADAPALLY (V), DAMARACHARLA (M), NALGONDA(D)"/>
    <x v="24"/>
    <n v="18"/>
    <n v="25"/>
    <n v="6"/>
    <n v="7.9"/>
    <n v="7.3"/>
    <n v="8.4"/>
    <n v="926"/>
    <n v="1296"/>
    <n v="2.2000000000000002"/>
    <n v="16"/>
    <n v="15.15"/>
    <n v="41.13"/>
    <n v="6"/>
    <n v="6"/>
    <n v="33"/>
    <n v="43"/>
    <n v="4"/>
    <n v="4"/>
    <n v="17.600000000000001"/>
  </r>
  <r>
    <n v="4663"/>
    <s v="RIVER KRISHNA AT MATTEPALLY, 500 MTS. BEFORE_x000a_BATHING GHAT, SURYAPET"/>
    <x v="24"/>
    <n v="18"/>
    <n v="24"/>
    <n v="5.9"/>
    <n v="7.2"/>
    <n v="7"/>
    <n v="8.5"/>
    <n v="834"/>
    <n v="1319"/>
    <n v="2.2000000000000002"/>
    <n v="3.9"/>
    <n v="16.16"/>
    <n v="44.27"/>
    <n v="6"/>
    <n v="7"/>
    <n v="34"/>
    <n v="43"/>
    <n v="4"/>
    <n v="5"/>
    <n v="4.29"/>
  </r>
  <r>
    <n v="5110"/>
    <s v="RIVER KRISHNA AT PULICHINTALA RESERVOIR AT_x000a_CHINTHALAPALEM (V&amp;M), SURYAPET (D)"/>
    <x v="24"/>
    <n v="19"/>
    <n v="24"/>
    <n v="5.8"/>
    <n v="7"/>
    <n v="7"/>
    <n v="8.6"/>
    <n v="862"/>
    <n v="1357"/>
    <n v="2"/>
    <n v="3"/>
    <n v="8.16"/>
    <n v="33.17"/>
    <n v="4"/>
    <n v="5"/>
    <n v="31"/>
    <n v="41"/>
    <n v="2"/>
    <n v="2"/>
    <n v="3"/>
  </r>
  <r>
    <n v="1786"/>
    <s v="RIVER KRISHNA AT VEDADRI (V), JAGGAYYAPETA (M)"/>
    <x v="25"/>
    <n v="25"/>
    <n v="27"/>
    <n v="7.1"/>
    <n v="7.7"/>
    <n v="7.2"/>
    <n v="8.1999999999999993"/>
    <n v="772"/>
    <n v="950"/>
    <n v="2.4"/>
    <n v="2.8"/>
    <n v="1.05"/>
    <n v="1.76"/>
    <n v="4"/>
    <n v="28"/>
    <n v="64"/>
    <n v="470"/>
    <n v="2"/>
    <n v="4"/>
    <n v="3.36"/>
  </r>
  <r>
    <n v="1787"/>
    <s v="RIVER KRISHNA AT AMARAVATI, AMARAVATI (V &amp; M)"/>
    <x v="25"/>
    <n v="22"/>
    <n v="25"/>
    <n v="6.9"/>
    <n v="7.7"/>
    <n v="7.3"/>
    <n v="8.1"/>
    <n v="664"/>
    <n v="882"/>
    <n v="2.2999999999999998"/>
    <n v="2.9"/>
    <n v="1.05"/>
    <n v="1.65"/>
    <n v="7"/>
    <n v="39"/>
    <n v="75"/>
    <n v="460"/>
    <n v="2"/>
    <n v="4"/>
    <n v="3.3349999999999995"/>
  </r>
  <r>
    <n v="4375"/>
    <s v="RIVER KRISHNA, PAVITHRA SANGAMAM, AFTER_x000a_CONFLUENCE WITH RIVER GODAVARI WATER, FERRY_x000a_(V), IBRAHIMPATNAM (M)"/>
    <x v="25"/>
    <n v="24"/>
    <n v="25"/>
    <n v="7.1"/>
    <n v="7.6"/>
    <n v="7.2"/>
    <n v="8.1"/>
    <n v="406"/>
    <n v="830"/>
    <n v="2.2000000000000002"/>
    <n v="2.8"/>
    <n v="0.86"/>
    <n v="1.64"/>
    <n v="4"/>
    <n v="14"/>
    <n v="43"/>
    <n v="470"/>
    <n v="2"/>
    <n v="3"/>
    <n v="3.08"/>
  </r>
  <r>
    <n v="25"/>
    <s v="RIVER KRISHNA AT VIJAYWADA TOWN"/>
    <x v="25"/>
    <n v="24"/>
    <n v="24"/>
    <n v="7.1"/>
    <n v="7.8"/>
    <n v="7.2"/>
    <n v="8.1"/>
    <n v="520"/>
    <n v="788"/>
    <n v="2.4"/>
    <n v="2.8"/>
    <n v="0.64"/>
    <n v="1.26"/>
    <n v="4"/>
    <n v="15"/>
    <n v="64"/>
    <n v="470"/>
    <n v="2"/>
    <n v="3"/>
    <n v="3.36"/>
  </r>
  <r>
    <n v="3079"/>
    <s v="WITH TREATED SEWAGE DISCHARGING FROM 10MLD"/>
    <x v="27"/>
    <n v="25"/>
    <n v="25"/>
    <n v="7.2"/>
    <n v="7.2"/>
    <n v="7.8"/>
    <n v="7.8"/>
    <n v="796"/>
    <n v="796"/>
    <n v="2.8"/>
    <n v="2.8"/>
    <n v="1.44"/>
    <n v="1.44"/>
    <n v="11"/>
    <n v="11"/>
    <n v="75"/>
    <n v="75"/>
    <n v="2"/>
    <n v="2"/>
    <n v="3.9199999999999995"/>
  </r>
  <r>
    <n v="1782"/>
    <s v="RIVER KRISHNA AT HAMSALADEEVI PULIGADDA"/>
    <x v="27"/>
    <n v="25"/>
    <n v="28"/>
    <n v="6.1"/>
    <n v="6.9"/>
    <n v="7.6"/>
    <n v="8.1999999999999993"/>
    <n v="7770"/>
    <n v="27420"/>
    <n v="2.6"/>
    <n v="2.8"/>
    <n v="0.83"/>
    <n v="1.27"/>
    <n v="4"/>
    <n v="11"/>
    <n v="43"/>
    <n v="380"/>
    <n v="2"/>
    <n v="2"/>
    <n v="3.6399999999999997"/>
  </r>
  <r>
    <n v="1463"/>
    <s v="RIVER NIRA AT SAROLA BRIDGE, VILLAGE- SAROLA,_x000a_TALUKA-BHOR, DISTRICT- PUNE."/>
    <x v="21"/>
    <n v="27"/>
    <n v="30"/>
    <n v="4.9000000000000004"/>
    <n v="6.5"/>
    <n v="7.7"/>
    <n v="8.5"/>
    <n v="128"/>
    <n v="1577"/>
    <n v="2.2000000000000002"/>
    <n v="7.2"/>
    <n v="0.3"/>
    <n v="3.48"/>
    <n v="7"/>
    <n v="65"/>
    <n v="115"/>
    <n v="425"/>
    <n v="2"/>
    <n v="14"/>
    <n v="7.9200000000000008"/>
  </r>
  <r>
    <n v="2683"/>
    <s v="RIVER NIRA AT SHINDEWADI, VILLAGE- SHIRVAL,_x000a_TALUKA- KHANDALA, DISTRICT- SATARA."/>
    <x v="21"/>
    <n v="25"/>
    <n v="30"/>
    <n v="5.4"/>
    <n v="6.4"/>
    <n v="7.3"/>
    <n v="8.6"/>
    <n v="75"/>
    <n v="264"/>
    <n v="3"/>
    <n v="4.5"/>
    <n v="0.3"/>
    <n v="2.0499999999999998"/>
    <n v="7"/>
    <n v="25"/>
    <n v="75"/>
    <n v="250"/>
    <n v="2"/>
    <n v="9"/>
    <n v="6.75"/>
  </r>
  <r>
    <n v="2682"/>
    <s v="RIVER NIRA AT U/S OF JUBILANT ORGANOSIS, VILLAGE-NIRA (DATTAGHAT),TALUKA- BARAMATI, DISTRICT-PUNE."/>
    <x v="21"/>
    <n v="26"/>
    <n v="30"/>
    <n v="5.3"/>
    <n v="6.2"/>
    <n v="7.9"/>
    <n v="8.5"/>
    <n v="483"/>
    <n v="944"/>
    <n v="3"/>
    <n v="6.2"/>
    <n v="0.3"/>
    <n v="3.38"/>
    <n v="7"/>
    <n v="65"/>
    <n v="120"/>
    <n v="275"/>
    <n v="2"/>
    <n v="13"/>
    <n v="9.3000000000000007"/>
  </r>
  <r>
    <n v="2195"/>
    <s v="RIVER NIRA AT D/S OF JUBILANT ORGANOSIS, VILLAGE-NIMBUT, TALUKA- BARAMATI, DISTRICT- PUNE."/>
    <x v="21"/>
    <n v="26"/>
    <n v="30"/>
    <n v="4.9000000000000004"/>
    <n v="5.8"/>
    <n v="7.3"/>
    <n v="8.4"/>
    <n v="621"/>
    <n v="1273"/>
    <n v="3.8"/>
    <n v="7.5"/>
    <n v="0.3"/>
    <n v="4.88"/>
    <n v="7"/>
    <n v="120"/>
    <n v="150"/>
    <n v="900"/>
    <n v="2"/>
    <n v="25"/>
    <n v="14.25"/>
  </r>
  <r>
    <n v="2681"/>
    <s v="RIVER NIRA AT SANGAVI, VILLAGE- SANGAVI, TALUKA-PHALTAN, DISTRICT- SATARA."/>
    <x v="21"/>
    <n v="25"/>
    <n v="32"/>
    <n v="4.3"/>
    <n v="5.6"/>
    <n v="8"/>
    <n v="8.4"/>
    <n v="1567"/>
    <n v="6941"/>
    <n v="4.4000000000000004"/>
    <n v="14"/>
    <n v="0.3"/>
    <n v="2.54"/>
    <n v="9"/>
    <n v="110"/>
    <n v="130"/>
    <n v="550"/>
    <n v="4"/>
    <n v="25"/>
    <n v="30.800000000000004"/>
  </r>
  <r>
    <n v="2716"/>
    <s v="RIVER VENNA AT MAHABALESHWAR, VILLAGE._x000a_MAHABALESHWAR, TALUKA. MAHABALESHWAR,_x000a_DISTRICT. SATARA."/>
    <x v="21"/>
    <n v="20"/>
    <n v="32"/>
    <n v="5.7"/>
    <n v="6.6"/>
    <n v="6.6"/>
    <n v="8.3000000000000007"/>
    <n v="42"/>
    <n v="686"/>
    <n v="2.2000000000000002"/>
    <n v="3.6"/>
    <n v="0.3"/>
    <n v="2.11"/>
    <n v="7"/>
    <n v="30"/>
    <n v="95"/>
    <n v="250"/>
    <n v="2"/>
    <n v="8"/>
    <n v="3.9600000000000004"/>
  </r>
  <r>
    <n v="2186"/>
    <s v="RIVER VENNA AT VARYE, VILLAGE - VARYE,TALUKA-SATARA, DISTRICT- SATARA."/>
    <x v="21"/>
    <n v="23"/>
    <n v="31"/>
    <n v="5.3"/>
    <n v="6.4"/>
    <n v="7.6"/>
    <n v="8.3000000000000007"/>
    <n v="177"/>
    <n v="445"/>
    <n v="2.6"/>
    <n v="5"/>
    <n v="0.3"/>
    <n v="1.96"/>
    <n v="7"/>
    <n v="30"/>
    <n v="85"/>
    <n v="225"/>
    <n v="2"/>
    <n v="11"/>
    <n v="6.5"/>
  </r>
  <r>
    <n v="2717"/>
    <s v="RIVER VENNA AT MAHULI, VILLAGE- MAHULI, TALUKA-MAHULI, DISTRICT- SATARA."/>
    <x v="21"/>
    <n v="23"/>
    <n v="30"/>
    <n v="4.8"/>
    <n v="6.2"/>
    <n v="7.4"/>
    <n v="8.1999999999999993"/>
    <n v="206"/>
    <n v="553"/>
    <n v="2.8"/>
    <n v="6.4"/>
    <n v="0.3"/>
    <n v="2.82"/>
    <n v="8"/>
    <n v="65"/>
    <n v="95"/>
    <n v="350"/>
    <n v="4"/>
    <n v="13"/>
    <n v="8.9599999999999991"/>
  </r>
  <r>
    <n v="4253"/>
    <s v="RIVER MUSI AT BAPUGHAT SANGAM, HYDERABAD"/>
    <x v="24"/>
    <n v="25"/>
    <n v="29"/>
    <n v="0.3"/>
    <n v="3"/>
    <n v="6.8"/>
    <n v="7.9"/>
    <n v="384"/>
    <n v="1526"/>
    <n v="2.2000000000000002"/>
    <n v="14"/>
    <n v="2.08"/>
    <n v="8.1999999999999993"/>
    <n v="4"/>
    <n v="350"/>
    <n v="280"/>
    <n v="920"/>
    <n v="2"/>
    <n v="6"/>
    <n v="15.400000000000002"/>
  </r>
  <r>
    <n v="4656"/>
    <s v="RIVER MUSI AT MOOSARAMBAGH BRIDGE, HYDERABAD"/>
    <x v="24"/>
    <n v="24"/>
    <n v="27.8"/>
    <n v="0.3"/>
    <n v="1.1000000000000001"/>
    <n v="6.8"/>
    <n v="7.6"/>
    <n v="784"/>
    <n v="1474"/>
    <n v="5.2"/>
    <n v="14"/>
    <n v="3.4"/>
    <n v="9.1999999999999993"/>
    <n v="8"/>
    <n v="63"/>
    <n v="430"/>
    <n v="920"/>
    <n v="2"/>
    <n v="7"/>
    <n v="36.4"/>
  </r>
  <r>
    <n v="2339"/>
    <s v="RIVER MUSI AT NAGOLE, RANGA REDDY"/>
    <x v="24"/>
    <n v="24"/>
    <n v="28"/>
    <n v="0.3"/>
    <n v="0.3"/>
    <n v="6.9"/>
    <n v="7.8"/>
    <n v="1027"/>
    <n v="1621"/>
    <n v="6"/>
    <n v="15"/>
    <n v="3.2"/>
    <n v="9"/>
    <n v="6"/>
    <n v="58"/>
    <n v="350"/>
    <n v="920"/>
    <n v="2"/>
    <n v="12"/>
    <n v="45"/>
  </r>
  <r>
    <n v="4659"/>
    <s v="RIVER MUSI - OUTLET OF NALLA CHERUVU,_x000a_PEERAJADIGUDA, RANGAREDDY"/>
    <x v="24"/>
    <n v="24"/>
    <n v="28.9"/>
    <n v="0.3"/>
    <n v="0.3"/>
    <n v="7"/>
    <n v="7.9"/>
    <n v="1040"/>
    <n v="1794"/>
    <n v="6"/>
    <n v="16"/>
    <n v="3"/>
    <n v="12.5"/>
    <n v="11"/>
    <n v="48"/>
    <n v="350"/>
    <n v="920"/>
    <n v="2"/>
    <n v="21"/>
    <n v="48"/>
  </r>
  <r>
    <n v="4660"/>
    <s v="RIVER MUSI AT PEERAJADIGUDA, RANGA REDDY"/>
    <x v="24"/>
    <n v="24"/>
    <n v="29"/>
    <n v="0.3"/>
    <n v="0.8"/>
    <n v="7"/>
    <n v="7.4"/>
    <n v="1022"/>
    <n v="1502"/>
    <n v="5.8"/>
    <n v="14"/>
    <n v="3"/>
    <n v="10.8"/>
    <n v="14"/>
    <n v="48"/>
    <n v="350"/>
    <n v="1600"/>
    <n v="2"/>
    <n v="12"/>
    <n v="40.6"/>
  </r>
  <r>
    <n v="1173"/>
    <s v="RIVER MUSI - D/S AT PRATAPASINGARAM ,_x000a_SHAMSHABAD"/>
    <x v="24"/>
    <n v="24"/>
    <n v="28"/>
    <n v="0.3"/>
    <n v="1.2"/>
    <n v="6.8"/>
    <n v="7.7"/>
    <n v="1005"/>
    <n v="1488"/>
    <n v="5.2"/>
    <n v="16"/>
    <n v="2.6"/>
    <n v="13.6"/>
    <n v="11"/>
    <n v="84"/>
    <n v="350"/>
    <n v="920"/>
    <n v="4"/>
    <n v="14"/>
    <n v="41.6"/>
  </r>
  <r>
    <n v="4657"/>
    <s v="RIVER MUSI AT PILLAIPALLI, RANGAREDDY"/>
    <x v="24"/>
    <n v="24"/>
    <n v="27.2"/>
    <n v="0.3"/>
    <n v="3.2"/>
    <n v="7"/>
    <n v="7.5"/>
    <n v="998"/>
    <n v="1504"/>
    <n v="4"/>
    <n v="6"/>
    <n v="2.6"/>
    <n v="11.84"/>
    <n v="11"/>
    <n v="70"/>
    <n v="350"/>
    <n v="1600"/>
    <n v="2"/>
    <n v="15"/>
    <n v="12"/>
  </r>
  <r>
    <n v="4254"/>
    <s v="RIVER MUSI AT RUDRAVELLY BRIDGE,YADADRI"/>
    <x v="24"/>
    <n v="18"/>
    <n v="23"/>
    <n v="5.9"/>
    <n v="7"/>
    <n v="6.8"/>
    <n v="8.1999999999999993"/>
    <n v="1025"/>
    <n v="1832"/>
    <n v="2.1"/>
    <n v="6.1"/>
    <n v="23.15"/>
    <n v="38.159999999999997"/>
    <n v="7"/>
    <n v="8"/>
    <n v="70"/>
    <n v="92"/>
    <n v="5"/>
    <n v="6"/>
    <n v="6.4050000000000002"/>
  </r>
  <r>
    <n v="4658"/>
    <s v="RIVER MUSI AT VALIGONDA BRIDGE, NALGONDA DIST"/>
    <x v="24"/>
    <n v="18"/>
    <n v="23"/>
    <n v="5.9"/>
    <n v="7.6"/>
    <n v="6.7"/>
    <n v="8.3000000000000007"/>
    <n v="1159"/>
    <n v="1802"/>
    <n v="2"/>
    <n v="5.8"/>
    <n v="20.149999999999999"/>
    <n v="43.15"/>
    <n v="8"/>
    <n v="9"/>
    <n v="79"/>
    <n v="110"/>
    <n v="6"/>
    <n v="6"/>
    <n v="5.8"/>
  </r>
  <r>
    <n v="3082"/>
    <s v="RIVER MUSI AT SOLIPET (KASANIGUDA), NALGONDA"/>
    <x v="24"/>
    <n v="18"/>
    <n v="25"/>
    <n v="6.3"/>
    <n v="7.6"/>
    <n v="7.4"/>
    <n v="8.5"/>
    <n v="1101"/>
    <n v="1724"/>
    <n v="2"/>
    <n v="4.7"/>
    <n v="16.079999999999998"/>
    <n v="35.08"/>
    <n v="7"/>
    <n v="8"/>
    <n v="49"/>
    <n v="70"/>
    <n v="5"/>
    <n v="6"/>
    <n v="4.7"/>
  </r>
  <r>
    <n v="5106"/>
    <s v="RIVER MUSI AT BHEEMARAM BRIDGE, BHEEMARAM (V),_x000a_KETHEPALLY (M), NALGONDA (D)"/>
    <x v="24"/>
    <n v="19"/>
    <n v="24"/>
    <n v="5.4"/>
    <n v="7.5"/>
    <n v="7.5"/>
    <n v="8.5"/>
    <n v="1154"/>
    <n v="2245"/>
    <n v="2.2000000000000002"/>
    <n v="3.6"/>
    <n v="18.21"/>
    <n v="38.15"/>
    <n v="5"/>
    <n v="6"/>
    <n v="33"/>
    <n v="41"/>
    <n v="4"/>
    <n v="4"/>
    <n v="3.9600000000000004"/>
  </r>
  <r>
    <n v="5107"/>
    <s v="RIVER MUSI BEFORE CONFLUENCE OF RIVER KRISHNA_x000a_AT WADAPALLY (V), DAMARACHARLA (M), NALGONDA(D)"/>
    <x v="24"/>
    <n v="18"/>
    <n v="24"/>
    <n v="6"/>
    <n v="7.2"/>
    <n v="7.3"/>
    <n v="8.6"/>
    <n v="1121"/>
    <n v="1648"/>
    <n v="2.2999999999999998"/>
    <n v="3.1"/>
    <n v="10.1"/>
    <n v="28.13"/>
    <n v="6"/>
    <n v="8"/>
    <n v="39"/>
    <n v="44"/>
    <n v="6"/>
    <n v="7"/>
    <n v="3.5649999999999999"/>
  </r>
  <r>
    <n v="1189"/>
    <s v="RIVER BHIMA AT PUNE (MUTHA RIVER) AT U/S OF_x000a_VITHALWADI NEAR SHANKAR MANDIR, VILLAGE._x000a_VITHALWADI, TALUKA. HAWELI, DISTRICT. PUNE."/>
    <x v="21"/>
    <n v="27.5"/>
    <n v="29"/>
    <n v="2.9"/>
    <n v="4.0999999999999996"/>
    <n v="7.1"/>
    <n v="7.9"/>
    <n v="499"/>
    <n v="693"/>
    <n v="17.899999999999999"/>
    <n v="27"/>
    <n v="0.3"/>
    <n v="4.9000000000000004"/>
    <n v="10"/>
    <n v="225"/>
    <n v="275"/>
    <n v="1800"/>
    <n v="6"/>
    <n v="40"/>
    <n v="241.64999999999998"/>
  </r>
  <r>
    <n v="1190"/>
    <s v="RIVER BHIMA AT D/S OF BUNDGARDEN, VILLAGE_x000a_YERWADA, TALUKA. HAWELI, DISTRICT. PUNE."/>
    <x v="21"/>
    <n v="27"/>
    <n v="29"/>
    <n v="3.3"/>
    <n v="4.5"/>
    <n v="6.9"/>
    <n v="7.8"/>
    <n v="339"/>
    <n v="683"/>
    <n v="10.4"/>
    <n v="23"/>
    <n v="0"/>
    <n v="3.45"/>
    <n v="25"/>
    <n v="250"/>
    <n v="425"/>
    <n v="1800"/>
    <n v="9"/>
    <n v="25"/>
    <n v="119.60000000000001"/>
  </r>
  <r>
    <n v="2655"/>
    <s v="RIVER BHIMA AT KOREGAON NEAR KOREGAON BRIDGE,_x000a_VILLAGE- KOREGAON,TALUKA- SHIRUR, DISTRICT-PUNE."/>
    <x v="21"/>
    <n v="26"/>
    <n v="29"/>
    <n v="5"/>
    <n v="6.2"/>
    <n v="7.4"/>
    <n v="8.3000000000000007"/>
    <n v="210"/>
    <n v="726"/>
    <n v="3"/>
    <n v="5.4"/>
    <n v="0.3"/>
    <n v="5.4"/>
    <n v="9"/>
    <n v="45"/>
    <n v="200"/>
    <n v="550"/>
    <n v="3"/>
    <n v="17"/>
    <n v="8.1000000000000014"/>
  </r>
  <r>
    <n v="1191"/>
    <s v="RIVER BHIMA AFTER CONFLUENCE WITH MULA-MUTHA_x000a_AT PARGAON NEAR VASANT BANDARA,VILLAGE-PARGAON,TALUKA- DAUND, DISTRICT- PUNE."/>
    <x v="21"/>
    <n v="27"/>
    <n v="29"/>
    <n v="4.2"/>
    <n v="5.8"/>
    <n v="7.4"/>
    <n v="8"/>
    <n v="347"/>
    <n v="1603"/>
    <n v="4"/>
    <n v="10.9"/>
    <n v="0.3"/>
    <n v="11.12"/>
    <n v="8"/>
    <n v="200"/>
    <n v="110"/>
    <n v="900"/>
    <n v="4"/>
    <n v="25"/>
    <n v="21.8"/>
  </r>
  <r>
    <n v="1192"/>
    <s v="RIVER BHIMA AT DAUND NEAR MAHADEV_x000a_TEMPLE,VILLAGE- DAUND, TALUKA- DAUND, DISTRICT-PUNE."/>
    <x v="21"/>
    <n v="27"/>
    <n v="30"/>
    <n v="4.5"/>
    <n v="5.8"/>
    <n v="7.5"/>
    <n v="8.1"/>
    <n v="349"/>
    <n v="1621"/>
    <n v="3.4"/>
    <n v="8.5"/>
    <n v="0.3"/>
    <n v="10.78"/>
    <n v="10"/>
    <n v="115"/>
    <n v="95"/>
    <n v="900"/>
    <n v="2"/>
    <n v="20"/>
    <n v="14.45"/>
  </r>
  <r>
    <n v="2656"/>
    <s v="RIVER BHIMA BACKWATER OF UJANI DAM, NEAR RAW_x000a_WATER PUMP HOUSE, VILLAGE- KUMBARGAON,_x000a_TALUKA- INDAPUR, DISTRICT- PUNE."/>
    <x v="21"/>
    <n v="27"/>
    <n v="30"/>
    <n v="4.9000000000000004"/>
    <n v="6.2"/>
    <n v="7.4"/>
    <n v="8.3000000000000007"/>
    <n v="332"/>
    <n v="967"/>
    <n v="2.8"/>
    <n v="7.5"/>
    <n v="0.3"/>
    <n v="5.09"/>
    <n v="7"/>
    <n v="85"/>
    <n v="170"/>
    <n v="350"/>
    <n v="2"/>
    <n v="14"/>
    <n v="10.5"/>
  </r>
  <r>
    <n v="1188"/>
    <s v="RIVER BHIMA AT NARSINGPUR NEAR SANGAM BRIDGE_x000a_AFTER CONFLUENCE WITH NIRA, VILLAGE-NARSINGPUR, TALUKA-MALSHIRAS, DISTRICT-SOLAPUR."/>
    <x v="21"/>
    <n v="29"/>
    <n v="36"/>
    <n v="5.3"/>
    <n v="6.4"/>
    <n v="8"/>
    <n v="8.4"/>
    <n v="722"/>
    <n v="6664"/>
    <n v="3.2"/>
    <n v="7.6"/>
    <n v="0.3"/>
    <n v="2.77"/>
    <n v="7"/>
    <n v="120"/>
    <n v="75"/>
    <n v="425"/>
    <n v="2"/>
    <n v="25"/>
    <n v="12.16"/>
  </r>
  <r>
    <n v="30046"/>
    <s v="RIVER BHIMA AT TAKLI, SOLAPUR, (MAHARASHTRA)"/>
    <x v="21"/>
    <n v="22"/>
    <n v="22"/>
    <n v="4.9000000000000004"/>
    <n v="4.9000000000000004"/>
    <n v="8.3000000000000007"/>
    <n v="8.3000000000000007"/>
    <n v="1656"/>
    <n v="1656"/>
    <n v="7.8"/>
    <n v="7.8"/>
    <n v="1.1100000000000001"/>
    <n v="1.1100000000000001"/>
    <n v="45"/>
    <n v="45"/>
    <n v="350"/>
    <n v="350"/>
    <n v="17"/>
    <n v="17"/>
    <n v="30.419999999999998"/>
  </r>
  <r>
    <n v="28"/>
    <s v="RIVER BHIMA AT TAKLI NEAR KARNATAKA BORDER,_x000a_VILLAGE- TAKALI, TALUKA- SOUTH SOLAPUR, DISTRICT-SOLAPUR."/>
    <x v="21"/>
    <n v="29"/>
    <n v="36"/>
    <n v="4.4000000000000004"/>
    <n v="6.3"/>
    <n v="7.8"/>
    <n v="8.4"/>
    <n v="950"/>
    <n v="2383"/>
    <n v="2.5"/>
    <n v="10.4"/>
    <n v="0.3"/>
    <n v="2.23"/>
    <n v="6"/>
    <n v="45"/>
    <n v="80"/>
    <n v="550"/>
    <n v="2"/>
    <n v="14"/>
    <n v="13"/>
  </r>
  <r>
    <n v="5582"/>
    <s v="RIVER BHIMA DOWNSTREAM, DHULKED VILL"/>
    <x v="26"/>
    <n v="29"/>
    <n v="29"/>
    <n v="6"/>
    <n v="10"/>
    <n v="7"/>
    <n v="8.5"/>
    <n v="826"/>
    <n v="1620"/>
    <n v="1.2"/>
    <n v="2.9"/>
    <n v="2.27"/>
    <n v="8.15"/>
    <n v="540"/>
    <n v="920"/>
    <n v="1600"/>
    <n v="1600"/>
    <n v="280"/>
    <n v="540"/>
    <n v="1.74"/>
  </r>
  <r>
    <n v="1183"/>
    <s v="RIVER BHIMA AT D/S OF ROAD BRIDGE AT GANGAPUR_x000a_VILLAGE"/>
    <x v="26"/>
    <n v="25"/>
    <n v="31"/>
    <n v="6"/>
    <n v="8.6"/>
    <n v="7.4"/>
    <n v="8.5"/>
    <n v="1050"/>
    <n v="2010"/>
    <n v="3"/>
    <n v="8"/>
    <n v="0.48"/>
    <n v="3.51"/>
    <n v="230"/>
    <n v="260000"/>
    <n v="1600"/>
    <n v="280000"/>
    <m/>
    <m/>
    <n v="12"/>
  </r>
  <r>
    <n v="1184"/>
    <s v="RIVER BHIMA AT FEROZABAD VILLAGE (D/S)"/>
    <x v="26"/>
    <n v="24"/>
    <n v="32"/>
    <n v="6.5"/>
    <n v="11.6"/>
    <n v="7.7"/>
    <n v="8.8000000000000007"/>
    <n v="880"/>
    <n v="1295"/>
    <n v="2"/>
    <n v="4"/>
    <n v="0.51"/>
    <n v="67"/>
    <n v="140"/>
    <n v="23000"/>
    <n v="1100"/>
    <n v="350000"/>
    <m/>
    <m/>
    <n v="4"/>
  </r>
  <r>
    <n v="1888"/>
    <s v="RIVER BHIMA AT CONFLUENCE OF JEWARGI TOWN_x000a_SEWAGE DISPOSAL POINT"/>
    <x v="26"/>
    <n v="24"/>
    <n v="32"/>
    <n v="5.6"/>
    <n v="12"/>
    <n v="7.7"/>
    <n v="8.6"/>
    <n v="818"/>
    <n v="1278"/>
    <n v="2"/>
    <n v="3.3"/>
    <n v="0.46"/>
    <n v="6.9"/>
    <n v="20"/>
    <n v="700"/>
    <n v="350"/>
    <n v="5400"/>
    <m/>
    <m/>
    <n v="3.3"/>
  </r>
  <r>
    <n v="30057"/>
    <s v="RIVER BHIMA AT GANGAPUR (BANGALORE)"/>
    <x v="26"/>
    <n v="24"/>
    <n v="28"/>
    <n v="7.1"/>
    <n v="8.6999999999999993"/>
    <n v="8.1"/>
    <n v="8.6"/>
    <n v="1270"/>
    <n v="2198"/>
    <n v="4"/>
    <n v="6.7"/>
    <n v="0"/>
    <n v="3.72"/>
    <n v="790"/>
    <n v="2200"/>
    <n v="4900"/>
    <n v="9200"/>
    <m/>
    <m/>
    <n v="13.4"/>
  </r>
  <r>
    <n v="1167"/>
    <s v="RIVER BHIMA AT D/S OF BDG. NEAR YADGIR"/>
    <x v="26"/>
    <n v="26"/>
    <n v="34"/>
    <n v="7"/>
    <n v="8"/>
    <n v="8.1"/>
    <n v="8.5"/>
    <n v="390"/>
    <n v="1473"/>
    <n v="2"/>
    <n v="3"/>
    <n v="0.35"/>
    <n v="11.56"/>
    <n v="33"/>
    <n v="490"/>
    <n v="280"/>
    <n v="2800"/>
    <m/>
    <m/>
    <n v="3"/>
  </r>
  <r>
    <n v="5158"/>
    <s v="RIVER HUNDRI AT GAJULADINNE RESERVOIR_x000a_GAJULADINNE (V),GONEGANDLA (M)"/>
    <x v="25"/>
    <n v="21"/>
    <n v="29"/>
    <n v="5.5"/>
    <n v="6.2"/>
    <n v="6.9"/>
    <n v="8.1"/>
    <n v="547"/>
    <n v="896"/>
    <n v="1.3"/>
    <n v="2.5"/>
    <n v="0.34"/>
    <n v="1.29"/>
    <n v="173"/>
    <n v="378"/>
    <n v="501"/>
    <n v="980"/>
    <m/>
    <m/>
    <n v="1.625"/>
  </r>
  <r>
    <n v="2350"/>
    <s v="RIVER HUNDRI AT LAXMIPURAM (V), KALLUR (M)"/>
    <x v="25"/>
    <n v="22"/>
    <n v="28"/>
    <n v="5.4"/>
    <n v="6.3"/>
    <n v="7.4"/>
    <n v="8.1"/>
    <n v="1152"/>
    <n v="1479"/>
    <n v="1"/>
    <n v="2.8"/>
    <n v="0.93"/>
    <n v="2.12"/>
    <n v="146"/>
    <n v="320"/>
    <n v="575"/>
    <n v="816"/>
    <m/>
    <m/>
    <n v="1.4"/>
  </r>
  <r>
    <n v="1091"/>
    <s v="RIVER BHADRA AT MALLESWARAM D/S OF KIOCL"/>
    <x v="26"/>
    <n v="20"/>
    <n v="25"/>
    <n v="6.6"/>
    <n v="7.7"/>
    <n v="7"/>
    <n v="8.1999999999999993"/>
    <n v="70"/>
    <n v="164"/>
    <n v="1.6"/>
    <n v="2"/>
    <n v="0.3"/>
    <n v="0.6"/>
    <n v="12"/>
    <n v="40"/>
    <n v="110"/>
    <n v="350"/>
    <m/>
    <m/>
    <n v="1.6"/>
  </r>
  <r>
    <n v="2771"/>
    <s v="RIVER BHADRA AT U/S OF KIOCL"/>
    <x v="26"/>
    <n v="20"/>
    <n v="25"/>
    <n v="6.6"/>
    <n v="7.9"/>
    <n v="6.9"/>
    <n v="8.1999999999999993"/>
    <n v="61"/>
    <n v="150"/>
    <n v="1.2"/>
    <n v="2"/>
    <n v="0.3"/>
    <n v="0.52"/>
    <n v="11"/>
    <n v="40"/>
    <n v="110"/>
    <n v="350"/>
    <m/>
    <m/>
    <n v="1.2"/>
  </r>
  <r>
    <n v="2765"/>
    <s v="RIVER BHADRA AT U/S OF MPM"/>
    <x v="26"/>
    <n v="26"/>
    <n v="27"/>
    <n v="6.6"/>
    <n v="8.1"/>
    <n v="7"/>
    <n v="8.1"/>
    <n v="103"/>
    <n v="250"/>
    <n v="1"/>
    <n v="2.4"/>
    <n v="0.3"/>
    <n v="0.83"/>
    <n v="13"/>
    <n v="93"/>
    <n v="110"/>
    <n v="1600"/>
    <m/>
    <m/>
    <n v="1.2"/>
  </r>
  <r>
    <n v="1387"/>
    <s v="RIVER BHADRA AT D/S OF BHADRAVATHI"/>
    <x v="26"/>
    <n v="26"/>
    <n v="28"/>
    <n v="4.9000000000000004"/>
    <n v="8"/>
    <n v="7"/>
    <n v="8.5"/>
    <n v="100"/>
    <n v="250"/>
    <n v="1.5"/>
    <n v="2.9"/>
    <n v="0.3"/>
    <n v="1.53"/>
    <n v="78"/>
    <n v="390"/>
    <n v="920"/>
    <n v="2400"/>
    <m/>
    <m/>
    <n v="2.1749999999999998"/>
  </r>
  <r>
    <n v="4105"/>
    <s v="RIVER BHADRA D/S MYSORE PAPER MILL (MPM),_x000a_BHADRAWATI, SHIVAMOGGA"/>
    <x v="26"/>
    <n v="26"/>
    <n v="27"/>
    <n v="6.7"/>
    <n v="9.5"/>
    <n v="7.1"/>
    <n v="8.4"/>
    <n v="111"/>
    <n v="190"/>
    <n v="1.3"/>
    <n v="3.3"/>
    <n v="0.3"/>
    <n v="0.96"/>
    <n v="11"/>
    <n v="310"/>
    <n v="110"/>
    <n v="2400"/>
    <m/>
    <m/>
    <n v="2.145"/>
  </r>
  <r>
    <n v="1169"/>
    <s v="RIVER BHADRA AT D/S OF KIOCL ROAD BRIDGE, NEAR_x000a_HOLEHUNNUR"/>
    <x v="26"/>
    <n v="26"/>
    <n v="28"/>
    <n v="6"/>
    <n v="7.8"/>
    <n v="7"/>
    <n v="7.9"/>
    <n v="122"/>
    <n v="200"/>
    <n v="1.2"/>
    <n v="2.8"/>
    <n v="0.3"/>
    <n v="1.2"/>
    <n v="13"/>
    <n v="270"/>
    <n v="140"/>
    <n v="1300"/>
    <m/>
    <m/>
    <n v="1.68"/>
  </r>
  <r>
    <n v="1911"/>
    <s v="RIVER CHANDRABHAGA AT U/S OF PANDHARPUR_x000a_TOWN, VILLAGE. GURSALE, TALUKA. PANDHARPUR,_x000a_DISTRICT. SOLAPUR."/>
    <x v="21"/>
    <n v="25"/>
    <n v="36"/>
    <n v="4.7"/>
    <n v="6.2"/>
    <n v="7.7"/>
    <n v="8.4"/>
    <n v="672"/>
    <n v="9529"/>
    <n v="3"/>
    <n v="8.3000000000000007"/>
    <n v="0.3"/>
    <n v="2.12"/>
    <n v="9"/>
    <n v="45"/>
    <n v="110"/>
    <n v="550"/>
    <n v="4"/>
    <n v="25"/>
    <n v="12.450000000000001"/>
  </r>
  <r>
    <n v="1912"/>
    <s v="RIVER CHANDRABHAGA AT D/S OF PANDHARPUR TOWN_x000a_REAR VISHNUPANT MANDIR, VILLAGE. GOPALPUR,_x000a_TALUKA. PANDHARPUR DISTRICT. SOLAPUR."/>
    <x v="21"/>
    <n v="25"/>
    <n v="36"/>
    <n v="4.5"/>
    <n v="5.8"/>
    <n v="7.8"/>
    <n v="8.4"/>
    <n v="745"/>
    <n v="1824"/>
    <n v="4.2"/>
    <n v="9"/>
    <n v="0.3"/>
    <n v="3.35"/>
    <n v="10"/>
    <n v="175"/>
    <n v="140"/>
    <n v="900"/>
    <n v="5"/>
    <n v="25"/>
    <n v="18.900000000000002"/>
  </r>
  <r>
    <n v="1163"/>
    <s v="RIVER GHATAPRABHA AT W.A. POINT TO GOKAK TOWN"/>
    <x v="26"/>
    <n v="24"/>
    <n v="29"/>
    <n v="6.1"/>
    <n v="8.6999999999999993"/>
    <n v="7.8"/>
    <n v="8.6999999999999993"/>
    <n v="196"/>
    <n v="884"/>
    <n v="1.1000000000000001"/>
    <n v="3"/>
    <n v="3.23"/>
    <n v="28.19"/>
    <n v="350"/>
    <n v="540"/>
    <n v="920"/>
    <n v="1600"/>
    <n v="110"/>
    <n v="350"/>
    <n v="1.6500000000000001"/>
  </r>
  <r>
    <n v="4104"/>
    <s v="RIVER GHATAPRABHA DAVALSHWAR BARRAGE_x000a_JACKWELL FOR DRINKING WATER SUPPLY"/>
    <x v="26"/>
    <n v="18"/>
    <n v="21"/>
    <n v="5.6"/>
    <n v="13.7"/>
    <n v="6.4"/>
    <n v="9.1999999999999993"/>
    <n v="208"/>
    <n v="1258"/>
    <n v="1.8"/>
    <n v="5.2"/>
    <n v="3.95"/>
    <n v="55.36"/>
    <n v="350"/>
    <n v="920"/>
    <n v="920"/>
    <n v="1600"/>
    <n v="240"/>
    <n v="540"/>
    <n v="4.6800000000000006"/>
  </r>
  <r>
    <n v="1185"/>
    <s v="RIVER GHATAPRABHA AT D/S OF MUDHOL ROAD CROSS_x000a_BDG."/>
    <x v="26"/>
    <n v="17"/>
    <n v="20"/>
    <n v="5.6"/>
    <n v="13.7"/>
    <n v="6.3"/>
    <n v="9.1"/>
    <n v="268"/>
    <n v="1320"/>
    <n v="1.6"/>
    <n v="4.2"/>
    <n v="4.37"/>
    <n v="47.51"/>
    <n v="430"/>
    <n v="920"/>
    <n v="920"/>
    <n v="1600"/>
    <n v="240"/>
    <n v="540"/>
    <n v="3.3600000000000003"/>
  </r>
  <r>
    <n v="2665"/>
    <s v="RIVER GHOD AT SHIRUR, VILLAGE. SHIRUR, TALUKA._x000a_SHIRUR, DISTRICT. PUNE."/>
    <x v="21"/>
    <n v="26"/>
    <n v="27"/>
    <n v="4.5999999999999996"/>
    <n v="6.1"/>
    <n v="7.5"/>
    <n v="8.4"/>
    <n v="431"/>
    <n v="1336"/>
    <n v="3.5"/>
    <n v="9.6999999999999993"/>
    <n v="0.3"/>
    <n v="3.42"/>
    <n v="7"/>
    <n v="45"/>
    <n v="200"/>
    <n v="550"/>
    <n v="2"/>
    <n v="20"/>
    <n v="16.974999999999998"/>
  </r>
  <r>
    <n v="2669"/>
    <s v="RIVER INDRAYANI AT U/S OF MOSHIGAON,VILLAGE-MOSHI, TALUKA- HAWELI, DISTRICT- PUNE."/>
    <x v="21"/>
    <n v="25"/>
    <n v="29"/>
    <n v="4.8"/>
    <n v="6.1"/>
    <n v="7"/>
    <n v="7.8"/>
    <n v="216"/>
    <n v="777"/>
    <n v="2.2000000000000002"/>
    <n v="8.3000000000000007"/>
    <n v="0.3"/>
    <n v="7.25"/>
    <n v="8"/>
    <n v="70"/>
    <n v="85"/>
    <n v="900"/>
    <n v="2"/>
    <n v="30"/>
    <n v="9.1300000000000008"/>
  </r>
  <r>
    <n v="2668"/>
    <s v="RIVER INDRAYANI AT D/S OF MOSHI VILLAGE. VILLAGE-MOSHI, TALUKA- HAWELI, DISTRICT- PUNE."/>
    <x v="21"/>
    <n v="26"/>
    <n v="29"/>
    <n v="5.2"/>
    <n v="5.8"/>
    <n v="7"/>
    <n v="7.9"/>
    <n v="210"/>
    <n v="784"/>
    <n v="3.2"/>
    <n v="8.4"/>
    <n v="0.3"/>
    <n v="3.41"/>
    <n v="10"/>
    <n v="115"/>
    <n v="170"/>
    <n v="550"/>
    <n v="4"/>
    <n v="20"/>
    <n v="13.440000000000001"/>
  </r>
  <r>
    <n v="2197"/>
    <s v="RIVER INDRAYANI AT D/S OF ALANDIGAON, VILLAGE._x000a_ALANDIGAON, TALUKA. HAWELI, DISTRICT. PUNE."/>
    <x v="21"/>
    <n v="26"/>
    <n v="28"/>
    <n v="4.8"/>
    <n v="5.8"/>
    <n v="7"/>
    <n v="8"/>
    <n v="190"/>
    <n v="711"/>
    <n v="3.5"/>
    <n v="8.9"/>
    <n v="0.3"/>
    <n v="7.7"/>
    <n v="8"/>
    <n v="70"/>
    <n v="140"/>
    <n v="550"/>
    <n v="4"/>
    <n v="20"/>
    <n v="15.575000000000001"/>
  </r>
  <r>
    <n v="1895"/>
    <s v="RIVER KAGINA D/S OF SEWAGE DISPOSAL POINT"/>
    <x v="26"/>
    <n v="24"/>
    <n v="32"/>
    <n v="6.7"/>
    <n v="8.8000000000000007"/>
    <n v="7.7"/>
    <n v="8.5"/>
    <n v="340"/>
    <n v="610"/>
    <n v="1.7"/>
    <n v="4"/>
    <n v="0.31"/>
    <n v="3.4"/>
    <n v="49"/>
    <n v="63000"/>
    <n v="240"/>
    <n v="120000"/>
    <m/>
    <m/>
    <n v="3.4"/>
  </r>
  <r>
    <n v="2777"/>
    <s v="RIVER KAGINA AT SHAHABAD BRIDGE"/>
    <x v="26"/>
    <n v="24"/>
    <n v="32"/>
    <n v="7.2"/>
    <n v="8.9"/>
    <n v="7.7"/>
    <n v="8.6"/>
    <n v="339"/>
    <n v="612"/>
    <n v="1"/>
    <n v="3.6"/>
    <n v="0.34"/>
    <n v="3"/>
    <n v="63"/>
    <n v="7000"/>
    <n v="540"/>
    <n v="16000"/>
    <m/>
    <m/>
    <n v="1.8"/>
  </r>
  <r>
    <n v="4500"/>
    <s v="RIVER KAGINA AT D/S OF BRIDGE CUM BARRAGE,_x000a_SADEM"/>
    <x v="26"/>
    <n v="24"/>
    <n v="32"/>
    <n v="6.7"/>
    <n v="8.6999999999999993"/>
    <n v="7.9"/>
    <n v="8.5"/>
    <n v="316"/>
    <n v="580"/>
    <n v="2"/>
    <n v="6"/>
    <n v="0.48"/>
    <n v="4"/>
    <n v="14"/>
    <n v="7900"/>
    <n v="20"/>
    <n v="160000"/>
    <m/>
    <m/>
    <n v="6"/>
  </r>
  <r>
    <n v="2189"/>
    <s v="RIVER KOYNA AT KARAD, VILLAGE- KARAD,TALUKA-KARAD, DISTRICT- SATARA."/>
    <x v="21"/>
    <n v="26"/>
    <n v="32"/>
    <n v="5.4"/>
    <n v="6.7"/>
    <n v="7.5"/>
    <n v="8.1"/>
    <n v="65"/>
    <n v="239"/>
    <n v="2"/>
    <n v="5"/>
    <n v="0.3"/>
    <n v="2.84"/>
    <n v="7"/>
    <n v="35"/>
    <n v="110"/>
    <n v="350"/>
    <n v="2"/>
    <n v="13"/>
    <n v="5"/>
  </r>
  <r>
    <n v="1187"/>
    <s v="RIVER MALPRABHA AT D/S OF KHANAPUR VILLAGE"/>
    <x v="26"/>
    <n v="22"/>
    <n v="29"/>
    <n v="5.6"/>
    <n v="8.4"/>
    <n v="6.5"/>
    <n v="8.8000000000000007"/>
    <n v="190"/>
    <n v="268"/>
    <n v="1.3"/>
    <n v="2.9"/>
    <n v="1.65"/>
    <n v="15.25"/>
    <n v="350"/>
    <n v="920"/>
    <n v="920"/>
    <n v="1600"/>
    <n v="130"/>
    <n v="540"/>
    <n v="1.885"/>
  </r>
  <r>
    <n v="1164"/>
    <s v="RIVER MALAPRABHA AT WATER ABSTRACTION POINT_x000a_TO HUBLI, DHARWAD"/>
    <x v="26"/>
    <n v="24"/>
    <n v="32"/>
    <n v="5.6"/>
    <n v="8.8000000000000007"/>
    <n v="7.7"/>
    <n v="8.6999999999999993"/>
    <n v="268"/>
    <n v="518"/>
    <n v="1.1000000000000001"/>
    <n v="3"/>
    <n v="1.23"/>
    <n v="23.04"/>
    <n v="280"/>
    <n v="920"/>
    <n v="920"/>
    <n v="1600"/>
    <n v="170"/>
    <n v="540"/>
    <n v="1.6500000000000001"/>
  </r>
  <r>
    <n v="2764"/>
    <s v="RIVER MALAPRABHA AT BADAMI BRIDGE"/>
    <x v="26"/>
    <n v="18"/>
    <n v="22"/>
    <n v="5"/>
    <n v="11.5"/>
    <n v="7.6"/>
    <n v="8.8000000000000007"/>
    <n v="708"/>
    <n v="1868"/>
    <n v="1"/>
    <n v="3.8"/>
    <n v="5.55"/>
    <n v="37.28"/>
    <n v="540"/>
    <n v="920"/>
    <n v="920"/>
    <n v="1600"/>
    <n v="240"/>
    <n v="540"/>
    <n v="1.9"/>
  </r>
  <r>
    <n v="1186"/>
    <s v="RIVER MALAPRABHA AT D/S OF AIHOLE TOWN"/>
    <x v="26"/>
    <n v="18"/>
    <n v="21"/>
    <n v="5"/>
    <n v="11.7"/>
    <n v="8.1"/>
    <n v="8.6999999999999993"/>
    <n v="758"/>
    <n v="1748"/>
    <n v="1"/>
    <n v="4.5999999999999996"/>
    <n v="3.48"/>
    <n v="38.24"/>
    <n v="350"/>
    <n v="920"/>
    <n v="1600"/>
    <n v="1600"/>
    <n v="240"/>
    <n v="540"/>
    <n v="2.2999999999999998"/>
  </r>
  <r>
    <n v="4098"/>
    <s v="RIVER MARKANDEYA AT RAKKASAKOPPA RESRVOIR"/>
    <x v="26"/>
    <n v="20"/>
    <n v="26"/>
    <n v="5.0999999999999996"/>
    <n v="8.3000000000000007"/>
    <n v="6.9"/>
    <n v="9"/>
    <n v="190"/>
    <n v="270"/>
    <n v="1"/>
    <n v="2.8"/>
    <n v="2.02"/>
    <n v="14.18"/>
    <n v="270"/>
    <n v="920"/>
    <n v="920"/>
    <n v="1600"/>
    <n v="110"/>
    <n v="540"/>
    <n v="1.4"/>
  </r>
  <r>
    <n v="2193"/>
    <s v="RIVER MULA AT AUNDH BRIDGE, VILLAGE-AUNDHGAON,TALUKA- HAWELI, DISTRICT- PUNE."/>
    <x v="21"/>
    <n v="27"/>
    <n v="29"/>
    <n v="4.3"/>
    <n v="5.4"/>
    <n v="7"/>
    <n v="7.9"/>
    <n v="249"/>
    <n v="805"/>
    <n v="5.2"/>
    <n v="16"/>
    <n v="0.3"/>
    <n v="4.95"/>
    <n v="10"/>
    <n v="195"/>
    <n v="200"/>
    <n v="1600"/>
    <n v="4"/>
    <n v="30"/>
    <n v="41.6"/>
  </r>
  <r>
    <n v="2194"/>
    <s v="RIVER MULA AT HARRISON BRIDGE NEAR MULA-PAWANA SANGAM, VILLAGE- BOPODI,TALUKA- HAWELI,_x000a_DISTRICT- PUNE."/>
    <x v="21"/>
    <n v="27.5"/>
    <n v="29"/>
    <n v="3.4"/>
    <n v="5.0999999999999996"/>
    <n v="7"/>
    <n v="8.1"/>
    <n v="246"/>
    <n v="728"/>
    <n v="5.4"/>
    <n v="25"/>
    <n v="0.3"/>
    <n v="3.62"/>
    <n v="14"/>
    <n v="225"/>
    <n v="275"/>
    <n v="1800"/>
    <n v="7"/>
    <n v="45"/>
    <n v="67.5"/>
  </r>
  <r>
    <n v="2192"/>
    <s v="RIVER MULA-MUTHA AT MUNDHAWA BRIDGE,VILLAGE-MUNDHAWA,TALUKA- HAWELI,DISTRICT- PUNE."/>
    <x v="21"/>
    <n v="27"/>
    <n v="29"/>
    <n v="3.6"/>
    <n v="4.5999999999999996"/>
    <n v="7.1"/>
    <n v="7.9"/>
    <n v="337"/>
    <n v="667"/>
    <n v="11"/>
    <n v="21"/>
    <n v="0.3"/>
    <n v="3.12"/>
    <n v="20"/>
    <n v="170"/>
    <n v="540"/>
    <n v="1800"/>
    <n v="8"/>
    <n v="30"/>
    <n v="115.5"/>
  </r>
  <r>
    <n v="2677"/>
    <s v="RIVER MULA-MUTHA AT D/S OF THEUR, VILLAGE._x000a_THEUR, TALUKA. HAWELI, DISTRICT. PUNE."/>
    <x v="21"/>
    <n v="25"/>
    <n v="28"/>
    <n v="4.3"/>
    <n v="5.0999999999999996"/>
    <n v="7"/>
    <n v="7.8"/>
    <n v="326"/>
    <n v="693"/>
    <n v="7"/>
    <n v="13.5"/>
    <n v="0.3"/>
    <n v="2.4300000000000002"/>
    <n v="13"/>
    <n v="110"/>
    <n v="280"/>
    <n v="1600"/>
    <n v="4"/>
    <n v="20"/>
    <n v="47.25"/>
  </r>
  <r>
    <n v="1177"/>
    <s v="RIVER MUNNERU B/C WITH KRISHNA, KEESARA (V &amp; M)"/>
    <x v="25"/>
    <n v="26"/>
    <n v="26"/>
    <n v="6.9"/>
    <n v="7.7"/>
    <n v="7.6"/>
    <n v="8.1"/>
    <n v="585"/>
    <n v="998"/>
    <n v="2.4"/>
    <n v="2.9"/>
    <n v="1.26"/>
    <n v="1.92"/>
    <n v="3"/>
    <n v="28"/>
    <n v="39"/>
    <n v="470"/>
    <n v="2"/>
    <n v="3"/>
    <n v="3.48"/>
  </r>
  <r>
    <n v="4251"/>
    <s v="RIVER KRISHNA - D/S OF MUNNERU RIVER, PRAKASH_x000a_NAGAR, KHAMMAM"/>
    <x v="24"/>
    <n v="24.8"/>
    <n v="30.7"/>
    <n v="4.5999999999999996"/>
    <n v="6.1"/>
    <n v="7.2"/>
    <n v="8.3000000000000007"/>
    <n v="343"/>
    <n v="802"/>
    <n v="1"/>
    <n v="3.2"/>
    <n v="0.92"/>
    <n v="3.4"/>
    <n v="2"/>
    <n v="2"/>
    <n v="23"/>
    <n v="49"/>
    <n v="2"/>
    <n v="2"/>
    <n v="1.6"/>
  </r>
  <r>
    <n v="2680"/>
    <s v="RIVER MUTHA AT KHADAKVASLA DAM, VILLAGE-KHADAKVASLA,TALUKA- HAWELI, DISTRICT- PUNE."/>
    <x v="21"/>
    <n v="25"/>
    <n v="28"/>
    <n v="5.8"/>
    <n v="6.6"/>
    <n v="7.3"/>
    <n v="8"/>
    <n v="59"/>
    <n v="155"/>
    <n v="2.2000000000000002"/>
    <n v="3.2"/>
    <n v="0.3"/>
    <n v="1.22"/>
    <n v="4"/>
    <n v="40"/>
    <n v="80"/>
    <n v="350"/>
    <n v="2"/>
    <n v="9"/>
    <n v="3.5200000000000005"/>
  </r>
  <r>
    <n v="2679"/>
    <s v="RIVER MUTHA AT DECCAN BRIDGE, VILLAGE-DECCAN,TALUKA- PUNE, DISTRICT- PUNE."/>
    <x v="21"/>
    <n v="27.5"/>
    <n v="29"/>
    <n v="2.5"/>
    <n v="3.9"/>
    <n v="6.8"/>
    <n v="7.8"/>
    <n v="394"/>
    <n v="589"/>
    <n v="21.3"/>
    <n v="29"/>
    <n v="0.3"/>
    <n v="3.12"/>
    <n v="25"/>
    <n v="550"/>
    <n v="900"/>
    <n v="1800"/>
    <n v="9"/>
    <n v="50"/>
    <n v="308.85000000000002"/>
  </r>
  <r>
    <n v="2678"/>
    <s v="RIVER MUTHA NEAR VEER SAVARKAR BHAVAN,_x000a_VILLAGE- PUNE M.C, TALUKA- PUNE, DISTRICT -PUNE."/>
    <x v="21"/>
    <n v="27.5"/>
    <n v="29"/>
    <n v="2.7"/>
    <n v="4.0999999999999996"/>
    <n v="6.9"/>
    <n v="7.8"/>
    <n v="433"/>
    <n v="568"/>
    <n v="21"/>
    <n v="29"/>
    <n v="0.3"/>
    <n v="3.05"/>
    <n v="20"/>
    <n v="350"/>
    <n v="900"/>
    <n v="1800"/>
    <n v="9"/>
    <n v="55"/>
    <n v="304.5"/>
  </r>
  <r>
    <n v="2191"/>
    <s v="RIVER MUTHA AT SANGAM BRIDGE NEAR_x000a_GANAPATHYGHAT, VILLAGE. SHIVAJI NAGAR, TALUKA._x000a_PUNE, DISTRICT. PUNE."/>
    <x v="21"/>
    <n v="27"/>
    <n v="29"/>
    <n v="2.8"/>
    <n v="4.0999999999999996"/>
    <n v="6.9"/>
    <n v="7.8"/>
    <n v="376"/>
    <n v="609"/>
    <n v="19.8"/>
    <n v="30"/>
    <n v="0.3"/>
    <n v="2.5499999999999998"/>
    <n v="30"/>
    <n v="350"/>
    <n v="550"/>
    <n v="1800"/>
    <n v="10"/>
    <n v="50"/>
    <n v="297"/>
  </r>
  <r>
    <n v="1178"/>
    <s v="RIVER PALLERU B/C WITH KRISHNA, JAGGAIAPET (V &amp;M)"/>
    <x v="25"/>
    <n v="25"/>
    <n v="27"/>
    <n v="7.1"/>
    <n v="7.9"/>
    <n v="7.5"/>
    <n v="8.1"/>
    <n v="880"/>
    <n v="1170"/>
    <n v="2.6"/>
    <n v="2.9"/>
    <n v="0.95"/>
    <n v="1.96"/>
    <n v="3"/>
    <n v="28"/>
    <n v="39"/>
    <n v="470"/>
    <n v="2"/>
    <n v="4"/>
    <n v="3.77"/>
  </r>
  <r>
    <n v="1904"/>
    <s v="RIVER PANCHAGANGA AT U/S OF KOLHAPUR TOWN_x000a_NEAR BALINGA PUMPING STATION, VILLAGE-BALINGA,_x000a_TALUKA- KARVIR, DISTRICT- KOLHAPUR."/>
    <x v="21"/>
    <n v="24"/>
    <n v="27"/>
    <n v="5.3"/>
    <n v="7.8"/>
    <n v="7.4"/>
    <n v="8.1"/>
    <n v="85"/>
    <n v="192"/>
    <n v="1.8"/>
    <n v="3"/>
    <n v="0.39"/>
    <n v="2.59"/>
    <n v="6"/>
    <n v="11"/>
    <n v="24"/>
    <n v="39"/>
    <n v="2"/>
    <n v="2"/>
    <n v="2.7"/>
  </r>
  <r>
    <n v="1905"/>
    <s v="RIVER PANCHAGANGA AT D/S OF KOLHAPUR TOWN AT_x000a_GANDHI NAGAR NEAR NH.4 BRIDGE AND MIDC, VILLAGE._x000a_UCHEGAON, TALUKA. KOLHAPUR, DISTRICT._x000a_KOLHAPUR."/>
    <x v="21"/>
    <n v="24"/>
    <n v="27"/>
    <n v="5.6"/>
    <n v="7.6"/>
    <n v="7.4"/>
    <n v="8.5"/>
    <n v="83"/>
    <n v="223"/>
    <n v="1.8"/>
    <n v="3"/>
    <n v="0.36"/>
    <n v="2.5299999999999998"/>
    <n v="6"/>
    <n v="12"/>
    <n v="22"/>
    <n v="47"/>
    <n v="2"/>
    <n v="2"/>
    <n v="2.7"/>
  </r>
  <r>
    <n v="1311"/>
    <s v="RIVER PANCHAGANGA AT ICHALKARANJI NEAR MIDC_x000a_INTAKE WELL. VILLAGE. SHIRADHWAD (ICHALKARANJI_x000a_GHAT), TALUKA.HATKANANGALE, DISTRICT. KOLHAPUR."/>
    <x v="21"/>
    <n v="24"/>
    <n v="28"/>
    <n v="5.6"/>
    <n v="7.8"/>
    <n v="7.3"/>
    <n v="8.6"/>
    <n v="84"/>
    <n v="734"/>
    <n v="1.8"/>
    <n v="3.8"/>
    <n v="0.82"/>
    <n v="3.43"/>
    <n v="6"/>
    <n v="10"/>
    <n v="25"/>
    <n v="47"/>
    <n v="2"/>
    <n v="2"/>
    <n v="3.42"/>
  </r>
  <r>
    <n v="2163"/>
    <s v="RIVER PANCHAGANGA AT SHIROL NEAR SHIROL INTAKE_x000a_WELL, VILLAGE- SHIROL, TALUKA- SHIROL, DISTRICT-KOLHAPUR."/>
    <x v="21"/>
    <n v="24"/>
    <n v="28"/>
    <n v="5.4"/>
    <n v="7.7"/>
    <n v="7.6"/>
    <n v="8.5"/>
    <n v="155"/>
    <n v="1029"/>
    <n v="1.8"/>
    <n v="3"/>
    <n v="0.66"/>
    <n v="3.26"/>
    <n v="4"/>
    <n v="9"/>
    <n v="21"/>
    <n v="47"/>
    <n v="2"/>
    <n v="2"/>
    <n v="2.7"/>
  </r>
  <r>
    <n v="2196"/>
    <s v="RIVER PAWANA AT SANGAVIGAON, VILLAGE-SANGAVIGAON, TALUKA- HAWELI, DISTRICT- PUNE."/>
    <x v="21"/>
    <n v="26"/>
    <n v="28"/>
    <n v="3.1"/>
    <n v="4.4000000000000004"/>
    <n v="7"/>
    <n v="7.9"/>
    <n v="223"/>
    <n v="705"/>
    <n v="12"/>
    <n v="27"/>
    <n v="0.3"/>
    <n v="4.9800000000000004"/>
    <n v="12"/>
    <n v="275"/>
    <n v="350"/>
    <n v="1600"/>
    <n v="6"/>
    <n v="30"/>
    <n v="162"/>
  </r>
  <r>
    <n v="2692"/>
    <s v="RIVER PAWANA AT RAVET WEIR, VILLAGE. RAVET,_x000a_TALUKA. HAWELI, DISTRICT. PUNE."/>
    <x v="21"/>
    <n v="26"/>
    <n v="28"/>
    <n v="5.3"/>
    <n v="6.5"/>
    <n v="7"/>
    <n v="8"/>
    <n v="114"/>
    <n v="276"/>
    <n v="2.4"/>
    <n v="4.8"/>
    <n v="0.3"/>
    <n v="1.42"/>
    <n v="4"/>
    <n v="30"/>
    <n v="85"/>
    <n v="275"/>
    <n v="2"/>
    <n v="17"/>
    <n v="5.76"/>
  </r>
  <r>
    <n v="2693"/>
    <s v="RIVER PAWANA AT CHINCHWADGAON, VILLAGE._x000a_CHINCHWADGAON, TALUKA. HAWELI, DISTRICT. PUNE."/>
    <x v="21"/>
    <n v="26"/>
    <n v="28"/>
    <n v="4.2"/>
    <n v="5.8"/>
    <n v="6.9"/>
    <n v="8"/>
    <n v="190"/>
    <n v="594"/>
    <n v="4.8"/>
    <n v="13"/>
    <n v="0.3"/>
    <n v="4.42"/>
    <n v="11"/>
    <n v="95"/>
    <n v="350"/>
    <n v="1800"/>
    <n v="4"/>
    <n v="35"/>
    <n v="31.2"/>
  </r>
  <r>
    <n v="2694"/>
    <s v="RIVER PAWANA AT PIMPRIGAON, VILLAGE-PIMPRIGAON, TALUKA- HAWELI, DISTRICT- PUNE."/>
    <x v="21"/>
    <n v="26"/>
    <n v="28"/>
    <n v="3.2"/>
    <n v="4.9000000000000004"/>
    <n v="7"/>
    <n v="7.9"/>
    <n v="245"/>
    <n v="830"/>
    <n v="9"/>
    <n v="31"/>
    <n v="0.3"/>
    <n v="4.3899999999999997"/>
    <n v="14"/>
    <n v="550"/>
    <n v="425"/>
    <n v="1800"/>
    <n v="6"/>
    <n v="50"/>
    <n v="139.5"/>
  </r>
  <r>
    <n v="2690"/>
    <s v="RIVER PAWANA AT KASARWADI, VILLAGE- KASARWADI,_x000a_TALUKA- HAWELI, DISTRICT- PUNE."/>
    <x v="21"/>
    <n v="26"/>
    <n v="28"/>
    <n v="3.7"/>
    <n v="4.4000000000000004"/>
    <n v="7"/>
    <n v="7.8"/>
    <n v="243"/>
    <n v="679"/>
    <n v="13"/>
    <n v="24"/>
    <n v="0.3"/>
    <n v="3.72"/>
    <n v="12"/>
    <n v="195"/>
    <n v="425"/>
    <n v="1800"/>
    <n v="8"/>
    <n v="35"/>
    <n v="156"/>
  </r>
  <r>
    <n v="2691"/>
    <s v="RIVER PAWANA AT DAPODI BRIDGE, AT PAWANA-MULLA SANGAM, VILLAGE- DAPODI, TALUKA- HAWELI,_x000a_DISTRICT- PUNE."/>
    <x v="21"/>
    <n v="25"/>
    <n v="28"/>
    <n v="2.9"/>
    <n v="4.3"/>
    <n v="7"/>
    <n v="7.9"/>
    <n v="229"/>
    <n v="754"/>
    <n v="13.5"/>
    <n v="28"/>
    <n v="0.3"/>
    <n v="3.08"/>
    <n v="14"/>
    <n v="195"/>
    <n v="540"/>
    <n v="1800"/>
    <n v="7"/>
    <n v="45"/>
    <n v="189"/>
  </r>
  <r>
    <n v="2705"/>
    <s v="RIVER SINA NEAR LABOTI TOLL NAKA, VILLAGE._x000a_LABOTI, TALUKA. MOHAL, DISTRICT. SOLAPUR."/>
    <x v="21"/>
    <n v="28"/>
    <n v="35"/>
    <n v="4.4000000000000004"/>
    <n v="5.6"/>
    <n v="7.7"/>
    <n v="8.6"/>
    <n v="755"/>
    <n v="1826"/>
    <n v="4.4000000000000004"/>
    <n v="10.9"/>
    <n v="1.08"/>
    <n v="1.89"/>
    <n v="9"/>
    <n v="25"/>
    <n v="115"/>
    <n v="275"/>
    <n v="4"/>
    <n v="9"/>
    <n v="23.980000000000004"/>
  </r>
  <r>
    <n v="1168"/>
    <s v="RIVER TUNGA AT D/S OF SHIMOGA TOWN"/>
    <x v="26"/>
    <n v="26"/>
    <n v="28"/>
    <n v="0.5"/>
    <n v="9.3000000000000007"/>
    <n v="6.5"/>
    <n v="7.7"/>
    <n v="88"/>
    <n v="360"/>
    <n v="1.2"/>
    <n v="8"/>
    <n v="0.3"/>
    <n v="2.82"/>
    <n v="110"/>
    <n v="940"/>
    <n v="1400"/>
    <n v="3500"/>
    <m/>
    <m/>
    <n v="4.8"/>
  </r>
  <r>
    <n v="4106"/>
    <s v="RIVER TUNGA U/S SHIVAMOGGA CITY"/>
    <x v="26"/>
    <n v="25"/>
    <n v="28"/>
    <n v="5"/>
    <n v="9.6999999999999993"/>
    <n v="6.5"/>
    <n v="8.1"/>
    <n v="66"/>
    <n v="220"/>
    <n v="1"/>
    <n v="2.5"/>
    <n v="0.3"/>
    <n v="0.92"/>
    <n v="17"/>
    <n v="46"/>
    <n v="210"/>
    <n v="540"/>
    <m/>
    <m/>
    <n v="1.25"/>
  </r>
  <r>
    <n v="1896"/>
    <s v="RIVER TUNGABHADRA AT CONFLUENCE POINT OF_x000a_TUNGA AND BHADRA AT KUDLI"/>
    <x v="26"/>
    <n v="25"/>
    <n v="28"/>
    <n v="6.3"/>
    <n v="8.1999999999999993"/>
    <n v="6.8"/>
    <n v="8.1"/>
    <n v="100"/>
    <n v="193"/>
    <n v="1"/>
    <n v="3"/>
    <n v="0.3"/>
    <n v="1.1000000000000001"/>
    <n v="4"/>
    <n v="43"/>
    <n v="220"/>
    <n v="540"/>
    <m/>
    <m/>
    <n v="1.5"/>
  </r>
  <r>
    <n v="38"/>
    <s v="RIVER TUNGABHADRA AT HONNALI BRIDGE"/>
    <x v="26"/>
    <n v="25"/>
    <n v="30"/>
    <n v="7"/>
    <n v="7.6"/>
    <n v="7.4"/>
    <n v="8.5"/>
    <n v="92"/>
    <n v="350"/>
    <n v="1"/>
    <n v="2.8"/>
    <n v="0.3"/>
    <n v="1.2"/>
    <n v="17"/>
    <n v="170"/>
    <n v="170"/>
    <n v="1500"/>
    <m/>
    <m/>
    <n v="1.4"/>
  </r>
  <r>
    <n v="1029"/>
    <s v="RIVER TUNGABHADRA AT HARALAHALLI BRIDGE"/>
    <x v="26"/>
    <n v="27"/>
    <n v="30"/>
    <n v="7"/>
    <n v="7.6"/>
    <n v="7.4"/>
    <n v="8.5"/>
    <n v="123"/>
    <n v="750"/>
    <n v="1.4"/>
    <n v="3"/>
    <n v="0.3"/>
    <n v="1.2"/>
    <n v="17"/>
    <n v="210"/>
    <n v="170"/>
    <n v="1700"/>
    <m/>
    <m/>
    <n v="2.0999999999999996"/>
  </r>
  <r>
    <n v="2766"/>
    <s v="RIVER TUNGABHADRA AT NEW BRIDGE"/>
    <x v="26"/>
    <n v="25"/>
    <n v="29"/>
    <n v="7"/>
    <n v="7.4"/>
    <n v="7.1"/>
    <n v="8.5"/>
    <n v="102"/>
    <n v="370"/>
    <n v="1.1000000000000001"/>
    <n v="3"/>
    <n v="0.3"/>
    <n v="1.57"/>
    <n v="4"/>
    <n v="200"/>
    <n v="140"/>
    <n v="1700"/>
    <m/>
    <m/>
    <n v="1.6500000000000001"/>
  </r>
  <r>
    <n v="2768"/>
    <s v="RIVER TUNGABHADRA AT D/S OF HARIHAR POLYFIBERS"/>
    <x v="26"/>
    <n v="26"/>
    <n v="30"/>
    <n v="6.1"/>
    <n v="6.8"/>
    <n v="7"/>
    <n v="8.1999999999999993"/>
    <n v="250"/>
    <n v="1900"/>
    <n v="3.2"/>
    <n v="6.2"/>
    <n v="0.43"/>
    <n v="2.64"/>
    <n v="11"/>
    <n v="94"/>
    <n v="170"/>
    <n v="920"/>
    <m/>
    <m/>
    <n v="9.9200000000000017"/>
  </r>
  <r>
    <n v="2767"/>
    <s v="RIVER TUNGABHADRA AT U/S OF HARIHAR POLYFIBERS"/>
    <x v="26"/>
    <n v="25"/>
    <n v="29"/>
    <n v="6.9"/>
    <n v="7.4"/>
    <n v="7.1"/>
    <n v="8.5"/>
    <n v="96"/>
    <n v="360"/>
    <n v="1.2"/>
    <n v="3"/>
    <n v="0.3"/>
    <n v="1.53"/>
    <n v="11"/>
    <n v="130"/>
    <n v="220"/>
    <n v="1600"/>
    <m/>
    <m/>
    <n v="1.7999999999999998"/>
  </r>
  <r>
    <n v="2770"/>
    <s v="RIVER TUNGABHADRA AT HARIHAR WATER SUPPLY_x000a_INTAKE"/>
    <x v="26"/>
    <n v="26"/>
    <n v="30"/>
    <n v="6.7"/>
    <n v="7"/>
    <n v="7.1"/>
    <n v="8.3000000000000007"/>
    <n v="128"/>
    <n v="610"/>
    <n v="3.2"/>
    <n v="5.2"/>
    <n v="0.32"/>
    <n v="1.77"/>
    <n v="700"/>
    <n v="4700"/>
    <n v="4300"/>
    <n v="43000"/>
    <m/>
    <m/>
    <n v="8.32"/>
  </r>
  <r>
    <n v="2769"/>
    <s v="RIVER TUNGABHADRA AT JACKWELL POINT"/>
    <x v="26"/>
    <n v="27"/>
    <n v="30"/>
    <n v="6.1"/>
    <n v="6.9"/>
    <n v="7"/>
    <n v="8.5"/>
    <n v="133"/>
    <n v="1400"/>
    <n v="2.2000000000000002"/>
    <n v="4.5999999999999996"/>
    <n v="0.34"/>
    <n v="1.44"/>
    <n v="13"/>
    <n v="200"/>
    <n v="350"/>
    <n v="1300"/>
    <m/>
    <m/>
    <n v="5.0599999999999996"/>
  </r>
  <r>
    <n v="5591"/>
    <s v="RIVER TUNGABHADRA AT NADIHARALAHALLI"/>
    <x v="26"/>
    <n v="27"/>
    <n v="28"/>
    <n v="6.7"/>
    <n v="7.8"/>
    <n v="7.1"/>
    <n v="8.1999999999999993"/>
    <n v="119"/>
    <n v="1070"/>
    <n v="2"/>
    <n v="4.2"/>
    <n v="0.94"/>
    <n v="1.4"/>
    <n v="21"/>
    <n v="280"/>
    <n v="280"/>
    <n v="2800"/>
    <m/>
    <m/>
    <n v="4.2"/>
  </r>
  <r>
    <n v="5592"/>
    <s v="RIVER TUNGABHADRA AT AIRANI"/>
    <x v="26"/>
    <n v="27"/>
    <n v="30"/>
    <n v="6.8"/>
    <n v="7.4"/>
    <n v="7.6"/>
    <n v="8.4"/>
    <n v="116"/>
    <n v="900"/>
    <n v="1.8"/>
    <n v="3.4"/>
    <n v="0.63"/>
    <n v="1.34"/>
    <n v="17"/>
    <n v="110"/>
    <n v="220"/>
    <n v="1600"/>
    <m/>
    <m/>
    <n v="3.06"/>
  </r>
  <r>
    <n v="4495"/>
    <s v="RIVER TUNGABHADRA AT ARAVI"/>
    <x v="26"/>
    <n v="27"/>
    <n v="31"/>
    <n v="6.9"/>
    <n v="7.3"/>
    <n v="7.7"/>
    <n v="8.5"/>
    <n v="152"/>
    <n v="790"/>
    <n v="1.1000000000000001"/>
    <n v="2.8"/>
    <n v="0.3"/>
    <n v="1.5"/>
    <n v="9"/>
    <n v="91"/>
    <n v="170"/>
    <n v="840"/>
    <m/>
    <m/>
    <n v="1.54"/>
  </r>
  <r>
    <n v="5593"/>
    <s v="RIVER TUNGABHADRA AT HIREBIDARI"/>
    <x v="26"/>
    <n v="27"/>
    <n v="30"/>
    <n v="7"/>
    <n v="8.3000000000000007"/>
    <n v="7.7"/>
    <n v="8.3000000000000007"/>
    <n v="120"/>
    <n v="970"/>
    <n v="1.5"/>
    <n v="3.5"/>
    <n v="0.62"/>
    <n v="2.4500000000000002"/>
    <n v="17"/>
    <n v="140"/>
    <n v="240"/>
    <n v="1200"/>
    <m/>
    <m/>
    <n v="2.625"/>
  </r>
  <r>
    <n v="5594"/>
    <s v="RIVER TUNGABHADRA AT KONANATHAMBIGE"/>
    <x v="26"/>
    <n v="27"/>
    <n v="32"/>
    <n v="7"/>
    <n v="10.5"/>
    <n v="7.6"/>
    <n v="8.4"/>
    <n v="136"/>
    <n v="850"/>
    <n v="1"/>
    <n v="3.6"/>
    <n v="0.65"/>
    <n v="1.41"/>
    <n v="18"/>
    <n v="140"/>
    <n v="170"/>
    <n v="1400"/>
    <m/>
    <m/>
    <n v="1.8"/>
  </r>
  <r>
    <n v="5595"/>
    <s v="RIVER TUNGABHADRA AT SOMALAPURA"/>
    <x v="26"/>
    <n v="27"/>
    <n v="31"/>
    <n v="7"/>
    <n v="10.199999999999999"/>
    <n v="7.1"/>
    <n v="8.5"/>
    <n v="137"/>
    <n v="820"/>
    <n v="1"/>
    <n v="6.6"/>
    <n v="0.66"/>
    <n v="1.43"/>
    <n v="21"/>
    <n v="120"/>
    <n v="350"/>
    <n v="1100"/>
    <m/>
    <m/>
    <n v="3.3"/>
  </r>
  <r>
    <n v="5596"/>
    <s v="RIVER TUNGABHADRA AT KURUVATHI"/>
    <x v="26"/>
    <n v="27"/>
    <n v="34"/>
    <n v="7.1"/>
    <n v="11.8"/>
    <n v="7.3"/>
    <n v="8.5"/>
    <n v="145"/>
    <n v="660"/>
    <n v="1"/>
    <n v="3"/>
    <n v="0.72"/>
    <n v="1.22"/>
    <n v="33"/>
    <n v="940"/>
    <n v="130"/>
    <n v="5400"/>
    <m/>
    <m/>
    <n v="1.5"/>
  </r>
  <r>
    <n v="4494"/>
    <s v="RIVER TUNGABHADRA AT MYLARA"/>
    <x v="26"/>
    <n v="27"/>
    <n v="31"/>
    <n v="7.2"/>
    <n v="7.5"/>
    <n v="7.4"/>
    <n v="8.5"/>
    <n v="164"/>
    <n v="770"/>
    <n v="1.6"/>
    <n v="3"/>
    <n v="0.4"/>
    <n v="1.5"/>
    <n v="13"/>
    <n v="630"/>
    <n v="110"/>
    <n v="4300"/>
    <m/>
    <m/>
    <n v="2.4000000000000004"/>
  </r>
  <r>
    <n v="2776"/>
    <s v="RIVER TUNGABHADRA AT D/S OF GANGAWATHI"/>
    <x v="26"/>
    <n v="22"/>
    <n v="30"/>
    <n v="7.1"/>
    <n v="7.8"/>
    <n v="7.3"/>
    <n v="8.5"/>
    <n v="328"/>
    <n v="900"/>
    <n v="2"/>
    <n v="3"/>
    <n v="0.3"/>
    <n v="3.34"/>
    <n v="280"/>
    <n v="490"/>
    <n v="1600"/>
    <n v="2800"/>
    <m/>
    <m/>
    <n v="3"/>
  </r>
  <r>
    <n v="29"/>
    <s v="RIVER TUNGABHADRA AT ULENOOR"/>
    <x v="26"/>
    <n v="17"/>
    <n v="29"/>
    <n v="0.3"/>
    <n v="7.8"/>
    <n v="6.5"/>
    <n v="8.4"/>
    <n v="69"/>
    <n v="2430"/>
    <n v="1"/>
    <n v="78"/>
    <n v="0.32"/>
    <n v="8"/>
    <n v="48"/>
    <n v="4800000"/>
    <n v="79"/>
    <n v="54000000"/>
    <n v="2"/>
    <n v="17"/>
    <n v="39"/>
  </r>
  <r>
    <n v="3558"/>
    <s v="RIVER TUNGABHADRA AT DADESUGUR BRIDGE_x000a_GAUGING STATION"/>
    <x v="26"/>
    <n v="27"/>
    <n v="32"/>
    <n v="6.8"/>
    <n v="8.6999999999999993"/>
    <n v="8.3000000000000007"/>
    <n v="8.6"/>
    <n v="676"/>
    <n v="2050"/>
    <n v="2.5"/>
    <n v="3.5"/>
    <n v="1.1000000000000001"/>
    <n v="4"/>
    <n v="280"/>
    <n v="700"/>
    <n v="1600"/>
    <n v="2800"/>
    <m/>
    <m/>
    <n v="4.375"/>
  </r>
  <r>
    <n v="30054"/>
    <s v="RIVER TUNGABHADRA AT HOCHECHALLI (BANGALORE)"/>
    <x v="26"/>
    <n v="24"/>
    <n v="28"/>
    <n v="7.2"/>
    <n v="12.2"/>
    <n v="8.1999999999999993"/>
    <n v="8.6999999999999993"/>
    <n v="921"/>
    <n v="2560"/>
    <n v="1"/>
    <n v="1"/>
    <n v="0"/>
    <n v="1.52"/>
    <n v="70"/>
    <n v="790"/>
    <n v="280"/>
    <n v="5400"/>
    <m/>
    <m/>
    <n v="0.5"/>
  </r>
  <r>
    <n v="1785"/>
    <s v="RIVER TUNGABHADRA AT MANTHRALAYAM (V &amp; M)"/>
    <x v="25"/>
    <n v="21"/>
    <n v="29"/>
    <n v="5.3"/>
    <n v="6.4"/>
    <n v="7.3"/>
    <n v="8"/>
    <n v="964"/>
    <n v="1652"/>
    <n v="1"/>
    <n v="2.7"/>
    <n v="0.46"/>
    <n v="1.51"/>
    <n v="163"/>
    <n v="615"/>
    <n v="602"/>
    <n v="1553"/>
    <m/>
    <m/>
    <n v="1.35"/>
  </r>
  <r>
    <n v="1174"/>
    <s v="RIVER TUNGABHADRA AT KURNOOL U/S, BHAVAPURAM_x000a_(V), KURNOOL (M)"/>
    <x v="25"/>
    <n v="22"/>
    <n v="28"/>
    <n v="5.2"/>
    <n v="6.3"/>
    <n v="7.3"/>
    <n v="8.1"/>
    <n v="1360"/>
    <n v="1698"/>
    <n v="1.7"/>
    <n v="2.5"/>
    <n v="0.53"/>
    <n v="2.2400000000000002"/>
    <n v="177"/>
    <n v="479"/>
    <n v="549"/>
    <n v="1203"/>
    <m/>
    <m/>
    <n v="2.125"/>
  </r>
  <r>
    <n v="4388"/>
    <s v="RIVER TUNGABHADRA, UPSTREAM OF KURNOOL TOWN_x000a_BEFORE JOINING CITY DOMESTIC SEWAGE AND AFTER_x000a_M/S RAYALASEEMA ALKALIES INDUSTRIES NEAR_x000a_SIVALAYAM TEMPLE, GONDIPARLA (V), KURNOOL (M)"/>
    <x v="25"/>
    <n v="18"/>
    <n v="27"/>
    <n v="5"/>
    <n v="5.9"/>
    <n v="6.8"/>
    <n v="7.9"/>
    <n v="1329"/>
    <n v="2263"/>
    <n v="1.3"/>
    <n v="2.8"/>
    <n v="0.52"/>
    <n v="1.46"/>
    <n v="162"/>
    <n v="549"/>
    <n v="613"/>
    <n v="1553"/>
    <m/>
    <m/>
    <n v="1.8199999999999998"/>
  </r>
  <r>
    <n v="4389"/>
    <s v="RIVER TUNGABHADRA, DOWNSTREAM OF KURNOOL_x000a_TOWN AFTER JOINING CITY DOMESTIC SEWAGE,_x000a_PADIDEMPADU (V),"/>
    <x v="25"/>
    <n v="21"/>
    <n v="28"/>
    <n v="5.0999999999999996"/>
    <n v="5.7"/>
    <n v="7"/>
    <n v="7.8"/>
    <n v="720"/>
    <n v="1720"/>
    <n v="1"/>
    <n v="2.8"/>
    <n v="1.0900000000000001"/>
    <n v="1.84"/>
    <n v="177"/>
    <n v="689"/>
    <n v="649"/>
    <n v="1986"/>
    <m/>
    <m/>
    <n v="1.4"/>
  </r>
  <r>
    <n v="4379"/>
    <s v="RIVER UPPUTERU BEFORE CONFLUENCE WITH SEA, AT_x000a_CHINNA GOLLAPALEM (V), KRUTHIVENNU (M)"/>
    <x v="25"/>
    <n v="24"/>
    <n v="26"/>
    <n v="5.8"/>
    <n v="6.7"/>
    <n v="7.6"/>
    <n v="8"/>
    <n v="34400"/>
    <n v="54200"/>
    <n v="2.2999999999999998"/>
    <n v="2.9"/>
    <n v="0.66"/>
    <n v="1.24"/>
    <n v="3"/>
    <n v="14"/>
    <n v="36"/>
    <n v="210"/>
    <n v="2"/>
    <n v="3"/>
    <n v="3.3349999999999995"/>
  </r>
  <r>
    <n v="2711"/>
    <s v="RIVER URMODI AT NAGTHNE KT WARE, VILLAGE-NAGTHANE,TALUKA- SATARA, DISTRICT- SATARA."/>
    <x v="21"/>
    <n v="25"/>
    <n v="33.5"/>
    <n v="4.9000000000000004"/>
    <n v="6.4"/>
    <n v="7.3"/>
    <n v="8.3000000000000007"/>
    <n v="174"/>
    <n v="887"/>
    <n v="3"/>
    <n v="5.2"/>
    <n v="0.3"/>
    <n v="1.83"/>
    <n v="8"/>
    <n v="40"/>
    <n v="95"/>
    <n v="425"/>
    <n v="4"/>
    <n v="14"/>
    <n v="7.8000000000000007"/>
  </r>
  <r>
    <n v="2715"/>
    <s v="RIVER VEL AT SHIKRAPUR, VILLAGE. SHIKRAPUR,_x000a_TALUKA. SHIRUR, DISTRICT. PUNE."/>
    <x v="21"/>
    <n v="26"/>
    <n v="29"/>
    <n v="5"/>
    <n v="6.1"/>
    <n v="7.9"/>
    <n v="8"/>
    <n v="177"/>
    <n v="582"/>
    <n v="4"/>
    <n v="8.4"/>
    <n v="0.3"/>
    <n v="0.3"/>
    <n v="14"/>
    <n v="110"/>
    <n v="350"/>
    <n v="425"/>
    <n v="6"/>
    <n v="17"/>
    <n v="16.8"/>
  </r>
  <r>
    <n v="1255"/>
    <s v="RIVER PENNAR B/C WITH CHITRAVATHI, TADIPATRI (M),_x000a_VENGANUR (V)"/>
    <x v="25"/>
    <n v="23"/>
    <n v="34"/>
    <n v="5.3"/>
    <n v="5.9"/>
    <n v="7.3"/>
    <n v="8"/>
    <n v="683"/>
    <n v="1263"/>
    <n v="1.2"/>
    <n v="2.8"/>
    <n v="0.61"/>
    <n v="1.61"/>
    <n v="203"/>
    <n v="613"/>
    <n v="816"/>
    <n v="1553"/>
    <m/>
    <m/>
    <n v="1.68"/>
  </r>
  <r>
    <n v="1256"/>
    <s v="RIVER PENNAR A/C WITH PAPAGNI, PUSHPAGIRI_x000a_(V),VALLUR (M)"/>
    <x v="25"/>
    <n v="22"/>
    <n v="28"/>
    <n v="5.5"/>
    <n v="6.2"/>
    <n v="7.3"/>
    <n v="8.1"/>
    <n v="806"/>
    <n v="1298"/>
    <n v="1"/>
    <n v="2.5"/>
    <n v="0.69"/>
    <n v="1.43"/>
    <n v="185"/>
    <n v="395"/>
    <n v="575"/>
    <n v="1300"/>
    <m/>
    <m/>
    <n v="1.25"/>
  </r>
  <r>
    <n v="1257"/>
    <s v="RIVER PENNAR A/C WITH CHEYYURU, SOMASILA (V),_x000a_ANANTHASAGARAM (M)"/>
    <x v="25"/>
    <n v="17"/>
    <n v="20"/>
    <n v="6.8"/>
    <n v="8.3000000000000007"/>
    <n v="7.5"/>
    <n v="8.1999999999999993"/>
    <n v="728"/>
    <n v="1080"/>
    <n v="2.6"/>
    <n v="2.8"/>
    <n v="0.54"/>
    <n v="1.46"/>
    <n v="3"/>
    <n v="14"/>
    <n v="64"/>
    <n v="470"/>
    <n v="2"/>
    <n v="3"/>
    <n v="3.6399999999999997"/>
  </r>
  <r>
    <n v="30"/>
    <s v="RIVER PENNAR AT SIDDAVATAM (V &amp; M)"/>
    <x v="25"/>
    <n v="20"/>
    <n v="28"/>
    <n v="5"/>
    <n v="6.4"/>
    <n v="6.6"/>
    <n v="7.7"/>
    <n v="835"/>
    <n v="1451"/>
    <n v="1"/>
    <n v="2.7"/>
    <n v="0.38"/>
    <n v="1.7"/>
    <n v="151"/>
    <n v="381"/>
    <n v="575"/>
    <n v="1049"/>
    <m/>
    <m/>
    <n v="1.35"/>
  </r>
  <r>
    <n v="2351"/>
    <s v="RIVER KUNDU, NANDYAL, NEAR OVER BDG.,NANDYAL_x000a_TOWN"/>
    <x v="25"/>
    <n v="15"/>
    <n v="29"/>
    <n v="3.4"/>
    <n v="5.9"/>
    <n v="6.9"/>
    <n v="7.7"/>
    <n v="876"/>
    <n v="1310"/>
    <n v="2.2000000000000002"/>
    <n v="3.6"/>
    <n v="0.75"/>
    <n v="2.38"/>
    <n v="235"/>
    <n v="649"/>
    <n v="770"/>
    <n v="1986"/>
    <m/>
    <m/>
    <n v="3.9600000000000004"/>
  </r>
  <r>
    <n v="1689"/>
    <s v="CHUNNAMBAR RIVER, KILINJIKUPPAM ROAD,_x000a_NONANKUPPAM, PUDUCHERRY."/>
    <x v="28"/>
    <n v="29"/>
    <n v="35"/>
    <n v="6.3"/>
    <n v="13.7"/>
    <n v="8.1"/>
    <n v="9.4"/>
    <n v="856"/>
    <n v="1605"/>
    <n v="2"/>
    <n v="9"/>
    <n v="0"/>
    <n v="0.32"/>
    <n v="2"/>
    <n v="1600"/>
    <n v="170"/>
    <n v="1600"/>
    <n v="2"/>
    <n v="280"/>
    <n v="9"/>
  </r>
  <r>
    <n v="1198"/>
    <s v="RIVER CAUVERY AT NAPOKULU BDG (D/S)"/>
    <x v="26"/>
    <n v="17"/>
    <n v="26"/>
    <n v="6.3"/>
    <n v="7.7"/>
    <n v="7"/>
    <n v="8.6999999999999993"/>
    <n v="48"/>
    <n v="170"/>
    <n v="1"/>
    <n v="2.5"/>
    <n v="0.3"/>
    <n v="1"/>
    <n v="17"/>
    <n v="43"/>
    <n v="210"/>
    <n v="350"/>
    <m/>
    <m/>
    <n v="1.25"/>
  </r>
  <r>
    <n v="1195"/>
    <s v="RIVER CAUVERY AT KUSHAL NAGAR U/S (NEAR_x000a_BAICHANAHALLI)"/>
    <x v="26"/>
    <n v="18"/>
    <n v="27"/>
    <n v="6.2"/>
    <n v="7.7"/>
    <n v="7.2"/>
    <n v="8.6"/>
    <n v="63"/>
    <n v="326"/>
    <n v="1"/>
    <n v="3"/>
    <n v="0.3"/>
    <n v="1.9"/>
    <n v="32"/>
    <n v="78"/>
    <n v="240"/>
    <n v="630"/>
    <m/>
    <m/>
    <n v="1.5"/>
  </r>
  <r>
    <n v="33"/>
    <s v="RIVER CAUVERY AT KRS DAM, BALAMURIKSHETRA"/>
    <x v="26"/>
    <n v="19"/>
    <n v="28"/>
    <n v="6.1"/>
    <n v="7"/>
    <n v="7"/>
    <n v="8.6"/>
    <n v="143"/>
    <n v="489"/>
    <n v="1"/>
    <n v="4"/>
    <n v="0.78"/>
    <n v="3.4"/>
    <n v="83"/>
    <n v="170"/>
    <n v="940"/>
    <n v="1300"/>
    <m/>
    <m/>
    <n v="2"/>
  </r>
  <r>
    <n v="1171"/>
    <s v="RIVER CAUVERY AT SRI RANGAPATTANNA, D/S OF_x000a_ROAD BDG."/>
    <x v="26"/>
    <n v="20"/>
    <n v="29"/>
    <n v="5.7"/>
    <n v="6.7"/>
    <n v="7.8"/>
    <n v="8.5"/>
    <n v="221"/>
    <n v="518"/>
    <n v="2"/>
    <n v="4.5"/>
    <n v="0.75"/>
    <n v="4.0999999999999996"/>
    <n v="110"/>
    <n v="270"/>
    <n v="1300"/>
    <n v="2400"/>
    <m/>
    <m/>
    <n v="4.5"/>
  </r>
  <r>
    <n v="1386"/>
    <s v="RIVER CAUVERY AT D/S OF KAREKUARA VILLAGE"/>
    <x v="26"/>
    <n v="19"/>
    <n v="29"/>
    <n v="5.5"/>
    <n v="6.9"/>
    <n v="7.7"/>
    <n v="8.6999999999999993"/>
    <n v="158"/>
    <n v="438"/>
    <n v="2"/>
    <n v="4"/>
    <n v="1.4"/>
    <n v="2.8"/>
    <n v="110"/>
    <n v="210"/>
    <n v="1200"/>
    <n v="1700"/>
    <m/>
    <m/>
    <n v="4"/>
  </r>
  <r>
    <n v="34"/>
    <s v="RIVER CAUVERY AT SATHYAGALAM BRIDGE"/>
    <x v="26"/>
    <n v="21"/>
    <n v="33"/>
    <n v="5.4"/>
    <n v="7"/>
    <n v="7.9"/>
    <n v="8.6"/>
    <n v="215"/>
    <n v="485"/>
    <n v="1"/>
    <n v="3.5"/>
    <n v="1.1599999999999999"/>
    <n v="2.4"/>
    <n v="110"/>
    <n v="210"/>
    <n v="1100"/>
    <n v="1700"/>
    <m/>
    <m/>
    <n v="1.75"/>
  </r>
  <r>
    <n v="2773"/>
    <s v="RIVER CAUVERY AT BANNUR BRIDGE"/>
    <x v="26"/>
    <n v="23"/>
    <n v="28"/>
    <n v="5.7"/>
    <n v="7.1"/>
    <n v="8"/>
    <n v="8.5"/>
    <n v="195"/>
    <n v="495"/>
    <n v="1"/>
    <n v="3.5"/>
    <n v="0.97"/>
    <n v="2.8"/>
    <n v="110"/>
    <n v="170"/>
    <n v="1100"/>
    <n v="1700"/>
    <m/>
    <m/>
    <n v="1.75"/>
  </r>
  <r>
    <n v="2774"/>
    <s v="RIVER CAUVERY AT RANGANATHITTU"/>
    <x v="26"/>
    <n v="19"/>
    <n v="28"/>
    <n v="6.2"/>
    <n v="6.9"/>
    <n v="7.6"/>
    <n v="8.5"/>
    <n v="160"/>
    <n v="457"/>
    <n v="1.8"/>
    <n v="3"/>
    <n v="0.48"/>
    <n v="3.3"/>
    <n v="110"/>
    <n v="210"/>
    <n v="1100"/>
    <n v="1500"/>
    <m/>
    <m/>
    <n v="2.7"/>
  </r>
  <r>
    <n v="3566"/>
    <s v="RIVER CAUVERY AT KRS DAM MANDYA"/>
    <x v="26"/>
    <n v="19"/>
    <n v="29"/>
    <n v="6.1"/>
    <n v="7.1"/>
    <n v="7.5"/>
    <n v="8.6999999999999993"/>
    <n v="140"/>
    <n v="564"/>
    <n v="1"/>
    <n v="3"/>
    <n v="0.96"/>
    <n v="2.9"/>
    <n v="83"/>
    <n v="170"/>
    <n v="700"/>
    <n v="2100"/>
    <m/>
    <m/>
    <n v="1.5"/>
  </r>
  <r>
    <n v="3568"/>
    <s v="RIVER CAUVERY AT WATER SUPPLY INTAKE POINT TO_x000a_SRIRANGAPATNA TOWN"/>
    <x v="26"/>
    <n v="20"/>
    <n v="29"/>
    <n v="5.7"/>
    <n v="6.4"/>
    <n v="7.5"/>
    <n v="8.6"/>
    <n v="203"/>
    <n v="586"/>
    <n v="2.5"/>
    <n v="4"/>
    <n v="0.72"/>
    <n v="3.9"/>
    <n v="110"/>
    <n v="260"/>
    <n v="1200"/>
    <n v="2300"/>
    <m/>
    <m/>
    <n v="5"/>
  </r>
  <r>
    <n v="3569"/>
    <s v="RIVER CAUVERY AT WATER SUPPLY INTAKE POINT TO_x000a_MANDYA TOWN"/>
    <x v="26"/>
    <n v="20"/>
    <n v="29"/>
    <n v="5.8"/>
    <n v="6.7"/>
    <n v="7.3"/>
    <n v="8.6"/>
    <n v="216"/>
    <n v="704"/>
    <n v="2"/>
    <n v="4.5"/>
    <n v="0.71"/>
    <n v="4.0999999999999996"/>
    <n v="93"/>
    <n v="320"/>
    <n v="1100"/>
    <n v="2100"/>
    <m/>
    <m/>
    <n v="4.5"/>
  </r>
  <r>
    <n v="3570"/>
    <s v="RIVER CAUVERY D/S OF KR NAGAR BRIDGE"/>
    <x v="26"/>
    <n v="21"/>
    <n v="30"/>
    <n v="5.9"/>
    <n v="7"/>
    <n v="7.3"/>
    <n v="8.6"/>
    <n v="140"/>
    <n v="535"/>
    <n v="1"/>
    <n v="3.5"/>
    <n v="0.56000000000000005"/>
    <n v="4.3"/>
    <n v="68"/>
    <n v="220"/>
    <n v="840"/>
    <n v="1300"/>
    <m/>
    <m/>
    <n v="1.75"/>
  </r>
  <r>
    <n v="3571"/>
    <s v="RIVER CAUVERY U/S OF KR NAGAR"/>
    <x v="26"/>
    <n v="21"/>
    <n v="30"/>
    <n v="6.3"/>
    <n v="7.2"/>
    <n v="7.4"/>
    <n v="8.6"/>
    <n v="120"/>
    <n v="493"/>
    <n v="1"/>
    <n v="3"/>
    <n v="0.48"/>
    <n v="2.9"/>
    <n v="68"/>
    <n v="93"/>
    <n v="700"/>
    <n v="1100"/>
    <m/>
    <m/>
    <n v="1.5"/>
  </r>
  <r>
    <n v="3573"/>
    <s v="RIVER CAUVERY D/S OF KUSHALANAGAR TOWN"/>
    <x v="26"/>
    <n v="17"/>
    <n v="27"/>
    <n v="6.2"/>
    <n v="7.7"/>
    <n v="7.3"/>
    <n v="8.6"/>
    <n v="66"/>
    <n v="326"/>
    <n v="1"/>
    <n v="3"/>
    <n v="0.32"/>
    <n v="1.8"/>
    <n v="32"/>
    <n v="68"/>
    <n v="240"/>
    <n v="700"/>
    <m/>
    <m/>
    <n v="1.5"/>
  </r>
  <r>
    <n v="3576"/>
    <s v="RIVER CAUVERY AT WATER SUPPLY INTAKE POINT TO_x000a_MYSORE"/>
    <x v="26"/>
    <n v="18"/>
    <n v="28"/>
    <n v="6.2"/>
    <n v="7.4"/>
    <n v="7.6"/>
    <n v="8.6"/>
    <n v="152"/>
    <n v="462"/>
    <n v="1"/>
    <n v="3"/>
    <n v="1.1000000000000001"/>
    <n v="2.9"/>
    <n v="68"/>
    <n v="120"/>
    <n v="230"/>
    <n v="1100"/>
    <m/>
    <m/>
    <n v="1.5"/>
  </r>
  <r>
    <n v="3578"/>
    <s v="RIVER CAUVERY D/S OF MADDUR WATER SUPPLY_x000a_TREATMENT PLANT AT BACHALLI"/>
    <x v="26"/>
    <n v="19"/>
    <n v="27"/>
    <n v="6.5"/>
    <n v="7.3"/>
    <n v="8"/>
    <n v="8.6999999999999993"/>
    <n v="218"/>
    <n v="481"/>
    <n v="1"/>
    <n v="3"/>
    <n v="0.75"/>
    <n v="2.4"/>
    <n v="68"/>
    <n v="110"/>
    <n v="700"/>
    <n v="1500"/>
    <m/>
    <m/>
    <n v="1.5"/>
  </r>
  <r>
    <n v="3579"/>
    <s v="RIVER CAUVERY AT WATER SUPPLY INTAKE POINT AT_x000a_KOLLEGALA DASANAPURA"/>
    <x v="26"/>
    <n v="23"/>
    <n v="33"/>
    <n v="5.2"/>
    <n v="6.8"/>
    <n v="7.9"/>
    <n v="8.6999999999999993"/>
    <n v="205"/>
    <n v="492"/>
    <n v="2"/>
    <n v="4"/>
    <n v="1"/>
    <n v="3.4"/>
    <n v="78"/>
    <n v="260"/>
    <n v="940"/>
    <n v="1700"/>
    <m/>
    <m/>
    <n v="4"/>
  </r>
  <r>
    <n v="3581"/>
    <s v="RIVER CAUVERY AT WATER SUPPLY INTAKE POINT AT_x000a_TORE KADANA HALLI"/>
    <x v="26"/>
    <n v="19"/>
    <n v="28"/>
    <n v="6.3"/>
    <n v="7.3"/>
    <n v="7.9"/>
    <n v="8.6999999999999993"/>
    <n v="218"/>
    <n v="480"/>
    <n v="1"/>
    <n v="3"/>
    <n v="0.84"/>
    <n v="2.7"/>
    <n v="61"/>
    <n v="110"/>
    <n v="630"/>
    <n v="1200"/>
    <m/>
    <m/>
    <n v="1.5"/>
  </r>
  <r>
    <n v="4109"/>
    <s v="RIVER CAUVERY BEFORE CONFLUENCE AT SANGAM"/>
    <x v="26"/>
    <n v="25"/>
    <n v="36"/>
    <n v="3.6"/>
    <n v="6.9"/>
    <n v="7.2"/>
    <n v="8.1"/>
    <n v="269"/>
    <n v="1144"/>
    <n v="4"/>
    <n v="12"/>
    <n v="1"/>
    <n v="5"/>
    <n v="22"/>
    <n v="9400"/>
    <n v="79"/>
    <n v="92000"/>
    <m/>
    <m/>
    <n v="24"/>
  </r>
  <r>
    <n v="4099"/>
    <s v="RIVER CAUVERY D/S BHARACHUKI FALLS, SATHEGALA,_x000a_KOLLEGALA"/>
    <x v="26"/>
    <n v="22"/>
    <n v="31"/>
    <n v="6.2"/>
    <n v="7"/>
    <n v="7"/>
    <n v="8.6999999999999993"/>
    <n v="217"/>
    <n v="484"/>
    <n v="1"/>
    <n v="3"/>
    <n v="0.96"/>
    <n v="3.2"/>
    <n v="78"/>
    <n v="170"/>
    <n v="840"/>
    <n v="1400"/>
    <m/>
    <m/>
    <n v="1.5"/>
  </r>
  <r>
    <n v="4102"/>
    <s v="RIVER CAUVERY D/S AT BHAGAMANDALA BRIDGE"/>
    <x v="26"/>
    <n v="16"/>
    <n v="27"/>
    <n v="6.5"/>
    <n v="7.8"/>
    <n v="6.8"/>
    <n v="8.9"/>
    <n v="48"/>
    <n v="127"/>
    <n v="1"/>
    <n v="2.5"/>
    <n v="0.3"/>
    <n v="1"/>
    <n v="17"/>
    <n v="41"/>
    <n v="210"/>
    <n v="350"/>
    <m/>
    <m/>
    <n v="1.25"/>
  </r>
  <r>
    <n v="4103"/>
    <s v="RIVER CAUVERY D/S AT KANIVE RAMALINGESWARA_x000a_TEMPLE BRIDGE, KUSHALANAGAR"/>
    <x v="26"/>
    <n v="17"/>
    <n v="27"/>
    <n v="6.6"/>
    <n v="7.6"/>
    <n v="7.2"/>
    <n v="8.8000000000000007"/>
    <n v="58"/>
    <n v="333"/>
    <n v="1"/>
    <n v="3"/>
    <n v="0.3"/>
    <n v="2.2000000000000002"/>
    <n v="21"/>
    <n v="92"/>
    <n v="220"/>
    <n v="1200"/>
    <m/>
    <m/>
    <n v="1.5"/>
  </r>
  <r>
    <n v="30052"/>
    <s v="RIVER CAUVERY AT AJJIBORE (BANGALORE)"/>
    <x v="26"/>
    <n v="25"/>
    <n v="26"/>
    <n v="7"/>
    <n v="7.7"/>
    <n v="8"/>
    <n v="8.8000000000000007"/>
    <n v="329"/>
    <n v="586"/>
    <n v="1"/>
    <n v="1"/>
    <n v="0"/>
    <n v="1.72"/>
    <n v="11"/>
    <n v="79"/>
    <n v="350"/>
    <n v="350"/>
    <m/>
    <m/>
    <n v="0.5"/>
  </r>
  <r>
    <n v="50"/>
    <s v="RIVER CAUVERY AT METTUR"/>
    <x v="29"/>
    <n v="23"/>
    <n v="31"/>
    <n v="5.2"/>
    <n v="6.5"/>
    <n v="7"/>
    <n v="8.9"/>
    <n v="340"/>
    <n v="1596"/>
    <n v="1"/>
    <n v="2.7"/>
    <n v="0.32"/>
    <n v="0.55000000000000004"/>
    <n v="5"/>
    <n v="17"/>
    <n v="13"/>
    <n v="39"/>
    <m/>
    <m/>
    <n v="1.35"/>
  </r>
  <r>
    <n v="51"/>
    <s v="RIVER CAUVERY AT PALLIPPALAYAM"/>
    <x v="29"/>
    <n v="24"/>
    <n v="30"/>
    <n v="5.9"/>
    <n v="6.7"/>
    <n v="7.2"/>
    <n v="8.3000000000000007"/>
    <n v="304"/>
    <n v="1204"/>
    <n v="1"/>
    <n v="2.7"/>
    <n v="0.32"/>
    <n v="1.22"/>
    <n v="7"/>
    <n v="33"/>
    <n v="14"/>
    <n v="140"/>
    <m/>
    <m/>
    <n v="1.35"/>
  </r>
  <r>
    <n v="1320"/>
    <s v="RIVER CAUVERY AT ERODE NEAR VIRAPALAYAM,"/>
    <x v="29"/>
    <n v="28"/>
    <n v="37"/>
    <n v="5.2"/>
    <n v="6.5"/>
    <n v="7.1"/>
    <n v="8.3000000000000007"/>
    <n v="335"/>
    <n v="1177"/>
    <n v="1"/>
    <n v="3.1"/>
    <n v="0.32"/>
    <n v="3.42"/>
    <n v="14"/>
    <n v="26"/>
    <n v="26"/>
    <n v="70"/>
    <m/>
    <m/>
    <n v="1.55"/>
  </r>
  <r>
    <n v="3015"/>
    <s v="RIVER CAUVERY AT PUGALUR, KARUR, TAMILNADU"/>
    <x v="29"/>
    <n v="26"/>
    <n v="35"/>
    <n v="5.6"/>
    <n v="7.3"/>
    <n v="7.6"/>
    <n v="8.3000000000000007"/>
    <n v="531"/>
    <n v="1085"/>
    <n v="1"/>
    <n v="2.8"/>
    <n v="0.32"/>
    <n v="0.75"/>
    <n v="2"/>
    <n v="21"/>
    <n v="8"/>
    <n v="47"/>
    <m/>
    <m/>
    <n v="1.4"/>
  </r>
  <r>
    <n v="1324"/>
    <s v="RIVER CAUVERY AT MOHANUR NEAR PATTAIPALAYAM,_x000a_TAMILNADU"/>
    <x v="29"/>
    <n v="3"/>
    <n v="33"/>
    <n v="5.5"/>
    <n v="6.7"/>
    <n v="7.6"/>
    <n v="8.6"/>
    <n v="500"/>
    <n v="1336"/>
    <n v="1"/>
    <n v="2.7"/>
    <n v="0.32"/>
    <n v="0.92"/>
    <n v="9"/>
    <n v="24"/>
    <n v="17"/>
    <n v="39"/>
    <m/>
    <m/>
    <n v="1.35"/>
  </r>
  <r>
    <n v="1451"/>
    <s v="RIVER CAUVERY AT THIRUMUKKUDAL-CONFL. PT.OF R._x000a_AMRAVATI, TAMILNADU"/>
    <x v="29"/>
    <n v="26"/>
    <n v="34"/>
    <n v="5.6"/>
    <n v="6.8"/>
    <n v="7.5"/>
    <n v="8.4"/>
    <n v="373"/>
    <n v="1260"/>
    <n v="1"/>
    <n v="2.5"/>
    <n v="0.32"/>
    <n v="1.21"/>
    <n v="2"/>
    <n v="27"/>
    <n v="5"/>
    <n v="130"/>
    <m/>
    <m/>
    <n v="1.25"/>
  </r>
  <r>
    <n v="31"/>
    <s v="RIVER CAUVERY AT MUSIRI"/>
    <x v="29"/>
    <n v="25"/>
    <n v="31"/>
    <n v="6.4"/>
    <n v="8.8000000000000007"/>
    <n v="7.1"/>
    <n v="8.4"/>
    <n v="426"/>
    <n v="978"/>
    <n v="1"/>
    <n v="3"/>
    <n v="0.32"/>
    <n v="2.12"/>
    <n v="6"/>
    <n v="78"/>
    <n v="14"/>
    <n v="400"/>
    <m/>
    <m/>
    <n v="1.5"/>
  </r>
  <r>
    <n v="3016"/>
    <s v="RIVER CAUVERY AT PETTAIVAITHALAI, TRICHY,"/>
    <x v="29"/>
    <n v="25"/>
    <n v="32"/>
    <n v="4.5"/>
    <n v="7.9"/>
    <n v="7.2"/>
    <n v="8.5"/>
    <n v="392"/>
    <n v="932"/>
    <n v="1"/>
    <n v="4"/>
    <n v="0.32"/>
    <n v="2.08"/>
    <n v="7"/>
    <n v="170"/>
    <n v="17"/>
    <n v="940"/>
    <m/>
    <m/>
    <n v="2"/>
  </r>
  <r>
    <n v="1202"/>
    <s v="RIVER CAUVERY AT TIRUCHIRAPPALLI U/S, TAMILNADU"/>
    <x v="29"/>
    <n v="25"/>
    <n v="32"/>
    <n v="4.2"/>
    <n v="7.9"/>
    <n v="7.1"/>
    <n v="8.3000000000000007"/>
    <n v="384"/>
    <n v="904"/>
    <n v="1"/>
    <n v="3"/>
    <n v="0.32"/>
    <n v="2.2200000000000002"/>
    <n v="7"/>
    <n v="45"/>
    <n v="24"/>
    <n v="140"/>
    <m/>
    <m/>
    <n v="1.5"/>
  </r>
  <r>
    <n v="1325"/>
    <s v="RIVER CAUVERY AT TIRUCHIRAPPALLI D/S, TAMILNADU"/>
    <x v="29"/>
    <n v="24"/>
    <n v="31"/>
    <n v="5.7"/>
    <n v="8"/>
    <n v="7.3"/>
    <n v="8.5"/>
    <n v="472"/>
    <n v="1016"/>
    <n v="1"/>
    <n v="3"/>
    <n v="0.32"/>
    <n v="18.12"/>
    <n v="7"/>
    <n v="93"/>
    <n v="21"/>
    <n v="330"/>
    <m/>
    <m/>
    <n v="1.5"/>
  </r>
  <r>
    <n v="1203"/>
    <s v="RIVER CAUVERY AT TRICHY, GRAND ANAICUT,"/>
    <x v="29"/>
    <n v="23"/>
    <n v="28"/>
    <n v="4.5"/>
    <n v="7.9"/>
    <n v="7.3"/>
    <n v="8.1"/>
    <n v="472"/>
    <n v="946"/>
    <n v="1"/>
    <n v="2.9"/>
    <n v="0.32"/>
    <n v="6.48"/>
    <n v="2"/>
    <n v="68"/>
    <n v="8"/>
    <n v="680"/>
    <m/>
    <m/>
    <n v="1.45"/>
  </r>
  <r>
    <n v="1206"/>
    <s v="RIVER CAUVERY AT KARUTHATTANUDI THANJAVUR,"/>
    <x v="29"/>
    <n v="24"/>
    <n v="32"/>
    <n v="5.6"/>
    <n v="7.9"/>
    <n v="7.3"/>
    <n v="8.4"/>
    <n v="395"/>
    <n v="890"/>
    <n v="1"/>
    <n v="2.8"/>
    <n v="0.32"/>
    <n v="2.36"/>
    <n v="2"/>
    <n v="20"/>
    <n v="4"/>
    <n v="450"/>
    <m/>
    <m/>
    <n v="1.4"/>
  </r>
  <r>
    <n v="3018"/>
    <s v="RIVER CAUVERY AT MAYILADUTHURAI, NAGAPATTINAM,"/>
    <x v="29"/>
    <n v="23"/>
    <n v="23"/>
    <n v="5.9"/>
    <n v="6.2"/>
    <n v="7.8"/>
    <n v="8"/>
    <n v="583"/>
    <n v="627"/>
    <n v="1"/>
    <n v="1"/>
    <n v="0.32"/>
    <n v="0.5"/>
    <n v="14"/>
    <n v="14"/>
    <n v="26"/>
    <n v="31"/>
    <m/>
    <m/>
    <n v="0.5"/>
  </r>
  <r>
    <n v="3012"/>
    <s v="RIVER CAUVERY AT KOMARAPALAYAM, NAMAKAL,"/>
    <x v="29"/>
    <n v="25"/>
    <n v="30"/>
    <n v="5.8"/>
    <n v="6.5"/>
    <n v="7.4"/>
    <n v="8.3000000000000007"/>
    <n v="368"/>
    <n v="839"/>
    <n v="1"/>
    <n v="2.4"/>
    <n v="0.32"/>
    <n v="1.49"/>
    <n v="11"/>
    <n v="27"/>
    <n v="17"/>
    <n v="110"/>
    <m/>
    <m/>
    <n v="1.2"/>
  </r>
  <r>
    <n v="3013"/>
    <s v="RIVER CAUVERY AT URRACHIKOTTAI, ERODE,"/>
    <x v="29"/>
    <n v="29"/>
    <n v="37"/>
    <n v="4.9000000000000004"/>
    <n v="6.7"/>
    <n v="7.7"/>
    <n v="8.6999999999999993"/>
    <n v="322"/>
    <n v="707"/>
    <n v="1"/>
    <n v="3"/>
    <n v="0.32"/>
    <n v="0.64"/>
    <n v="8"/>
    <n v="27"/>
    <n v="17"/>
    <n v="47"/>
    <m/>
    <m/>
    <n v="1.5"/>
  </r>
  <r>
    <n v="3014"/>
    <s v="RIVER CAUVERY AT SEERAPALAYAM, NAMAKAL,"/>
    <x v="29"/>
    <n v="25"/>
    <n v="30"/>
    <n v="5.9"/>
    <n v="6.5"/>
    <n v="7.5"/>
    <n v="8.4"/>
    <n v="350"/>
    <n v="903"/>
    <n v="1"/>
    <n v="2.1"/>
    <n v="0.32"/>
    <n v="0.92"/>
    <n v="7"/>
    <n v="24"/>
    <n v="14"/>
    <n v="46"/>
    <m/>
    <m/>
    <n v="1.05"/>
  </r>
  <r>
    <n v="4827"/>
    <s v="RIVER CAUVERY LOCATIONS AT KUMARAPALAYAM"/>
    <x v="29"/>
    <n v="24"/>
    <n v="31"/>
    <n v="6.1"/>
    <n v="6.5"/>
    <n v="7.4"/>
    <n v="8.3000000000000007"/>
    <n v="325"/>
    <n v="1306"/>
    <n v="1"/>
    <n v="2.4"/>
    <n v="0.32"/>
    <n v="1.46"/>
    <n v="11"/>
    <n v="40"/>
    <n v="22"/>
    <n v="220"/>
    <m/>
    <m/>
    <n v="1.2"/>
  </r>
  <r>
    <n v="3017"/>
    <s v="RIVER CAUVERY AT KUMBAKONAM, THANJAVUR,"/>
    <x v="29"/>
    <n v="27"/>
    <n v="31"/>
    <n v="5.6"/>
    <n v="6.7"/>
    <n v="7.4"/>
    <n v="7.9"/>
    <n v="340"/>
    <n v="533"/>
    <n v="2.2999999999999998"/>
    <n v="2.8"/>
    <n v="0.32"/>
    <n v="1.04"/>
    <n v="2"/>
    <n v="11"/>
    <n v="2"/>
    <n v="200"/>
    <m/>
    <m/>
    <n v="3.2199999999999998"/>
  </r>
  <r>
    <n v="1326"/>
    <s v="RIVER CAUVERY AT COLEROON, TAMILNADU"/>
    <x v="29"/>
    <n v="24"/>
    <n v="34"/>
    <n v="5.2"/>
    <n v="6.5"/>
    <n v="7.7"/>
    <n v="8.6"/>
    <n v="819"/>
    <n v="37450"/>
    <n v="2.1"/>
    <n v="16"/>
    <n v="0"/>
    <n v="1.79"/>
    <n v="9"/>
    <n v="26"/>
    <n v="17"/>
    <n v="140"/>
    <m/>
    <m/>
    <n v="16.8"/>
  </r>
  <r>
    <n v="1327"/>
    <s v="RIVER CAUVERY AT PITCHAVARAM, TAMILNADU"/>
    <x v="29"/>
    <n v="22"/>
    <n v="34"/>
    <n v="5.2"/>
    <n v="6.5"/>
    <n v="7.7"/>
    <n v="8.4"/>
    <n v="777"/>
    <n v="44100"/>
    <n v="2.1"/>
    <n v="8"/>
    <n v="0"/>
    <n v="7.32"/>
    <n v="9"/>
    <n v="21"/>
    <n v="17"/>
    <n v="47"/>
    <m/>
    <m/>
    <n v="8.4"/>
  </r>
  <r>
    <n v="1322"/>
    <s v="RIVER CAUVERY AT 1KM. D/S OF BHAVANI CONFL.,R.N._x000a_PUNDUR, TAMILNADU"/>
    <x v="29"/>
    <n v="26"/>
    <n v="37"/>
    <n v="5.2"/>
    <n v="6.5"/>
    <n v="7.3"/>
    <n v="8.6999999999999993"/>
    <n v="331"/>
    <n v="959"/>
    <n v="1"/>
    <n v="3"/>
    <n v="0.32"/>
    <n v="2.92"/>
    <n v="11"/>
    <n v="26"/>
    <n v="17"/>
    <n v="70"/>
    <m/>
    <m/>
    <n v="1.5"/>
  </r>
  <r>
    <n v="10064"/>
    <s v="RIVER CAUVERY AT BHAWANI D/S"/>
    <x v="29"/>
    <n v="28"/>
    <n v="37"/>
    <n v="5.6"/>
    <n v="6.7"/>
    <n v="7.6"/>
    <n v="8.5"/>
    <n v="352"/>
    <n v="681"/>
    <n v="1"/>
    <n v="2.7"/>
    <n v="0"/>
    <n v="0.46"/>
    <n v="2"/>
    <n v="24"/>
    <n v="14"/>
    <n v="70"/>
    <m/>
    <m/>
    <n v="1.35"/>
  </r>
  <r>
    <n v="10065"/>
    <s v="RIVER CAUVERY AT ERODE U/S"/>
    <x v="29"/>
    <n v="28.9"/>
    <n v="37"/>
    <n v="5.7"/>
    <n v="6.7"/>
    <n v="7.7"/>
    <n v="8.6"/>
    <n v="366"/>
    <n v="578"/>
    <n v="1"/>
    <n v="2.8"/>
    <n v="0"/>
    <n v="1.82"/>
    <n v="11"/>
    <n v="26"/>
    <n v="21"/>
    <n v="48"/>
    <m/>
    <m/>
    <n v="1.4"/>
  </r>
  <r>
    <n v="10067"/>
    <s v="RIVER CAUVERY AT KUMARAPALAYAM U/S"/>
    <x v="29"/>
    <n v="24"/>
    <n v="29"/>
    <n v="5.7"/>
    <n v="6.5"/>
    <n v="7.3"/>
    <n v="8.5"/>
    <n v="335"/>
    <n v="665"/>
    <n v="1"/>
    <n v="2.1"/>
    <n v="0.32"/>
    <n v="0.53"/>
    <n v="11"/>
    <n v="21"/>
    <n v="17"/>
    <n v="47"/>
    <m/>
    <m/>
    <n v="1.05"/>
  </r>
  <r>
    <n v="10070"/>
    <s v="RIVER CAUVERY AT PALLIPALAYAM D/S"/>
    <x v="29"/>
    <n v="23"/>
    <n v="29"/>
    <n v="5.7"/>
    <n v="6.8"/>
    <n v="7.3"/>
    <n v="8.4"/>
    <n v="317"/>
    <n v="912"/>
    <n v="1"/>
    <n v="2.7"/>
    <n v="0.32"/>
    <n v="1.71"/>
    <n v="9"/>
    <n v="47"/>
    <n v="21"/>
    <n v="280"/>
    <m/>
    <m/>
    <n v="1.35"/>
  </r>
  <r>
    <n v="10073"/>
    <s v="RIVER CAUVERY AT KARUR U/S"/>
    <x v="29"/>
    <n v="26"/>
    <n v="34"/>
    <n v="5.6"/>
    <n v="6.8"/>
    <n v="7.5"/>
    <n v="8.8000000000000007"/>
    <n v="462"/>
    <n v="1134"/>
    <n v="1"/>
    <n v="2.6"/>
    <n v="0.32"/>
    <n v="1.1299999999999999"/>
    <n v="6"/>
    <n v="24"/>
    <n v="14"/>
    <n v="48"/>
    <m/>
    <m/>
    <n v="1.3"/>
  </r>
  <r>
    <n v="10078"/>
    <s v="RIVER CAUVERY AT MAYILADUTHURAI D/S"/>
    <x v="29"/>
    <n v="20"/>
    <n v="20"/>
    <n v="5.6"/>
    <n v="6.2"/>
    <n v="8.1"/>
    <n v="8.1999999999999993"/>
    <n v="567"/>
    <n v="583"/>
    <n v="1"/>
    <n v="1"/>
    <n v="0.54"/>
    <n v="0.54"/>
    <n v="17"/>
    <n v="20"/>
    <n v="39"/>
    <n v="47"/>
    <m/>
    <m/>
    <n v="0.5"/>
  </r>
  <r>
    <n v="3580"/>
    <s v="RIVER CAUVERY AT WATER SUPPLY INTAKE POINT AT_x000a_SHIVANSAMUDRA"/>
    <x v="26"/>
    <n v="18"/>
    <n v="28"/>
    <n v="6.1"/>
    <n v="7.3"/>
    <n v="7.6"/>
    <n v="8.6"/>
    <n v="219"/>
    <n v="482"/>
    <n v="1"/>
    <n v="3"/>
    <n v="0.88"/>
    <n v="2.6"/>
    <n v="68"/>
    <n v="120"/>
    <n v="630"/>
    <n v="1300"/>
    <m/>
    <m/>
    <n v="1.5"/>
  </r>
  <r>
    <n v="5587"/>
    <s v="RIVER CAUVERY AT BALMAVATI BRIDGE TO THANDRA_x000a_HOLE TRIBUTARY"/>
    <x v="26"/>
    <n v="17"/>
    <n v="20"/>
    <n v="6.7"/>
    <n v="7.3"/>
    <n v="7.3"/>
    <n v="8"/>
    <n v="40"/>
    <n v="91"/>
    <n v="1"/>
    <n v="2"/>
    <n v="0.3"/>
    <n v="0.64"/>
    <n v="17"/>
    <n v="41"/>
    <n v="220"/>
    <n v="350"/>
    <m/>
    <m/>
    <n v="1"/>
  </r>
  <r>
    <n v="1205"/>
    <s v="RIVER BHAVANI AT BHAVANI, TAMILNADU"/>
    <x v="29"/>
    <n v="28.7"/>
    <n v="37"/>
    <n v="5.3"/>
    <n v="6.7"/>
    <n v="7.6"/>
    <n v="8.5"/>
    <n v="342"/>
    <n v="968"/>
    <n v="1"/>
    <n v="2.4"/>
    <n v="0.32"/>
    <n v="3.92"/>
    <n v="7"/>
    <n v="24"/>
    <n v="12"/>
    <n v="39"/>
    <m/>
    <m/>
    <n v="1.2"/>
  </r>
  <r>
    <n v="1201"/>
    <s v="RIVER BHAVANI AT BADTHARAKALIAMMAN KOIL,_x000a_TAMILNADU"/>
    <x v="29"/>
    <n v="19"/>
    <n v="30"/>
    <n v="5.6"/>
    <n v="6.6"/>
    <n v="6.9"/>
    <n v="8"/>
    <n v="93"/>
    <n v="409"/>
    <n v="1"/>
    <n v="2.7"/>
    <n v="0.32"/>
    <n v="0.74"/>
    <n v="7"/>
    <n v="140"/>
    <n v="14"/>
    <n v="320"/>
    <m/>
    <m/>
    <n v="1.35"/>
  </r>
  <r>
    <n v="1204"/>
    <s v="RIVER BHAVANI AT SIRUMUGAI, TAMILNADU"/>
    <x v="29"/>
    <n v="20"/>
    <n v="30"/>
    <n v="5.6"/>
    <n v="6.9"/>
    <n v="7"/>
    <n v="8.4"/>
    <n v="128"/>
    <n v="391"/>
    <n v="1"/>
    <n v="2.4"/>
    <n v="0.32"/>
    <n v="1.25"/>
    <n v="8"/>
    <n v="68"/>
    <n v="14"/>
    <n v="200"/>
    <m/>
    <m/>
    <n v="1.2"/>
  </r>
  <r>
    <n v="1321"/>
    <s v="RIVER BHAVANI AT BHAVANI SAGAR, TAMILNADU"/>
    <x v="29"/>
    <n v="26"/>
    <n v="34"/>
    <n v="5.2"/>
    <n v="6.5"/>
    <n v="7.2"/>
    <n v="8.6"/>
    <n v="184"/>
    <n v="579"/>
    <n v="1"/>
    <n v="2.9"/>
    <n v="0.32"/>
    <n v="1.47"/>
    <n v="11"/>
    <n v="17"/>
    <n v="20"/>
    <n v="40"/>
    <m/>
    <m/>
    <n v="1.45"/>
  </r>
  <r>
    <n v="3019"/>
    <s v="RIVER BHAVANI AT D/S OF BHAVANISAGAR,_x000a_SATHYAMANGALAM, ERODE, TAMILNADU"/>
    <x v="29"/>
    <n v="27"/>
    <n v="34"/>
    <n v="5.8"/>
    <n v="6.9"/>
    <n v="7.3"/>
    <n v="8.1"/>
    <n v="159"/>
    <n v="436"/>
    <n v="1"/>
    <n v="2.7"/>
    <n v="0.32"/>
    <n v="2.95"/>
    <n v="9"/>
    <n v="68"/>
    <n v="14"/>
    <n v="170"/>
    <m/>
    <m/>
    <n v="1.35"/>
  </r>
  <r>
    <n v="3020"/>
    <s v="RIVER BHAVANI AT U/S OF KALINGARAYAN CANAL (B5),_x000a_ERODE, TAMILNADU"/>
    <x v="29"/>
    <n v="29"/>
    <n v="37"/>
    <n v="5.2"/>
    <n v="6.7"/>
    <n v="7.7"/>
    <n v="8.6"/>
    <n v="336"/>
    <n v="955"/>
    <n v="1"/>
    <n v="3"/>
    <n v="0.32"/>
    <n v="2.63"/>
    <n v="8"/>
    <n v="21"/>
    <n v="20"/>
    <n v="48"/>
    <m/>
    <m/>
    <n v="1.5"/>
  </r>
  <r>
    <n v="3021"/>
    <s v="RIVER BHAVANI AT D/S OF KALINGARAYAN CANAL (B10),_x000a_ERODE, TAMILNADU"/>
    <x v="29"/>
    <n v="28"/>
    <n v="37"/>
    <n v="5.7"/>
    <n v="6.7"/>
    <n v="7.8"/>
    <n v="8.8000000000000007"/>
    <n v="341"/>
    <n v="947"/>
    <n v="1"/>
    <n v="2.7"/>
    <n v="0.32"/>
    <n v="0.89"/>
    <n v="11"/>
    <n v="22"/>
    <n v="21"/>
    <n v="49"/>
    <m/>
    <m/>
    <n v="1.35"/>
  </r>
  <r>
    <n v="1893"/>
    <s v="RIVER YAGACHI NEAR PUMPING STATION, HASSAN CITY"/>
    <x v="26"/>
    <n v="23"/>
    <n v="28"/>
    <n v="5"/>
    <n v="7.1"/>
    <n v="7.4"/>
    <n v="8.3000000000000007"/>
    <n v="220"/>
    <n v="590"/>
    <n v="2"/>
    <n v="3"/>
    <n v="0.2"/>
    <n v="0.87"/>
    <n v="110"/>
    <n v="470"/>
    <n v="920"/>
    <n v="3500"/>
    <n v="11"/>
    <n v="17"/>
    <n v="3"/>
  </r>
  <r>
    <n v="1199"/>
    <s v="RIVER HEMAVATHI AT D/S OF HOLENARASIPURA TOWN_x000a_AT RAMADEV WEIR"/>
    <x v="26"/>
    <n v="22"/>
    <n v="27"/>
    <n v="6.4"/>
    <n v="7.7"/>
    <n v="7.4"/>
    <n v="8.1999999999999993"/>
    <n v="120"/>
    <n v="280"/>
    <n v="2"/>
    <n v="2.2000000000000002"/>
    <n v="0.3"/>
    <n v="0.63"/>
    <n v="70"/>
    <n v="120"/>
    <n v="540"/>
    <n v="1100"/>
    <m/>
    <m/>
    <n v="2.2000000000000002"/>
  </r>
  <r>
    <n v="1166"/>
    <s v="RIVER SHIMSHA AT D/S OF BRIDGE, HALAGUR"/>
    <x v="26"/>
    <n v="21"/>
    <n v="27"/>
    <n v="5.3"/>
    <n v="6.5"/>
    <n v="7.8"/>
    <n v="8.6"/>
    <n v="568"/>
    <n v="737"/>
    <n v="2.5"/>
    <n v="4.5"/>
    <n v="1.2"/>
    <n v="4.8"/>
    <n v="140"/>
    <n v="390"/>
    <n v="1500"/>
    <n v="4300"/>
    <m/>
    <m/>
    <n v="5.625"/>
  </r>
  <r>
    <n v="1200"/>
    <s v="RIVER SHIMSHA AT D/S OF HIGHWAY BRIDGE, YEDIYUR"/>
    <x v="26"/>
    <n v="23"/>
    <n v="31"/>
    <n v="2.1"/>
    <n v="6.3"/>
    <n v="6.7"/>
    <n v="7.4"/>
    <n v="194"/>
    <n v="578"/>
    <n v="4"/>
    <n v="18"/>
    <n v="0.6"/>
    <n v="7"/>
    <n v="40"/>
    <n v="17000"/>
    <n v="350"/>
    <n v="160000"/>
    <n v="11"/>
    <n v="920"/>
    <n v="36"/>
  </r>
  <r>
    <n v="3567"/>
    <s v="RIVER SHIMSHA D/S NEAR MADDUAR TOWN"/>
    <x v="26"/>
    <n v="23"/>
    <n v="30"/>
    <n v="4.5999999999999996"/>
    <n v="6.4"/>
    <n v="7.8"/>
    <n v="8.6"/>
    <n v="622"/>
    <n v="740"/>
    <n v="2.5"/>
    <n v="5"/>
    <n v="2.2999999999999998"/>
    <n v="3.5"/>
    <n v="150"/>
    <n v="400"/>
    <n v="1500"/>
    <n v="3500"/>
    <m/>
    <m/>
    <n v="6.25"/>
  </r>
  <r>
    <n v="3022"/>
    <s v="RIVER THIRUMANIMUTHAR AT SALEM, D/S OF SAGO &amp;_x000a_TEXTILE DYING INDUSTRIES, TAMILNADU"/>
    <x v="29"/>
    <n v="25"/>
    <n v="32"/>
    <n v="0.3"/>
    <n v="5.2"/>
    <n v="7"/>
    <n v="7.9"/>
    <n v="1075"/>
    <n v="2250"/>
    <n v="2.1"/>
    <n v="27"/>
    <n v="0.32"/>
    <n v="1.36"/>
    <n v="7"/>
    <n v="21000"/>
    <n v="14"/>
    <n v="47000"/>
    <m/>
    <m/>
    <n v="28.35"/>
  </r>
  <r>
    <n v="3023"/>
    <s v="RIVER VASISTA AT THULUKANNUR AT SALEM, D/S OF_x000a_SAGO INDUSRIES EFFLUENT, TAMILNADU"/>
    <x v="29"/>
    <n v="26"/>
    <n v="31"/>
    <n v="0.3"/>
    <n v="6"/>
    <n v="6.9"/>
    <n v="8"/>
    <n v="878"/>
    <n v="2350"/>
    <n v="2.7"/>
    <n v="120"/>
    <n v="0.32"/>
    <n v="4.43"/>
    <n v="9"/>
    <n v="390000"/>
    <n v="20"/>
    <n v="470000"/>
    <m/>
    <m/>
    <n v="162"/>
  </r>
  <r>
    <n v="1319"/>
    <s v="RIVER AMRAVATI AT 1KM D/S FROM EFF.DIS. PT. AT_x000a_MADHUTHUKKULAM"/>
    <x v="29"/>
    <n v="22"/>
    <n v="32"/>
    <n v="5.2"/>
    <n v="7.5"/>
    <n v="7"/>
    <n v="8.1"/>
    <n v="84"/>
    <n v="395"/>
    <n v="1"/>
    <n v="2.4"/>
    <n v="0.32"/>
    <n v="0.82"/>
    <n v="2"/>
    <n v="17"/>
    <n v="11"/>
    <n v="39"/>
    <m/>
    <m/>
    <n v="1.2"/>
  </r>
  <r>
    <n v="4812"/>
    <s v="RIVER LOCATED ON THE SOUTHERN BANK OF_x000a_AMARAVATHI AND DOWNSTREAM SIDE OF KARUR_x000a_DYEING CLUSTER"/>
    <x v="29"/>
    <n v="3"/>
    <n v="31"/>
    <n v="5.2"/>
    <n v="6.7"/>
    <n v="7.3"/>
    <n v="8.1999999999999993"/>
    <n v="2612"/>
    <n v="3550"/>
    <n v="1"/>
    <n v="3"/>
    <n v="0.32"/>
    <n v="2.69"/>
    <n v="2"/>
    <n v="17"/>
    <n v="2"/>
    <n v="49"/>
    <m/>
    <m/>
    <n v="1.5"/>
  </r>
  <r>
    <n v="4813"/>
    <s v="RIVER LOCATED ADJACENT TO KARU MSW DUMP SITE_x000a_AND ON THE NORTHERN BANK OF AMARAVATHI AND_x000a_DOWNSTREAM SIDE OF KARU DYEING CLUSTER"/>
    <x v="29"/>
    <n v="25"/>
    <n v="34"/>
    <n v="5.5"/>
    <n v="6.8"/>
    <n v="7.1"/>
    <n v="7.9"/>
    <n v="1769"/>
    <n v="2850"/>
    <n v="1"/>
    <n v="2.8"/>
    <n v="0.32"/>
    <n v="3.52"/>
    <n v="4"/>
    <n v="40"/>
    <n v="17"/>
    <n v="540"/>
    <m/>
    <m/>
    <n v="1.4"/>
  </r>
  <r>
    <n v="1165"/>
    <s v="RIVER ARKAVATHI AT D/S OF KANAKAPURA TOWN"/>
    <x v="26"/>
    <n v="25"/>
    <n v="35"/>
    <n v="3.2"/>
    <n v="7"/>
    <n v="6.7"/>
    <n v="7.9"/>
    <n v="499"/>
    <n v="1520"/>
    <n v="4"/>
    <n v="18"/>
    <n v="1.9"/>
    <n v="5.8"/>
    <n v="40"/>
    <n v="15000"/>
    <n v="540"/>
    <n v="160000"/>
    <n v="70"/>
    <n v="2400"/>
    <n v="36"/>
  </r>
  <r>
    <n v="2778"/>
    <s v="RIVER ARKAVATHI AT TIPPAGONDANAHALLI RESERVOIR"/>
    <x v="26"/>
    <n v="25"/>
    <n v="31"/>
    <n v="1.8"/>
    <n v="6.1"/>
    <n v="6.6"/>
    <n v="8.1"/>
    <n v="664"/>
    <n v="2082"/>
    <n v="4"/>
    <n v="21"/>
    <n v="2"/>
    <n v="16"/>
    <n v="31"/>
    <n v="84000"/>
    <n v="140"/>
    <n v="920000"/>
    <n v="23"/>
    <n v="1600"/>
    <n v="42"/>
  </r>
  <r>
    <n v="2779"/>
    <s v="RIVER ARKAVATHI AT HESARAGHATTA RESERVOIR"/>
    <x v="26"/>
    <n v="24"/>
    <n v="27"/>
    <n v="0.3"/>
    <n v="6.1"/>
    <n v="6"/>
    <n v="7.1"/>
    <n v="280"/>
    <n v="976"/>
    <n v="4"/>
    <n v="72"/>
    <n v="0.9"/>
    <n v="3.74"/>
    <n v="14"/>
    <n v="4900"/>
    <n v="170"/>
    <n v="35000"/>
    <m/>
    <m/>
    <n v="144"/>
  </r>
  <r>
    <n v="4108"/>
    <s v="RIVER AKRAVATHI BEFORE CONFLUENCE AT SANGAM"/>
    <x v="26"/>
    <n v="25"/>
    <n v="36"/>
    <n v="3.1"/>
    <n v="6.3"/>
    <n v="6.7"/>
    <n v="8.1999999999999993"/>
    <n v="396"/>
    <n v="1418"/>
    <n v="4"/>
    <n v="20"/>
    <n v="1.7"/>
    <n v="5"/>
    <n v="21"/>
    <n v="11000"/>
    <n v="110"/>
    <n v="160000"/>
    <m/>
    <m/>
    <n v="40"/>
  </r>
  <r>
    <n v="41"/>
    <s v="RIVER KABINI AT CAUSE WAY SATTUR"/>
    <x v="26"/>
    <n v="20"/>
    <n v="29"/>
    <n v="5.0999999999999996"/>
    <n v="6.9"/>
    <n v="7.7"/>
    <n v="8.3000000000000007"/>
    <n v="197"/>
    <n v="555"/>
    <n v="2"/>
    <n v="4"/>
    <n v="0.32"/>
    <n v="3.2"/>
    <n v="110"/>
    <n v="220"/>
    <n v="1100"/>
    <n v="1700"/>
    <m/>
    <m/>
    <n v="4"/>
  </r>
  <r>
    <n v="1197"/>
    <s v="RIVER KABINI AT SARAGUR VILLAGE D/S"/>
    <x v="26"/>
    <n v="22"/>
    <n v="30"/>
    <n v="5.6"/>
    <n v="6.8"/>
    <n v="7.4"/>
    <n v="8.4"/>
    <n v="152"/>
    <n v="360"/>
    <n v="2"/>
    <n v="4"/>
    <n v="0.3"/>
    <n v="2.1"/>
    <n v="93"/>
    <n v="320"/>
    <n v="1100"/>
    <n v="1700"/>
    <m/>
    <m/>
    <n v="4"/>
  </r>
  <r>
    <n v="1207"/>
    <s v="RIVER KABANI AT MUTHANKARA, WAYANAD"/>
    <x v="30"/>
    <n v="24"/>
    <n v="32"/>
    <n v="6.1"/>
    <n v="7.7"/>
    <n v="6.5"/>
    <n v="7.3"/>
    <n v="65"/>
    <n v="169"/>
    <n v="1"/>
    <n v="1.2"/>
    <n v="0.3"/>
    <n v="0.3"/>
    <n v="8"/>
    <n v="130"/>
    <n v="22"/>
    <n v="150"/>
    <n v="2"/>
    <n v="58"/>
    <n v="0.6"/>
  </r>
  <r>
    <n v="1445"/>
    <s v="RIVER KABINI AT WATER INTAKE OF KIADB AT_x000a_NANJANGUD"/>
    <x v="26"/>
    <n v="19"/>
    <n v="29"/>
    <n v="6.3"/>
    <n v="7.3"/>
    <n v="7.8"/>
    <n v="8.4"/>
    <n v="159"/>
    <n v="358"/>
    <n v="1"/>
    <n v="3"/>
    <n v="0.32"/>
    <n v="2.2999999999999998"/>
    <n v="65"/>
    <n v="120"/>
    <n v="700"/>
    <n v="1200"/>
    <m/>
    <m/>
    <n v="1.5"/>
  </r>
  <r>
    <n v="2775"/>
    <s v="RIVER KABINI AT BATHING GHAT, NANJANAGUD"/>
    <x v="26"/>
    <n v="19"/>
    <n v="30"/>
    <n v="5"/>
    <n v="6.6"/>
    <n v="7.6"/>
    <n v="8.6"/>
    <n v="259"/>
    <n v="555"/>
    <n v="3"/>
    <n v="4.5"/>
    <n v="0.3"/>
    <n v="4.2"/>
    <n v="150"/>
    <n v="390"/>
    <n v="1500"/>
    <n v="2400"/>
    <m/>
    <m/>
    <n v="6.75"/>
  </r>
  <r>
    <n v="3575"/>
    <s v="RIVER KABINI U/S INTAKE POINT TO NANJANAGUD &amp;_x000a_GUNDLUPET AT DEBUR"/>
    <x v="26"/>
    <n v="19"/>
    <n v="30"/>
    <n v="5.8"/>
    <n v="7.2"/>
    <n v="7.7"/>
    <n v="8.4"/>
    <n v="174"/>
    <n v="460"/>
    <n v="1"/>
    <n v="3.5"/>
    <n v="0.3"/>
    <n v="2.9"/>
    <n v="93"/>
    <n v="320"/>
    <n v="1100"/>
    <n v="2300"/>
    <m/>
    <m/>
    <n v="1.75"/>
  </r>
  <r>
    <n v="3577"/>
    <s v="RIVER KABINI AT WATER SUPPLY INTAKE POINT TO T._x000a_NARASIPURA"/>
    <x v="26"/>
    <n v="21"/>
    <n v="29"/>
    <n v="4.4000000000000004"/>
    <n v="6.5"/>
    <n v="7.9"/>
    <n v="8.5"/>
    <n v="258"/>
    <n v="564"/>
    <n v="2.5"/>
    <n v="6"/>
    <n v="0.56000000000000005"/>
    <n v="4.8"/>
    <n v="130"/>
    <n v="340"/>
    <n v="1500"/>
    <n v="2400"/>
    <m/>
    <m/>
    <n v="7.5"/>
  </r>
  <r>
    <n v="1196"/>
    <s v="RIVER LAKSHMANTIRTHA AT D/S OF HUNSUR TOWN"/>
    <x v="26"/>
    <n v="22"/>
    <n v="31"/>
    <n v="2.5"/>
    <n v="6.2"/>
    <n v="7.3"/>
    <n v="8.4"/>
    <n v="319"/>
    <n v="859"/>
    <n v="3"/>
    <n v="8"/>
    <n v="1.5"/>
    <n v="5.4"/>
    <n v="140"/>
    <n v="680"/>
    <n v="2100"/>
    <n v="4100"/>
    <m/>
    <m/>
    <n v="12"/>
  </r>
  <r>
    <n v="2772"/>
    <s v="RIVER LAKSHMANTIRTHA AT D/S OF KATTEMALAVADI"/>
    <x v="26"/>
    <n v="22"/>
    <n v="31"/>
    <n v="3"/>
    <n v="6.4"/>
    <n v="7.2"/>
    <n v="8.5"/>
    <n v="318"/>
    <n v="767"/>
    <n v="3"/>
    <n v="8"/>
    <n v="1.4"/>
    <n v="5.6"/>
    <n v="140"/>
    <n v="480"/>
    <n v="2100"/>
    <n v="4300"/>
    <m/>
    <m/>
    <n v="12"/>
  </r>
  <r>
    <n v="3572"/>
    <s v="RIVER LAKSHMANTIRTHA AT WATER SUPPLY INTAKE_x000a_POINT TO HUNSUR TOWN"/>
    <x v="26"/>
    <n v="22"/>
    <n v="31"/>
    <n v="4.4000000000000004"/>
    <n v="6.4"/>
    <n v="7.6"/>
    <n v="8.5"/>
    <n v="290"/>
    <n v="660"/>
    <n v="3"/>
    <n v="6"/>
    <n v="1.2"/>
    <n v="3.9"/>
    <n v="120"/>
    <n v="410"/>
    <n v="2100"/>
    <n v="3500"/>
    <m/>
    <m/>
    <n v="9"/>
  </r>
  <r>
    <n v="3024"/>
    <s v="RIVER SARABANGA AT EDAPADI AT SALEM, D/S OF_x000a_TEXTILE DYEING INDUSTRIES EFFLUENT, TAMILNADU"/>
    <x v="29"/>
    <n v="23"/>
    <n v="30"/>
    <n v="0.3"/>
    <n v="5.9"/>
    <n v="6.8"/>
    <n v="8.1999999999999993"/>
    <n v="1413"/>
    <n v="3710"/>
    <n v="1.8"/>
    <n v="36"/>
    <n v="0.32"/>
    <n v="1.53"/>
    <n v="14"/>
    <n v="26000"/>
    <n v="26"/>
    <n v="220000"/>
    <m/>
    <m/>
    <n v="32.4"/>
  </r>
  <r>
    <n v="10034"/>
    <s v="RIVER ADYAR AT EKKATTUTHANGAL"/>
    <x v="29"/>
    <n v="27"/>
    <n v="31"/>
    <n v="0.3"/>
    <n v="3.6"/>
    <n v="6.8"/>
    <n v="7.8"/>
    <n v="490"/>
    <n v="2120"/>
    <n v="4.2"/>
    <n v="25"/>
    <n v="1.22"/>
    <n v="32"/>
    <n v="18"/>
    <n v="470"/>
    <n v="310"/>
    <n v="1400"/>
    <m/>
    <m/>
    <n v="52.5"/>
  </r>
  <r>
    <n v="10035"/>
    <s v="RIVER ADYAR AT JAFERKHANPET"/>
    <x v="29"/>
    <n v="27"/>
    <n v="31"/>
    <n v="0.3"/>
    <n v="2.9"/>
    <n v="6.7"/>
    <n v="7.5"/>
    <n v="476"/>
    <n v="2040"/>
    <n v="5.3"/>
    <n v="25"/>
    <n v="1.06"/>
    <n v="31"/>
    <n v="18"/>
    <n v="330"/>
    <n v="360"/>
    <n v="1400"/>
    <m/>
    <m/>
    <n v="66.25"/>
  </r>
  <r>
    <n v="10036"/>
    <s v="RIVER ADYAR AT MARAIMALAI BRIDGE"/>
    <x v="29"/>
    <n v="27"/>
    <n v="32"/>
    <n v="0.3"/>
    <n v="3.9"/>
    <n v="6.9"/>
    <n v="7.4"/>
    <n v="398"/>
    <n v="1986"/>
    <n v="4.5"/>
    <n v="20"/>
    <n v="0.32"/>
    <n v="16.02"/>
    <n v="40"/>
    <n v="270"/>
    <n v="200"/>
    <n v="1400"/>
    <m/>
    <m/>
    <n v="45"/>
  </r>
  <r>
    <n v="10038"/>
    <s v="RIVER ADYAR AT KOTTURPURAM BRIDGE"/>
    <x v="29"/>
    <n v="28"/>
    <n v="33"/>
    <n v="0.3"/>
    <n v="2.7"/>
    <n v="6.6"/>
    <n v="7.4"/>
    <n v="378"/>
    <n v="20600"/>
    <n v="6"/>
    <n v="40"/>
    <n v="0.32"/>
    <n v="18.02"/>
    <n v="2"/>
    <n v="320"/>
    <n v="330"/>
    <n v="1700"/>
    <m/>
    <m/>
    <n v="120"/>
  </r>
  <r>
    <n v="10039"/>
    <s v="RIVER ADYAR NEAR BOAT CLUB"/>
    <x v="29"/>
    <n v="28"/>
    <n v="33"/>
    <n v="0.3"/>
    <n v="4.0999999999999996"/>
    <n v="6.5"/>
    <n v="7.3"/>
    <n v="426"/>
    <n v="16410"/>
    <n v="4.5999999999999996"/>
    <n v="38"/>
    <n v="1.25"/>
    <n v="18.5"/>
    <n v="40"/>
    <n v="320"/>
    <n v="460"/>
    <n v="1500"/>
    <m/>
    <m/>
    <n v="87.399999999999991"/>
  </r>
  <r>
    <n v="10040"/>
    <s v="RIVER COOUM AT ANNA NAGAR"/>
    <x v="29"/>
    <n v="28"/>
    <n v="32"/>
    <n v="0.3"/>
    <n v="1.9"/>
    <n v="6.5"/>
    <n v="7.1"/>
    <n v="647"/>
    <n v="2270"/>
    <n v="7"/>
    <n v="33"/>
    <n v="0.32"/>
    <n v="14"/>
    <n v="68"/>
    <n v="520"/>
    <n v="680"/>
    <n v="2200"/>
    <m/>
    <m/>
    <n v="115.5"/>
  </r>
  <r>
    <n v="10041"/>
    <s v="RIVER COOUM AT ARUMBAKKAM"/>
    <x v="29"/>
    <n v="28"/>
    <n v="33"/>
    <n v="0.3"/>
    <n v="2.4"/>
    <n v="6.6"/>
    <n v="7.3"/>
    <n v="638"/>
    <n v="2290"/>
    <n v="6"/>
    <n v="83"/>
    <n v="0.32"/>
    <n v="16.02"/>
    <n v="61"/>
    <n v="390"/>
    <n v="630"/>
    <n v="2000"/>
    <m/>
    <m/>
    <n v="249"/>
  </r>
  <r>
    <n v="10042"/>
    <s v="RIVER COOUM AT AMANJIKARAI"/>
    <x v="29"/>
    <n v="28"/>
    <n v="32"/>
    <n v="0.3"/>
    <n v="4.4000000000000004"/>
    <n v="6.6"/>
    <n v="7.1"/>
    <n v="610"/>
    <n v="2310"/>
    <n v="5.5"/>
    <n v="131"/>
    <n v="0.32"/>
    <n v="15"/>
    <n v="81"/>
    <n v="340"/>
    <n v="490"/>
    <n v="2100"/>
    <m/>
    <m/>
    <n v="360.25"/>
  </r>
  <r>
    <n v="10043"/>
    <s v="RIVER COOUM AT POONAMALLE"/>
    <x v="29"/>
    <n v="27"/>
    <n v="33"/>
    <n v="0.3"/>
    <n v="3.4"/>
    <n v="6.7"/>
    <n v="7.3"/>
    <n v="1053"/>
    <n v="2510"/>
    <n v="4"/>
    <n v="27"/>
    <n v="0.82"/>
    <n v="61.52"/>
    <n v="2"/>
    <n v="330"/>
    <n v="310"/>
    <n v="1700"/>
    <m/>
    <m/>
    <n v="54"/>
  </r>
  <r>
    <n v="10044"/>
    <s v="RIVER COOUM AT COLLAGE ROAD"/>
    <x v="29"/>
    <n v="27"/>
    <n v="33"/>
    <n v="0.3"/>
    <n v="3.2"/>
    <n v="6.8"/>
    <n v="7.2"/>
    <n v="495"/>
    <n v="2460"/>
    <n v="5.6"/>
    <n v="46"/>
    <n v="0.32"/>
    <n v="23"/>
    <n v="45"/>
    <n v="380"/>
    <n v="600"/>
    <n v="2000"/>
    <m/>
    <m/>
    <n v="128.79999999999998"/>
  </r>
  <r>
    <n v="10045"/>
    <s v="RIVER COOUM NEAR CENTRAL JAIL"/>
    <x v="29"/>
    <n v="27"/>
    <n v="33"/>
    <n v="0.3"/>
    <n v="1"/>
    <n v="6.6"/>
    <n v="7"/>
    <n v="1217"/>
    <n v="3240"/>
    <n v="13"/>
    <n v="36"/>
    <n v="1.1000000000000001"/>
    <n v="13.43"/>
    <n v="45"/>
    <n v="780"/>
    <n v="460"/>
    <n v="3300"/>
    <m/>
    <m/>
    <n v="234"/>
  </r>
  <r>
    <n v="10046"/>
    <s v="RIVER COOUM AT NAPIER BRIDGE"/>
    <x v="29"/>
    <n v="28"/>
    <n v="33"/>
    <n v="0.3"/>
    <n v="2.5"/>
    <n v="6.7"/>
    <n v="7.1"/>
    <n v="797"/>
    <n v="36200"/>
    <n v="8.1"/>
    <n v="52"/>
    <n v="0.32"/>
    <n v="14.49"/>
    <n v="2"/>
    <n v="470"/>
    <n v="370"/>
    <n v="2500"/>
    <m/>
    <m/>
    <n v="210.6"/>
  </r>
  <r>
    <n v="10059"/>
    <s v="RIVER VAIGAI AT MADURAI U/S"/>
    <x v="29"/>
    <n v="26"/>
    <n v="29"/>
    <n v="5.3"/>
    <n v="6.8"/>
    <n v="7.3"/>
    <n v="7.7"/>
    <n v="305"/>
    <n v="655"/>
    <n v="1"/>
    <n v="3"/>
    <n v="0.32"/>
    <n v="0.71"/>
    <n v="2"/>
    <n v="17"/>
    <n v="11"/>
    <n v="49"/>
    <m/>
    <m/>
    <n v="1.5"/>
  </r>
  <r>
    <n v="10060"/>
    <s v="RIVER VAIGAI AT MADURAI D/S"/>
    <x v="29"/>
    <n v="25"/>
    <n v="29"/>
    <n v="5.4"/>
    <n v="6.6"/>
    <n v="7.2"/>
    <n v="7.8"/>
    <n v="438"/>
    <n v="1721"/>
    <n v="1"/>
    <n v="6"/>
    <n v="0.32"/>
    <n v="1.41"/>
    <n v="17"/>
    <n v="24"/>
    <n v="26"/>
    <n v="49"/>
    <m/>
    <m/>
    <n v="3"/>
  </r>
  <r>
    <n v="10057"/>
    <s v="RIVER VENNAR AT THANJAVUR U/S"/>
    <x v="29"/>
    <n v="24"/>
    <n v="32"/>
    <n v="5.6"/>
    <n v="7.8"/>
    <n v="7.5"/>
    <n v="8.6999999999999993"/>
    <n v="395"/>
    <n v="1042"/>
    <n v="1"/>
    <n v="2.8"/>
    <n v="0.39"/>
    <n v="2.36"/>
    <n v="2"/>
    <n v="18"/>
    <n v="4"/>
    <n v="39"/>
    <m/>
    <m/>
    <n v="1.4"/>
  </r>
  <r>
    <n v="10058"/>
    <s v="RIVER VENNAR AT THANJAVUR D/S"/>
    <x v="29"/>
    <n v="23"/>
    <n v="32"/>
    <n v="5.3"/>
    <n v="7.9"/>
    <n v="7.3"/>
    <n v="9"/>
    <n v="404"/>
    <n v="1036"/>
    <n v="1"/>
    <n v="3"/>
    <n v="0.32"/>
    <n v="1.1499999999999999"/>
    <n v="2"/>
    <n v="18"/>
    <n v="2"/>
    <n v="230"/>
    <m/>
    <m/>
    <n v="1.5"/>
  </r>
  <r>
    <n v="5578"/>
    <s v="RIVER SHIMSHA DOWNSTREAM OF MADDUR NEAR_x000a_VYDYANATHESWARA TEMPLE ROAD BRIDGE,MAYDYA"/>
    <x v="26"/>
    <n v="24"/>
    <n v="29"/>
    <n v="5.2"/>
    <n v="6.1"/>
    <n v="7.8"/>
    <n v="8.1999999999999993"/>
    <n v="637"/>
    <n v="734"/>
    <n v="3.5"/>
    <n v="6"/>
    <n v="2.9"/>
    <n v="5.0999999999999996"/>
    <n v="340"/>
    <n v="780"/>
    <n v="2400"/>
    <n v="5800"/>
    <m/>
    <m/>
    <n v="10.5"/>
  </r>
  <r>
    <n v="4501"/>
    <s v="RIVER ARKAVATHI AT MANCHANBELE RESERVOIR,_x000a_MANCHANABALE DAM"/>
    <x v="26"/>
    <n v="25"/>
    <n v="35"/>
    <n v="2.5"/>
    <n v="6.1"/>
    <n v="6.9"/>
    <n v="7.5"/>
    <n v="582"/>
    <n v="1072"/>
    <n v="4"/>
    <n v="8"/>
    <n v="2"/>
    <n v="19"/>
    <n v="23"/>
    <n v="7900"/>
    <n v="540"/>
    <n v="160000"/>
    <n v="1600"/>
    <n v="1600"/>
    <n v="16"/>
  </r>
  <r>
    <n v="1208"/>
    <s v="RIVER BHAVANI AT ELACHIVAZHY, PALAKKAD"/>
    <x v="30"/>
    <n v="23"/>
    <n v="30"/>
    <n v="7.1"/>
    <n v="8.3000000000000007"/>
    <n v="7.6"/>
    <n v="8.1"/>
    <n v="80"/>
    <n v="240"/>
    <n v="1"/>
    <n v="2.4"/>
    <n v="0.3"/>
    <n v="0.46"/>
    <n v="2"/>
    <n v="400"/>
    <n v="100"/>
    <n v="800"/>
    <n v="2"/>
    <n v="60"/>
    <n v="1.2"/>
  </r>
  <r>
    <n v="5228"/>
    <s v="RIVER KABANI AT MUTHANGA,WAYANAD"/>
    <x v="30"/>
    <n v="20"/>
    <n v="28"/>
    <n v="6.2"/>
    <n v="7.4"/>
    <n v="6.5"/>
    <n v="7.2"/>
    <n v="98"/>
    <n v="151"/>
    <n v="1"/>
    <n v="2"/>
    <n v="0.3"/>
    <n v="0.3"/>
    <n v="8"/>
    <n v="63"/>
    <n v="26"/>
    <n v="170"/>
    <n v="2"/>
    <n v="55"/>
    <n v="1"/>
  </r>
  <r>
    <n v="5229"/>
    <s v="RIVER KABANI AT BANASURA SAGAR DAM AT_x000a_KALPETTA,WAYANAD"/>
    <x v="30"/>
    <n v="23"/>
    <n v="33"/>
    <n v="5.6"/>
    <n v="8.1"/>
    <n v="6.5"/>
    <n v="7.5"/>
    <n v="23"/>
    <n v="37"/>
    <n v="1"/>
    <n v="1.6"/>
    <n v="0.3"/>
    <n v="0.3"/>
    <n v="2"/>
    <n v="79"/>
    <n v="4"/>
    <n v="140"/>
    <n v="2"/>
    <n v="46"/>
    <n v="0.8"/>
  </r>
  <r>
    <n v="5227"/>
    <s v="RIVER KALINDI AT BAVALI, WAYANAD"/>
    <x v="30"/>
    <n v="22"/>
    <n v="31"/>
    <n v="6.2"/>
    <n v="8"/>
    <n v="6.5"/>
    <n v="7.3"/>
    <n v="68"/>
    <n v="201"/>
    <n v="1"/>
    <n v="1.8"/>
    <n v="0.3"/>
    <n v="0.3"/>
    <n v="8"/>
    <n v="70"/>
    <n v="31"/>
    <n v="120"/>
    <n v="2"/>
    <n v="58"/>
    <n v="0.9"/>
  </r>
  <r>
    <n v="5226"/>
    <s v="RIVER PAPANASINI AT THIRUNELLY, WAYANAD"/>
    <x v="30"/>
    <n v="22"/>
    <n v="32"/>
    <n v="6.6"/>
    <n v="8.3000000000000007"/>
    <n v="6.5"/>
    <n v="7.2"/>
    <n v="41"/>
    <n v="111"/>
    <n v="1"/>
    <n v="1.5"/>
    <n v="0.3"/>
    <n v="0.3"/>
    <n v="4"/>
    <n v="130"/>
    <n v="12"/>
    <n v="210"/>
    <n v="2"/>
    <n v="79"/>
    <n v="0.75"/>
  </r>
  <r>
    <n v="30053"/>
    <s v="RIVER THENPENNAIYAR AT CHOKKARASANAHALLI_x000a_BRIDGE (BANGALORE)"/>
    <x v="26"/>
    <n v="24"/>
    <n v="26"/>
    <n v="0.3"/>
    <n v="0.3"/>
    <n v="7.3"/>
    <n v="7.9"/>
    <n v="1192"/>
    <n v="1474"/>
    <n v="8"/>
    <n v="89"/>
    <n v="0"/>
    <n v="66.099999999999994"/>
    <n v="130000"/>
    <n v="7000000"/>
    <n v="540000"/>
    <n v="92000000"/>
    <m/>
    <m/>
    <n v="356"/>
  </r>
  <r>
    <n v="24"/>
    <s v="RIVER SUBARNAREKHA AT JAMSHEDPUR"/>
    <x v="6"/>
    <n v="15"/>
    <n v="36"/>
    <n v="6.8"/>
    <n v="10.199999999999999"/>
    <n v="6.9"/>
    <n v="8.3000000000000007"/>
    <n v="189"/>
    <n v="352"/>
    <n v="1.3"/>
    <n v="2.8"/>
    <n v="0"/>
    <n v="0"/>
    <m/>
    <m/>
    <m/>
    <m/>
    <m/>
    <m/>
    <n v="1.8199999999999998"/>
  </r>
  <r>
    <n v="48"/>
    <s v="RIVER SUBARNAREKHA AT CHANDIL BRIDGE"/>
    <x v="6"/>
    <n v="18.5"/>
    <n v="33"/>
    <n v="6.8"/>
    <n v="8.8000000000000007"/>
    <n v="7.1"/>
    <n v="7.8"/>
    <n v="212"/>
    <n v="388"/>
    <n v="1"/>
    <n v="2.7"/>
    <n v="0"/>
    <n v="0"/>
    <m/>
    <m/>
    <m/>
    <m/>
    <m/>
    <m/>
    <n v="1.35"/>
  </r>
  <r>
    <n v="49"/>
    <s v="RIVER SUBARNAREKHA AT D/S JAMSHEDPUR, (TATA_x000a_NAGAR)"/>
    <x v="6"/>
    <n v="16.5"/>
    <n v="35"/>
    <n v="6"/>
    <n v="7.7"/>
    <n v="6.3"/>
    <n v="8.3000000000000007"/>
    <n v="193"/>
    <n v="364"/>
    <n v="2.1"/>
    <n v="5"/>
    <n v="0"/>
    <n v="0"/>
    <m/>
    <m/>
    <m/>
    <m/>
    <m/>
    <m/>
    <n v="5.25"/>
  </r>
  <r>
    <n v="1641"/>
    <s v="RIVER SUBARNAREKHA AT RAJGHAT (THENGUDIA)"/>
    <x v="22"/>
    <n v="22"/>
    <n v="30"/>
    <n v="6"/>
    <n v="9.6"/>
    <n v="6.8"/>
    <n v="8.4"/>
    <n v="180"/>
    <n v="407"/>
    <n v="1.1000000000000001"/>
    <n v="1.8"/>
    <n v="0.32"/>
    <n v="0.92"/>
    <n v="130"/>
    <n v="2300"/>
    <n v="700"/>
    <n v="4900"/>
    <m/>
    <m/>
    <n v="0.9900000000000001"/>
  </r>
  <r>
    <n v="2387"/>
    <s v="RIVER SUBARNAREKHA AT GHATISLA ROAD BRIDGE"/>
    <x v="6"/>
    <n v="15"/>
    <n v="37"/>
    <n v="6.5"/>
    <n v="8.8000000000000007"/>
    <n v="7.3"/>
    <n v="8.6"/>
    <n v="192"/>
    <n v="424"/>
    <n v="1"/>
    <n v="294"/>
    <n v="0"/>
    <n v="0"/>
    <m/>
    <m/>
    <m/>
    <m/>
    <m/>
    <m/>
    <n v="147"/>
  </r>
  <r>
    <n v="2399"/>
    <s v="RIVER SUBARNAREKHA AT CHANDIL DAM"/>
    <x v="6"/>
    <n v="18.399999999999999"/>
    <n v="32"/>
    <n v="7.1"/>
    <n v="9.4"/>
    <n v="7"/>
    <n v="7.6"/>
    <n v="222"/>
    <n v="343"/>
    <n v="1"/>
    <n v="2.4"/>
    <n v="0"/>
    <n v="0"/>
    <m/>
    <m/>
    <m/>
    <m/>
    <m/>
    <m/>
    <n v="1.2"/>
  </r>
  <r>
    <n v="4743"/>
    <s v="RIVER SUBARNAREKHA U/S HCL GHATSHILA, E.S"/>
    <x v="6"/>
    <n v="15.5"/>
    <n v="37"/>
    <n v="6.6"/>
    <n v="8.6"/>
    <n v="7"/>
    <n v="8.1"/>
    <n v="198"/>
    <n v="309"/>
    <n v="1.2"/>
    <n v="2.8"/>
    <n v="0"/>
    <n v="0"/>
    <m/>
    <m/>
    <m/>
    <m/>
    <m/>
    <m/>
    <n v="1.68"/>
  </r>
  <r>
    <n v="4744"/>
    <s v="RIVER SUBARNAREKHA BEFORE MEETING KHARKAI_x000a_RIVER"/>
    <x v="6"/>
    <n v="15.1"/>
    <n v="36"/>
    <n v="6.6"/>
    <n v="8.8000000000000007"/>
    <n v="7"/>
    <n v="7.8"/>
    <n v="228"/>
    <n v="349"/>
    <n v="1.3"/>
    <n v="3.3"/>
    <n v="0"/>
    <n v="0"/>
    <m/>
    <m/>
    <m/>
    <m/>
    <m/>
    <m/>
    <n v="2.145"/>
  </r>
  <r>
    <n v="4746"/>
    <s v="RIVER SUBARNAREKHA AFTER CONFLUENCE OF_x000a_KHARKAI RIVER"/>
    <x v="6"/>
    <n v="16.5"/>
    <n v="36"/>
    <n v="6.5"/>
    <n v="8.4"/>
    <n v="6.9"/>
    <n v="8.3000000000000007"/>
    <n v="214"/>
    <n v="462"/>
    <n v="1.3"/>
    <n v="4.0999999999999996"/>
    <n v="0"/>
    <n v="0"/>
    <m/>
    <m/>
    <m/>
    <m/>
    <m/>
    <m/>
    <n v="2.665"/>
  </r>
  <r>
    <n v="4748"/>
    <s v="RIVER SUBARNAREKHA AT BAHARAGORA ROAD_x000a_BRIDGE, P.O- BAHARAGORA, E.S"/>
    <x v="6"/>
    <n v="19.5"/>
    <n v="31"/>
    <n v="7.2"/>
    <n v="9.6"/>
    <n v="7.3"/>
    <n v="8.3000000000000007"/>
    <n v="216"/>
    <n v="466"/>
    <n v="1"/>
    <n v="2.4"/>
    <n v="0"/>
    <n v="0"/>
    <m/>
    <m/>
    <m/>
    <m/>
    <m/>
    <m/>
    <n v="1.2"/>
  </r>
  <r>
    <n v="30067"/>
    <s v="RIVER SUBARNAREKHA AT BEHRAGORA ODISHA-JHARKHAND"/>
    <x v="6"/>
    <n v="28"/>
    <n v="36"/>
    <n v="7"/>
    <n v="11.5"/>
    <n v="7"/>
    <n v="9.5"/>
    <n v="157"/>
    <n v="415"/>
    <n v="1"/>
    <n v="2"/>
    <n v="0.32"/>
    <n v="0.36"/>
    <n v="170"/>
    <n v="220000"/>
    <n v="1100"/>
    <n v="14000000"/>
    <n v="2"/>
    <n v="45"/>
    <n v="1"/>
  </r>
  <r>
    <n v="30068"/>
    <s v="RIVER SUBARNAREKHA AT GOPIBALLAVPUR (WEST_x000a_BENGAL)"/>
    <x v="7"/>
    <n v="25"/>
    <n v="35"/>
    <n v="6.8"/>
    <n v="12.5"/>
    <n v="7"/>
    <n v="8.1999999999999993"/>
    <n v="153"/>
    <n v="393"/>
    <n v="1"/>
    <n v="1"/>
    <n v="0.32"/>
    <n v="0.37"/>
    <n v="110"/>
    <n v="2200000"/>
    <n v="1400"/>
    <n v="35000000"/>
    <n v="2"/>
    <n v="78"/>
    <n v="0.5"/>
  </r>
  <r>
    <n v="30069"/>
    <s v="RIVER SUBARNAREKHA AT LAKHANNATH (ORISSA)"/>
    <x v="22"/>
    <n v="24"/>
    <n v="31"/>
    <n v="7.2"/>
    <n v="9.1999999999999993"/>
    <n v="7"/>
    <n v="8.5"/>
    <n v="152"/>
    <n v="334"/>
    <n v="1"/>
    <n v="1"/>
    <n v="0.32"/>
    <n v="0.32"/>
    <n v="170"/>
    <n v="1100000"/>
    <n v="1700"/>
    <n v="28000000"/>
    <n v="2"/>
    <n v="78"/>
    <n v="0.5"/>
  </r>
  <r>
    <n v="2423"/>
    <s v="RIVER BUDHABALANGA AT D/S OF BARIPADA TOWN"/>
    <x v="22"/>
    <n v="20"/>
    <n v="30"/>
    <n v="5.2"/>
    <n v="9.1999999999999993"/>
    <n v="7.2"/>
    <n v="8.4"/>
    <n v="146"/>
    <n v="326"/>
    <n v="1.3"/>
    <n v="2.2000000000000002"/>
    <n v="0"/>
    <n v="0.87"/>
    <n v="780"/>
    <n v="4900"/>
    <n v="2800"/>
    <n v="17000"/>
    <n v="5"/>
    <n v="49"/>
    <n v="1.4300000000000002"/>
  </r>
  <r>
    <n v="3943"/>
    <s v="RIVER BUDHABALANGA AT BALASORE U/S"/>
    <x v="22"/>
    <n v="21"/>
    <n v="30"/>
    <n v="5.6"/>
    <n v="9.6"/>
    <n v="6.9"/>
    <n v="8.5"/>
    <n v="125"/>
    <n v="383"/>
    <n v="1.1000000000000001"/>
    <n v="2.4"/>
    <n v="0.32"/>
    <n v="0.86"/>
    <n v="230"/>
    <n v="2300"/>
    <n v="1300"/>
    <n v="4900"/>
    <m/>
    <m/>
    <n v="1.32"/>
  </r>
  <r>
    <n v="3942"/>
    <s v="RIVER SONO AT KANAKDURGA ROAD NEAR REMUNA,_x000a_HATOGOND"/>
    <x v="22"/>
    <n v="20"/>
    <n v="30"/>
    <n v="3.2"/>
    <n v="9.6"/>
    <n v="6.9"/>
    <n v="8.5"/>
    <n v="120"/>
    <n v="433"/>
    <n v="1.1000000000000001"/>
    <n v="1.8"/>
    <n v="0.32"/>
    <n v="0.93"/>
    <n v="78"/>
    <n v="13000"/>
    <n v="490"/>
    <n v="35000"/>
    <m/>
    <m/>
    <n v="0.9900000000000001"/>
  </r>
  <r>
    <n v="2115"/>
    <s v="RIVER TAPTI AT NEPA NAGAR 100 METRE D/S AFTER_x000a_MIXING PANDHAR NALLA"/>
    <x v="10"/>
    <n v="20"/>
    <n v="22"/>
    <n v="6.6"/>
    <n v="7.7"/>
    <n v="7.7"/>
    <n v="8.6"/>
    <n v="202"/>
    <n v="572"/>
    <n v="1"/>
    <n v="1.8"/>
    <n v="0.56999999999999995"/>
    <n v="1.42"/>
    <n v="2"/>
    <n v="2"/>
    <n v="37"/>
    <n v="63"/>
    <m/>
    <m/>
    <n v="0.9"/>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28">
  <r>
    <n v="1.4"/>
  </r>
  <r>
    <n v="1.4"/>
  </r>
  <r>
    <n v="0.5"/>
  </r>
  <r>
    <n v="0.8"/>
  </r>
  <r>
    <n v="0.5"/>
  </r>
  <r>
    <n v="0.5"/>
  </r>
  <r>
    <n v="0.5"/>
  </r>
  <r>
    <n v="0.5"/>
  </r>
  <r>
    <n v="0.6"/>
  </r>
  <r>
    <n v="0.5"/>
  </r>
  <r>
    <n v="0.5"/>
  </r>
  <r>
    <n v="0.5"/>
  </r>
  <r>
    <n v="0.5"/>
  </r>
  <r>
    <n v="0.5"/>
  </r>
  <r>
    <n v="0.5"/>
  </r>
  <r>
    <n v="0.5"/>
  </r>
  <r>
    <n v="0.5"/>
  </r>
  <r>
    <n v="0.5"/>
  </r>
  <r>
    <n v="0.5"/>
  </r>
  <r>
    <n v="0.5"/>
  </r>
  <r>
    <n v="0.5"/>
  </r>
  <r>
    <n v="0.5"/>
  </r>
  <r>
    <n v="0.5"/>
  </r>
  <r>
    <n v="0.5"/>
  </r>
  <r>
    <n v="0.5"/>
  </r>
  <r>
    <n v="0.5"/>
  </r>
  <r>
    <n v="1.4"/>
  </r>
  <r>
    <n v="0.5"/>
  </r>
  <r>
    <n v="0.5"/>
  </r>
  <r>
    <n v="0.5"/>
  </r>
  <r>
    <n v="0.5"/>
  </r>
  <r>
    <n v="0.5"/>
  </r>
  <r>
    <n v="1.1499999999999999"/>
  </r>
  <r>
    <n v="0.5"/>
  </r>
  <r>
    <n v="0.5"/>
  </r>
  <r>
    <n v="2.5"/>
  </r>
  <r>
    <n v="0.5"/>
  </r>
  <r>
    <n v="0.5"/>
  </r>
  <r>
    <n v="0.5"/>
  </r>
  <r>
    <n v="0.5"/>
  </r>
  <r>
    <n v="0.5"/>
  </r>
  <r>
    <n v="1.5"/>
  </r>
  <r>
    <n v="31.5"/>
  </r>
  <r>
    <n v="50.4"/>
  </r>
  <r>
    <n v="0.9"/>
  </r>
  <r>
    <n v="86.25"/>
  </r>
  <r>
    <n v="0.5"/>
  </r>
  <r>
    <n v="0.5"/>
  </r>
  <r>
    <n v="0.5"/>
  </r>
  <r>
    <n v="0.6"/>
  </r>
  <r>
    <n v="1.4"/>
  </r>
  <r>
    <n v="892.5"/>
  </r>
  <r>
    <n v="1.8"/>
  </r>
  <r>
    <n v="2100"/>
  </r>
  <r>
    <n v="1382.5"/>
  </r>
  <r>
    <n v="45.1"/>
  </r>
  <r>
    <n v="50"/>
  </r>
  <r>
    <n v="1"/>
  </r>
  <r>
    <n v="1.2"/>
  </r>
  <r>
    <n v="0.5"/>
  </r>
  <r>
    <n v="0.5"/>
  </r>
  <r>
    <n v="0.65"/>
  </r>
  <r>
    <n v="0.5"/>
  </r>
  <r>
    <n v="0.5"/>
  </r>
  <r>
    <n v="0.5"/>
  </r>
  <r>
    <n v="0.5"/>
  </r>
  <r>
    <n v="0.5"/>
  </r>
  <r>
    <n v="0.5"/>
  </r>
  <r>
    <n v="0.5"/>
  </r>
  <r>
    <n v="1.5"/>
  </r>
  <r>
    <n v="0.65"/>
  </r>
  <r>
    <n v="0.55000000000000004"/>
  </r>
  <r>
    <n v="0.5"/>
  </r>
  <r>
    <n v="0.5"/>
  </r>
  <r>
    <n v="0.5"/>
  </r>
  <r>
    <n v="0.5"/>
  </r>
  <r>
    <n v="3.6"/>
  </r>
  <r>
    <n v="3"/>
  </r>
  <r>
    <n v="1.95"/>
  </r>
  <r>
    <n v="1.9"/>
  </r>
  <r>
    <n v="12"/>
  </r>
  <r>
    <n v="8"/>
  </r>
  <r>
    <n v="2.8"/>
  </r>
  <r>
    <n v="67.5"/>
  </r>
  <r>
    <n v="0.6"/>
  </r>
  <r>
    <n v="0.5"/>
  </r>
  <r>
    <n v="1"/>
  </r>
  <r>
    <n v="0.5"/>
  </r>
  <r>
    <n v="0.5"/>
  </r>
  <r>
    <n v="0.5"/>
  </r>
  <r>
    <n v="0.5"/>
  </r>
  <r>
    <n v="0.5"/>
  </r>
  <r>
    <n v="0.5"/>
  </r>
  <r>
    <n v="1.35"/>
  </r>
  <r>
    <n v="1.9500000000000002"/>
  </r>
  <r>
    <n v="1.1499999999999999"/>
  </r>
  <r>
    <n v="1.85"/>
  </r>
  <r>
    <n v="0.5"/>
  </r>
  <r>
    <n v="0.55000000000000004"/>
  </r>
  <r>
    <n v="0.55000000000000004"/>
  </r>
  <r>
    <n v="0.55000000000000004"/>
  </r>
  <r>
    <n v="0.88000000000000012"/>
  </r>
  <r>
    <n v="5.0599999999999996"/>
  </r>
  <r>
    <n v="0.5"/>
  </r>
  <r>
    <n v="0.65"/>
  </r>
  <r>
    <n v="0.95"/>
  </r>
  <r>
    <n v="1"/>
  </r>
  <r>
    <n v="0.5"/>
  </r>
  <r>
    <n v="4.75"/>
  </r>
  <r>
    <n v="5.6050000000000004"/>
  </r>
  <r>
    <n v="11.309999999999999"/>
  </r>
  <r>
    <n v="2.1"/>
  </r>
  <r>
    <n v="3.9600000000000004"/>
  </r>
  <r>
    <n v="3.2"/>
  </r>
  <r>
    <n v="4.41"/>
  </r>
  <r>
    <n v="2.5600000000000005"/>
  </r>
  <r>
    <n v="3.8"/>
  </r>
  <r>
    <n v="32"/>
  </r>
  <r>
    <n v="0.5"/>
  </r>
  <r>
    <n v="0.5"/>
  </r>
  <r>
    <n v="3.6"/>
  </r>
  <r>
    <n v="2.2000000000000002"/>
  </r>
  <r>
    <n v="40.5"/>
  </r>
  <r>
    <n v="0.5"/>
  </r>
  <r>
    <n v="45.125"/>
  </r>
  <r>
    <n v="2.4500000000000002"/>
  </r>
  <r>
    <n v="0.9"/>
  </r>
  <r>
    <n v="1"/>
  </r>
  <r>
    <n v="1.3"/>
  </r>
  <r>
    <n v="1.3"/>
  </r>
  <r>
    <n v="0.5"/>
  </r>
  <r>
    <n v="0.5"/>
  </r>
  <r>
    <n v="0.5"/>
  </r>
  <r>
    <n v="0.5"/>
  </r>
  <r>
    <n v="0.5"/>
  </r>
  <r>
    <n v="0.5"/>
  </r>
  <r>
    <n v="1.5"/>
  </r>
  <r>
    <n v="0.5"/>
  </r>
  <r>
    <n v="0.5"/>
  </r>
  <r>
    <n v="0.5"/>
  </r>
  <r>
    <n v="0.5"/>
  </r>
  <r>
    <n v="0.5"/>
  </r>
  <r>
    <n v="0.5"/>
  </r>
  <r>
    <n v="2.7"/>
  </r>
  <r>
    <n v="0.5"/>
  </r>
  <r>
    <n v="0.5"/>
  </r>
  <r>
    <n v="5.75"/>
  </r>
  <r>
    <n v="0.5"/>
  </r>
  <r>
    <n v="1.4"/>
  </r>
  <r>
    <n v="0.5"/>
  </r>
  <r>
    <n v="0.5"/>
  </r>
  <r>
    <n v="0.5"/>
  </r>
  <r>
    <n v="0.5"/>
  </r>
  <r>
    <n v="0.5"/>
  </r>
  <r>
    <n v="0.5"/>
  </r>
  <r>
    <n v="0.5"/>
  </r>
  <r>
    <n v="0.5"/>
  </r>
  <r>
    <n v="0.5"/>
  </r>
  <r>
    <n v="0.5"/>
  </r>
  <r>
    <n v="0.5"/>
  </r>
  <r>
    <n v="0.5"/>
  </r>
  <r>
    <n v="0.5"/>
  </r>
  <r>
    <n v="0.5"/>
  </r>
  <r>
    <n v="0.5"/>
  </r>
  <r>
    <n v="0.85"/>
  </r>
  <r>
    <n v="0.6"/>
  </r>
  <r>
    <n v="0.93500000000000005"/>
  </r>
  <r>
    <n v="1"/>
  </r>
  <r>
    <n v="1.56"/>
  </r>
  <r>
    <n v="1.3"/>
  </r>
  <r>
    <n v="1.2"/>
  </r>
  <r>
    <n v="1.44"/>
  </r>
  <r>
    <n v="1.62"/>
  </r>
  <r>
    <n v="1"/>
  </r>
  <r>
    <n v="1.3"/>
  </r>
  <r>
    <n v="1.45"/>
  </r>
  <r>
    <n v="1.35"/>
  </r>
  <r>
    <n v="1.3"/>
  </r>
  <r>
    <n v="1.4"/>
  </r>
  <r>
    <n v="0.88000000000000012"/>
  </r>
  <r>
    <n v="4.8100000000000005"/>
  </r>
  <r>
    <n v="5.85"/>
  </r>
  <r>
    <n v="10.08"/>
  </r>
  <r>
    <n v="4.9499999999999993"/>
  </r>
  <r>
    <n v="17.399999999999999"/>
  </r>
  <r>
    <n v="6.4499999999999993"/>
  </r>
  <r>
    <n v="6.6000000000000005"/>
  </r>
  <r>
    <n v="7.3599999999999994"/>
  </r>
  <r>
    <n v="22.439999999999998"/>
  </r>
  <r>
    <n v="8.33"/>
  </r>
  <r>
    <n v="27.380000000000003"/>
  </r>
  <r>
    <n v="6.46"/>
  </r>
  <r>
    <n v="3.24"/>
  </r>
  <r>
    <n v="4.875"/>
  </r>
  <r>
    <n v="4.5599999999999996"/>
  </r>
  <r>
    <n v="3.77"/>
  </r>
  <r>
    <n v="4.9600000000000009"/>
  </r>
  <r>
    <n v="3.915"/>
  </r>
  <r>
    <n v="3.9000000000000004"/>
  </r>
  <r>
    <n v="3.625"/>
  </r>
  <r>
    <n v="3.9000000000000004"/>
  </r>
  <r>
    <n v="3.19"/>
  </r>
  <r>
    <n v="7.4249999999999998"/>
  </r>
  <r>
    <n v="5.3199999999999994"/>
  </r>
  <r>
    <n v="2.94"/>
  </r>
  <r>
    <n v="7.4249999999999998"/>
  </r>
  <r>
    <n v="6.7200000000000006"/>
  </r>
  <r>
    <n v="5.3199999999999994"/>
  </r>
  <r>
    <n v="5.04"/>
  </r>
  <r>
    <n v="8.2249999999999996"/>
  </r>
  <r>
    <n v="1.25"/>
  </r>
  <r>
    <n v="1.05"/>
  </r>
  <r>
    <n v="1.3"/>
  </r>
  <r>
    <n v="1.3"/>
  </r>
  <r>
    <n v="1.25"/>
  </r>
  <r>
    <n v="1.4"/>
  </r>
  <r>
    <n v="1.56"/>
  </r>
  <r>
    <n v="1.1000000000000001"/>
  </r>
  <r>
    <n v="1.1000000000000001"/>
  </r>
  <r>
    <n v="1.25"/>
  </r>
  <r>
    <n v="1.5"/>
  </r>
  <r>
    <n v="1.4300000000000002"/>
  </r>
  <r>
    <n v="1.45"/>
  </r>
  <r>
    <n v="1.1499999999999999"/>
  </r>
  <r>
    <n v="1.56"/>
  </r>
  <r>
    <n v="1.625"/>
  </r>
  <r>
    <n v="1.1499999999999999"/>
  </r>
  <r>
    <n v="1.375"/>
  </r>
  <r>
    <n v="1.35"/>
  </r>
  <r>
    <n v="1.6500000000000001"/>
  </r>
  <r>
    <n v="1.4"/>
  </r>
  <r>
    <n v="1.4"/>
  </r>
  <r>
    <n v="1.3"/>
  </r>
  <r>
    <n v="1.5"/>
  </r>
  <r>
    <n v="1.35"/>
  </r>
  <r>
    <n v="1.25"/>
  </r>
  <r>
    <n v="1.2"/>
  </r>
  <r>
    <n v="1.05"/>
  </r>
  <r>
    <n v="1.45"/>
  </r>
  <r>
    <n v="1.35"/>
  </r>
  <r>
    <n v="3.0250000000000004"/>
  </r>
  <r>
    <n v="1.3"/>
  </r>
  <r>
    <n v="1.25"/>
  </r>
  <r>
    <n v="6.09"/>
  </r>
  <r>
    <n v="0.71500000000000008"/>
  </r>
  <r>
    <n v="0.77"/>
  </r>
  <r>
    <n v="0.77"/>
  </r>
  <r>
    <n v="0.71500000000000008"/>
  </r>
  <r>
    <n v="1.885"/>
  </r>
  <r>
    <n v="2.0299999999999998"/>
  </r>
  <r>
    <n v="1.8199999999999998"/>
  </r>
  <r>
    <n v="2.0299999999999998"/>
  </r>
  <r>
    <n v="1.45"/>
  </r>
  <r>
    <n v="1.5"/>
  </r>
  <r>
    <n v="2.0299999999999998"/>
  </r>
  <r>
    <n v="2.0299999999999998"/>
  </r>
  <r>
    <n v="2.0299999999999998"/>
  </r>
  <r>
    <n v="3.9599999999999995"/>
  </r>
  <r>
    <n v="4.32"/>
  </r>
  <r>
    <n v="3.9"/>
  </r>
  <r>
    <n v="3.5649999999999999"/>
  </r>
  <r>
    <n v="3.3600000000000003"/>
  </r>
  <r>
    <n v="1.3"/>
  </r>
  <r>
    <n v="0.5"/>
  </r>
  <r>
    <n v="0.5"/>
  </r>
  <r>
    <n v="0.5"/>
  </r>
  <r>
    <n v="4.5"/>
  </r>
  <r>
    <n v="0.5"/>
  </r>
  <r>
    <n v="4.5"/>
  </r>
  <r>
    <n v="1.25"/>
  </r>
  <r>
    <n v="2.8800000000000003"/>
  </r>
  <r>
    <n v="1.885"/>
  </r>
  <r>
    <n v="2.1"/>
  </r>
  <r>
    <n v="7.5"/>
  </r>
  <r>
    <n v="3"/>
  </r>
  <r>
    <n v="84.5"/>
  </r>
  <r>
    <n v="198"/>
  </r>
  <r>
    <n v="330"/>
  </r>
  <r>
    <n v="71.759999999999991"/>
  </r>
  <r>
    <n v="44.08"/>
  </r>
  <r>
    <n v="47.58"/>
  </r>
  <r>
    <n v="52.8"/>
  </r>
  <r>
    <n v="61.600000000000009"/>
  </r>
  <r>
    <n v="46.080000000000005"/>
  </r>
  <r>
    <n v="56.16"/>
  </r>
  <r>
    <n v="38.4"/>
  </r>
  <r>
    <n v="92.4"/>
  </r>
  <r>
    <n v="67.680000000000007"/>
  </r>
  <r>
    <n v="68.399999999999991"/>
  </r>
  <r>
    <n v="51.2"/>
  </r>
  <r>
    <n v="30.614999999999998"/>
  </r>
  <r>
    <n v="8.5050000000000008"/>
  </r>
  <r>
    <n v="6.7600000000000007"/>
  </r>
  <r>
    <n v="3.375"/>
  </r>
  <r>
    <n v="0.5"/>
  </r>
  <r>
    <n v="6.5"/>
  </r>
  <r>
    <n v="1.26"/>
  </r>
  <r>
    <n v="1.2100000000000002"/>
  </r>
  <r>
    <n v="0.5"/>
  </r>
  <r>
    <n v="0.5"/>
  </r>
  <r>
    <n v="1.3"/>
  </r>
  <r>
    <n v="1.7600000000000002"/>
  </r>
  <r>
    <n v="0.5"/>
  </r>
  <r>
    <n v="0.5"/>
  </r>
  <r>
    <n v="1.4"/>
  </r>
  <r>
    <n v="0.5"/>
  </r>
  <r>
    <n v="1.1499999999999999"/>
  </r>
  <r>
    <n v="1.5"/>
  </r>
  <r>
    <n v="1.4300000000000002"/>
  </r>
  <r>
    <n v="0.5"/>
  </r>
  <r>
    <n v="0.6"/>
  </r>
  <r>
    <n v="0.5"/>
  </r>
  <r>
    <n v="0.5"/>
  </r>
  <r>
    <n v="0.5"/>
  </r>
  <r>
    <n v="0.5"/>
  </r>
  <r>
    <n v="0.5"/>
  </r>
  <r>
    <n v="0.5"/>
  </r>
  <r>
    <n v="0.7"/>
  </r>
  <r>
    <n v="1.4300000000000002"/>
  </r>
  <r>
    <n v="1.56"/>
  </r>
  <r>
    <n v="1.55"/>
  </r>
  <r>
    <n v="3.4"/>
  </r>
  <r>
    <n v="0.5"/>
  </r>
  <r>
    <n v="0.5"/>
  </r>
  <r>
    <n v="0.9"/>
  </r>
  <r>
    <n v="2.4800000000000004"/>
  </r>
  <r>
    <n v="1.3"/>
  </r>
  <r>
    <n v="704"/>
  </r>
  <r>
    <n v="150"/>
  </r>
  <r>
    <n v="100"/>
  </r>
  <r>
    <n v="144"/>
  </r>
  <r>
    <n v="1302"/>
  </r>
  <r>
    <n v="1064"/>
  </r>
  <r>
    <n v="1496"/>
  </r>
  <r>
    <n v="1632"/>
  </r>
  <r>
    <n v="76.800000000000011"/>
  </r>
  <r>
    <n v="162"/>
  </r>
  <r>
    <n v="96"/>
  </r>
  <r>
    <n v="640"/>
  </r>
  <r>
    <n v="1.1000000000000001"/>
  </r>
  <r>
    <n v="3.4100000000000006"/>
  </r>
  <r>
    <n v="1.1000000000000001"/>
  </r>
  <r>
    <n v="27"/>
  </r>
  <r>
    <n v="1.05"/>
  </r>
  <r>
    <n v="1.08"/>
  </r>
  <r>
    <n v="3.3000000000000003"/>
  </r>
  <r>
    <n v="0.65"/>
  </r>
  <r>
    <n v="1.8199999999999998"/>
  </r>
  <r>
    <n v="1.68"/>
  </r>
  <r>
    <n v="3.61"/>
  </r>
  <r>
    <n v="1.55"/>
  </r>
  <r>
    <n v="5.5249999999999995"/>
  </r>
  <r>
    <n v="1.56"/>
  </r>
  <r>
    <n v="1.8"/>
  </r>
  <r>
    <n v="2.72"/>
  </r>
  <r>
    <n v="1.8"/>
  </r>
  <r>
    <n v="84"/>
  </r>
  <r>
    <n v="1.1499999999999999"/>
  </r>
  <r>
    <n v="0.55000000000000004"/>
  </r>
  <r>
    <n v="1.3299999999999998"/>
  </r>
  <r>
    <n v="1.8"/>
  </r>
  <r>
    <n v="1"/>
  </r>
  <r>
    <n v="1.47"/>
  </r>
  <r>
    <n v="2.2999999999999998"/>
  </r>
  <r>
    <n v="1.52"/>
  </r>
  <r>
    <n v="180"/>
  </r>
  <r>
    <n v="266"/>
  </r>
  <r>
    <n v="4"/>
  </r>
  <r>
    <n v="3.7"/>
  </r>
  <r>
    <n v="17"/>
  </r>
  <r>
    <n v="7.1999999999999993"/>
  </r>
  <r>
    <n v="48"/>
  </r>
  <r>
    <n v="9.6"/>
  </r>
  <r>
    <n v="2.52"/>
  </r>
  <r>
    <n v="1.8"/>
  </r>
  <r>
    <n v="340"/>
  </r>
  <r>
    <n v="3"/>
  </r>
  <r>
    <n v="168"/>
  </r>
  <r>
    <n v="3.9000000000000004"/>
  </r>
  <r>
    <n v="266"/>
  </r>
  <r>
    <n v="3.55"/>
  </r>
  <r>
    <n v="3.8"/>
  </r>
  <r>
    <n v="1.4"/>
  </r>
  <r>
    <n v="1.68"/>
  </r>
  <r>
    <n v="11.7"/>
  </r>
  <r>
    <n v="48.75"/>
  </r>
  <r>
    <n v="12"/>
  </r>
  <r>
    <n v="1.2"/>
  </r>
  <r>
    <n v="101.5"/>
  </r>
  <r>
    <n v="1.7600000000000002"/>
  </r>
  <r>
    <n v="3.5999999999999996"/>
  </r>
  <r>
    <n v="3.5999999999999996"/>
  </r>
  <r>
    <n v="180"/>
  </r>
  <r>
    <n v="1.7"/>
  </r>
  <r>
    <n v="5.7"/>
  </r>
  <r>
    <n v="1.7"/>
  </r>
  <r>
    <n v="10.639999999999999"/>
  </r>
  <r>
    <n v="16"/>
  </r>
  <r>
    <n v="1426"/>
  </r>
  <r>
    <n v="896"/>
  </r>
  <r>
    <n v="5.3199999999999994"/>
  </r>
  <r>
    <n v="55.04"/>
  </r>
  <r>
    <n v="2.52"/>
  </r>
  <r>
    <n v="6.4499999999999993"/>
  </r>
  <r>
    <n v="4.08"/>
  </r>
  <r>
    <n v="6"/>
  </r>
  <r>
    <n v="6.88"/>
  </r>
  <r>
    <n v="9.8000000000000007"/>
  </r>
  <r>
    <n v="12.18"/>
  </r>
  <r>
    <n v="3.9599999999999995"/>
  </r>
  <r>
    <n v="10.920000000000002"/>
  </r>
  <r>
    <n v="16.170000000000002"/>
  </r>
  <r>
    <n v="1.45"/>
  </r>
  <r>
    <n v="5.2"/>
  </r>
  <r>
    <n v="7.14"/>
  </r>
  <r>
    <n v="2.25"/>
  </r>
  <r>
    <n v="5.18"/>
  </r>
  <r>
    <n v="1.4249999999999998"/>
  </r>
  <r>
    <n v="2.8899999999999997"/>
  </r>
  <r>
    <n v="2.52"/>
  </r>
  <r>
    <n v="1.26"/>
  </r>
  <r>
    <n v="1.08"/>
  </r>
  <r>
    <n v="0.97500000000000009"/>
  </r>
  <r>
    <n v="1.4"/>
  </r>
  <r>
    <n v="1.47"/>
  </r>
  <r>
    <n v="3.3000000000000003"/>
  </r>
  <r>
    <n v="1.5"/>
  </r>
  <r>
    <n v="0.6"/>
  </r>
  <r>
    <n v="1.05"/>
  </r>
  <r>
    <n v="1.35"/>
  </r>
  <r>
    <n v="1.2"/>
  </r>
  <r>
    <n v="1.32"/>
  </r>
  <r>
    <n v="1.3"/>
  </r>
  <r>
    <n v="3"/>
  </r>
  <r>
    <n v="2.0999999999999996"/>
  </r>
  <r>
    <n v="1.3"/>
  </r>
  <r>
    <n v="5.6000000000000005"/>
  </r>
  <r>
    <n v="1.3"/>
  </r>
  <r>
    <n v="1.3"/>
  </r>
  <r>
    <n v="1.4"/>
  </r>
  <r>
    <n v="1.3"/>
  </r>
  <r>
    <n v="1.5"/>
  </r>
  <r>
    <n v="1.25"/>
  </r>
  <r>
    <n v="14.4"/>
  </r>
  <r>
    <n v="12"/>
  </r>
  <r>
    <n v="7"/>
  </r>
  <r>
    <n v="1.5"/>
  </r>
  <r>
    <n v="1.25"/>
  </r>
  <r>
    <n v="1.25"/>
  </r>
  <r>
    <n v="1.25"/>
  </r>
  <r>
    <n v="3.9899999999999998"/>
  </r>
  <r>
    <n v="1.2"/>
  </r>
  <r>
    <n v="1.68"/>
  </r>
  <r>
    <n v="2.61"/>
  </r>
  <r>
    <n v="1.45"/>
  </r>
  <r>
    <n v="4.41"/>
  </r>
  <r>
    <n v="1.9500000000000002"/>
  </r>
  <r>
    <n v="2.6"/>
  </r>
  <r>
    <n v="10"/>
  </r>
  <r>
    <n v="8.4"/>
  </r>
  <r>
    <n v="1.1000000000000001"/>
  </r>
  <r>
    <n v="1.45"/>
  </r>
  <r>
    <n v="1.35"/>
  </r>
  <r>
    <n v="1.25"/>
  </r>
  <r>
    <n v="0.95"/>
  </r>
  <r>
    <n v="4.5"/>
  </r>
  <r>
    <n v="1.2100000000000002"/>
  </r>
  <r>
    <n v="1.3"/>
  </r>
  <r>
    <n v="1.05"/>
  </r>
  <r>
    <n v="2.3250000000000002"/>
  </r>
  <r>
    <n v="16"/>
  </r>
  <r>
    <n v="1.3"/>
  </r>
  <r>
    <n v="1.1000000000000001"/>
  </r>
  <r>
    <n v="2.625"/>
  </r>
  <r>
    <n v="9.6"/>
  </r>
  <r>
    <n v="1.3"/>
  </r>
  <r>
    <n v="2.52"/>
  </r>
  <r>
    <n v="0.9900000000000001"/>
  </r>
  <r>
    <n v="1"/>
  </r>
  <r>
    <n v="1"/>
  </r>
  <r>
    <n v="1.4"/>
  </r>
  <r>
    <n v="1.5"/>
  </r>
  <r>
    <n v="1.05"/>
  </r>
  <r>
    <n v="1.25"/>
  </r>
  <r>
    <n v="1.3"/>
  </r>
  <r>
    <n v="1.05"/>
  </r>
  <r>
    <n v="0.5"/>
  </r>
  <r>
    <n v="1.1499999999999999"/>
  </r>
  <r>
    <n v="0.97500000000000009"/>
  </r>
  <r>
    <n v="5.6000000000000005"/>
  </r>
  <r>
    <n v="1.0449999999999999"/>
  </r>
  <r>
    <n v="0.96"/>
  </r>
  <r>
    <n v="0.9"/>
  </r>
  <r>
    <n v="0.88000000000000012"/>
  </r>
  <r>
    <n v="0.75"/>
  </r>
  <r>
    <n v="0.9"/>
  </r>
  <r>
    <n v="0.9"/>
  </r>
  <r>
    <n v="0.96"/>
  </r>
  <r>
    <n v="0.85"/>
  </r>
  <r>
    <n v="0.6"/>
  </r>
  <r>
    <n v="1.71"/>
  </r>
  <r>
    <n v="0.8"/>
  </r>
  <r>
    <n v="1.4"/>
  </r>
  <r>
    <n v="1.26"/>
  </r>
  <r>
    <n v="1.75"/>
  </r>
  <r>
    <n v="2.16"/>
  </r>
  <r>
    <n v="1.05"/>
  </r>
  <r>
    <n v="0.77"/>
  </r>
  <r>
    <n v="0.65"/>
  </r>
  <r>
    <n v="4.32"/>
  </r>
  <r>
    <n v="1.8599999999999999"/>
  </r>
  <r>
    <n v="1.5"/>
  </r>
  <r>
    <n v="2.8"/>
  </r>
  <r>
    <n v="1.1000000000000001"/>
  </r>
  <r>
    <n v="1.3"/>
  </r>
  <r>
    <n v="1.625"/>
  </r>
  <r>
    <n v="2.9"/>
  </r>
  <r>
    <n v="2.6599999999999997"/>
  </r>
  <r>
    <n v="2.7"/>
  </r>
  <r>
    <n v="3.0449999999999999"/>
  </r>
  <r>
    <n v="4.18"/>
  </r>
  <r>
    <n v="2.7"/>
  </r>
  <r>
    <n v="2"/>
  </r>
  <r>
    <n v="0.5"/>
  </r>
  <r>
    <n v="2.94"/>
  </r>
  <r>
    <n v="3.2199999999999998"/>
  </r>
  <r>
    <n v="1.7849999999999999"/>
  </r>
  <r>
    <n v="3.3349999999999995"/>
  </r>
  <r>
    <n v="2.94"/>
  </r>
  <r>
    <n v="2.75"/>
  </r>
  <r>
    <n v="10.88"/>
  </r>
  <r>
    <n v="12"/>
  </r>
  <r>
    <n v="4.08"/>
  </r>
  <r>
    <n v="8.9249999999999989"/>
  </r>
  <r>
    <n v="3.8500000000000005"/>
  </r>
  <r>
    <n v="3.4849999999999994"/>
  </r>
  <r>
    <n v="1.45"/>
  </r>
  <r>
    <n v="1.45"/>
  </r>
  <r>
    <n v="9.3450000000000006"/>
  </r>
  <r>
    <n v="12.740000000000002"/>
  </r>
  <r>
    <n v="55.25"/>
  </r>
  <r>
    <n v="31.200000000000003"/>
  </r>
  <r>
    <n v="1.74"/>
  </r>
  <r>
    <n v="82.25"/>
  </r>
  <r>
    <n v="2.5600000000000005"/>
  </r>
  <r>
    <n v="1.1000000000000001"/>
  </r>
  <r>
    <n v="1.25"/>
  </r>
  <r>
    <n v="1.8199999999999998"/>
  </r>
  <r>
    <n v="1.5"/>
  </r>
  <r>
    <n v="1.54"/>
  </r>
  <r>
    <n v="1.45"/>
  </r>
  <r>
    <n v="1.55"/>
  </r>
  <r>
    <n v="1.05"/>
  </r>
  <r>
    <n v="2.5"/>
  </r>
  <r>
    <n v="2.8350000000000004"/>
  </r>
  <r>
    <n v="2.6"/>
  </r>
  <r>
    <n v="1.8399999999999999"/>
  </r>
  <r>
    <n v="1.75"/>
  </r>
  <r>
    <n v="6"/>
  </r>
  <r>
    <n v="1.7999999999999998"/>
  </r>
  <r>
    <n v="2.38"/>
  </r>
  <r>
    <n v="1.44"/>
  </r>
  <r>
    <n v="2.6"/>
  </r>
  <r>
    <n v="2.2799999999999998"/>
  </r>
  <r>
    <n v="2.5"/>
  </r>
  <r>
    <n v="4.5"/>
  </r>
  <r>
    <n v="1.595"/>
  </r>
  <r>
    <n v="2.5499999999999998"/>
  </r>
  <r>
    <n v="3.44"/>
  </r>
  <r>
    <n v="1.1550000000000002"/>
  </r>
  <r>
    <n v="583.66"/>
  </r>
  <r>
    <n v="2.3400000000000003"/>
  </r>
  <r>
    <n v="2.6"/>
  </r>
  <r>
    <n v="2.5"/>
  </r>
  <r>
    <n v="5.0999999999999996"/>
  </r>
  <r>
    <n v="2.25"/>
  </r>
  <r>
    <n v="2.21"/>
  </r>
  <r>
    <n v="2.25"/>
  </r>
  <r>
    <n v="1.4"/>
  </r>
  <r>
    <n v="2.0699999999999998"/>
  </r>
  <r>
    <n v="2.16"/>
  </r>
  <r>
    <n v="2.08"/>
  </r>
  <r>
    <n v="2.625"/>
  </r>
  <r>
    <n v="2.8"/>
  </r>
  <r>
    <n v="2.4699999999999998"/>
  </r>
  <r>
    <n v="2.2999999999999998"/>
  </r>
  <r>
    <n v="2.8"/>
  </r>
  <r>
    <n v="2.4699999999999998"/>
  </r>
  <r>
    <n v="2.16"/>
  </r>
  <r>
    <n v="2.4"/>
  </r>
  <r>
    <n v="5.28"/>
  </r>
  <r>
    <n v="2.8"/>
  </r>
  <r>
    <n v="2.5"/>
  </r>
  <r>
    <n v="2.5"/>
  </r>
  <r>
    <n v="2.7"/>
  </r>
  <r>
    <n v="2.7"/>
  </r>
  <r>
    <n v="2.6"/>
  </r>
  <r>
    <n v="2.7300000000000004"/>
  </r>
  <r>
    <n v="2.6"/>
  </r>
  <r>
    <n v="2.94"/>
  </r>
  <r>
    <n v="2.5"/>
  </r>
  <r>
    <n v="2.5"/>
  </r>
  <r>
    <n v="2.7"/>
  </r>
  <r>
    <n v="2.2999999999999998"/>
  </r>
  <r>
    <n v="2.2999999999999998"/>
  </r>
  <r>
    <n v="2"/>
  </r>
  <r>
    <n v="1.1499999999999999"/>
  </r>
  <r>
    <n v="1.4949999999999999"/>
  </r>
  <r>
    <n v="28.8"/>
  </r>
  <r>
    <n v="3.8949999999999996"/>
  </r>
  <r>
    <n v="1.75"/>
  </r>
  <r>
    <n v="3.24"/>
  </r>
  <r>
    <n v="2.9"/>
  </r>
  <r>
    <n v="3.6"/>
  </r>
  <r>
    <n v="1.5"/>
  </r>
  <r>
    <n v="1.1000000000000001"/>
  </r>
  <r>
    <n v="3.3249999999999997"/>
  </r>
  <r>
    <n v="1.1000000000000001"/>
  </r>
  <r>
    <n v="1"/>
  </r>
  <r>
    <n v="4.9499999999999993"/>
  </r>
  <r>
    <n v="5.1150000000000002"/>
  </r>
  <r>
    <n v="2.8350000000000004"/>
  </r>
  <r>
    <n v="1.26"/>
  </r>
  <r>
    <n v="1.0449999999999999"/>
  </r>
  <r>
    <n v="4.9499999999999993"/>
  </r>
  <r>
    <n v="5.6000000000000005"/>
  </r>
  <r>
    <n v="2.5"/>
  </r>
  <r>
    <n v="7.3599999999999994"/>
  </r>
  <r>
    <n v="5.6099999999999994"/>
  </r>
  <r>
    <n v="1"/>
  </r>
  <r>
    <n v="1.3"/>
  </r>
  <r>
    <n v="1.3"/>
  </r>
  <r>
    <n v="2.6599999999999997"/>
  </r>
  <r>
    <n v="0.5"/>
  </r>
  <r>
    <n v="2.4"/>
  </r>
  <r>
    <n v="0.5"/>
  </r>
  <r>
    <n v="0.5"/>
  </r>
  <r>
    <n v="2.9700000000000006"/>
  </r>
  <r>
    <n v="2.7300000000000004"/>
  </r>
  <r>
    <n v="1.19"/>
  </r>
  <r>
    <n v="1.26"/>
  </r>
  <r>
    <n v="1.1399999999999999"/>
  </r>
  <r>
    <n v="1.3299999999999998"/>
  </r>
  <r>
    <n v="1.47"/>
  </r>
  <r>
    <n v="2.7"/>
  </r>
  <r>
    <n v="1.4"/>
  </r>
  <r>
    <n v="1.35"/>
  </r>
  <r>
    <n v="2.7"/>
  </r>
  <r>
    <n v="0.5"/>
  </r>
  <r>
    <n v="2.375"/>
  </r>
  <r>
    <n v="2.2399999999999998"/>
  </r>
  <r>
    <n v="2.7300000000000004"/>
  </r>
  <r>
    <n v="2.5"/>
  </r>
  <r>
    <n v="2.5"/>
  </r>
  <r>
    <n v="1.4"/>
  </r>
  <r>
    <n v="2.4"/>
  </r>
  <r>
    <n v="0.55000000000000004"/>
  </r>
  <r>
    <n v="1.4949999999999999"/>
  </r>
  <r>
    <n v="0.75"/>
  </r>
  <r>
    <n v="1.3650000000000002"/>
  </r>
  <r>
    <n v="1.875"/>
  </r>
  <r>
    <n v="1.7249999999999999"/>
  </r>
  <r>
    <n v="0.65"/>
  </r>
  <r>
    <n v="0.75"/>
  </r>
  <r>
    <n v="0.6"/>
  </r>
  <r>
    <n v="0.9"/>
  </r>
  <r>
    <n v="0.8"/>
  </r>
  <r>
    <n v="0.7"/>
  </r>
  <r>
    <n v="0.7"/>
  </r>
  <r>
    <n v="0.71500000000000008"/>
  </r>
  <r>
    <n v="0.65"/>
  </r>
  <r>
    <n v="0.65"/>
  </r>
  <r>
    <n v="2.75"/>
  </r>
  <r>
    <n v="1.45"/>
  </r>
  <r>
    <n v="0.9"/>
  </r>
  <r>
    <n v="0.7"/>
  </r>
  <r>
    <n v="0.7"/>
  </r>
  <r>
    <n v="0.7"/>
  </r>
  <r>
    <n v="0.65"/>
  </r>
  <r>
    <n v="0.8"/>
  </r>
  <r>
    <n v="17.399999999999999"/>
  </r>
  <r>
    <n v="0.75"/>
  </r>
  <r>
    <n v="0.7"/>
  </r>
  <r>
    <n v="7.15"/>
  </r>
  <r>
    <n v="0.8"/>
  </r>
  <r>
    <n v="0.75"/>
  </r>
  <r>
    <n v="0.75"/>
  </r>
  <r>
    <n v="0.7"/>
  </r>
  <r>
    <n v="0.75"/>
  </r>
  <r>
    <n v="0.7"/>
  </r>
  <r>
    <n v="0.8"/>
  </r>
  <r>
    <n v="0.7"/>
  </r>
  <r>
    <n v="0.75"/>
  </r>
  <r>
    <n v="0.7"/>
  </r>
  <r>
    <n v="0.6"/>
  </r>
  <r>
    <n v="2.8"/>
  </r>
  <r>
    <n v="5.6000000000000005"/>
  </r>
  <r>
    <n v="4.6500000000000004"/>
  </r>
  <r>
    <n v="5.44"/>
  </r>
  <r>
    <n v="5.7749999999999995"/>
  </r>
  <r>
    <n v="1.3"/>
  </r>
  <r>
    <n v="1.3650000000000002"/>
  </r>
  <r>
    <n v="17.399999999999999"/>
  </r>
  <r>
    <n v="32.010000000000005"/>
  </r>
  <r>
    <n v="0.7"/>
  </r>
  <r>
    <n v="0.7"/>
  </r>
  <r>
    <n v="0.7"/>
  </r>
  <r>
    <n v="0.7"/>
  </r>
  <r>
    <n v="0.7"/>
  </r>
  <r>
    <n v="0.6"/>
  </r>
  <r>
    <n v="0.8"/>
  </r>
  <r>
    <n v="0.75"/>
  </r>
  <r>
    <n v="2.4"/>
  </r>
  <r>
    <n v="0.85"/>
  </r>
  <r>
    <n v="0.9"/>
  </r>
  <r>
    <n v="0.88000000000000012"/>
  </r>
  <r>
    <n v="0.7"/>
  </r>
  <r>
    <n v="0.7"/>
  </r>
  <r>
    <n v="0.85"/>
  </r>
  <r>
    <n v="0.85"/>
  </r>
  <r>
    <n v="1.62"/>
  </r>
  <r>
    <n v="1.1499999999999999"/>
  </r>
  <r>
    <n v="1.0449999999999999"/>
  </r>
  <r>
    <n v="1.26"/>
  </r>
  <r>
    <n v="1.1399999999999999"/>
  </r>
  <r>
    <n v="1.3650000000000002"/>
  </r>
  <r>
    <n v="0.95"/>
  </r>
  <r>
    <n v="1.92"/>
  </r>
  <r>
    <n v="2.5649999999999999"/>
  </r>
  <r>
    <n v="0.9"/>
  </r>
  <r>
    <n v="1.1000000000000001"/>
  </r>
  <r>
    <n v="1"/>
  </r>
  <r>
    <n v="1.1399999999999999"/>
  </r>
  <r>
    <n v="1.1399999999999999"/>
  </r>
  <r>
    <n v="1.2"/>
  </r>
  <r>
    <n v="1.2"/>
  </r>
  <r>
    <n v="2.2999999999999998"/>
  </r>
  <r>
    <n v="2.4"/>
  </r>
  <r>
    <n v="1.8399999999999999"/>
  </r>
  <r>
    <n v="2.4"/>
  </r>
  <r>
    <n v="1.05"/>
  </r>
  <r>
    <n v="1.4"/>
  </r>
  <r>
    <n v="1.32"/>
  </r>
  <r>
    <n v="2.75"/>
  </r>
  <r>
    <n v="2.6"/>
  </r>
  <r>
    <n v="2.04"/>
  </r>
  <r>
    <n v="1.7249999999999999"/>
  </r>
  <r>
    <n v="2.0699999999999998"/>
  </r>
  <r>
    <n v="2.4"/>
  </r>
  <r>
    <n v="2.5"/>
  </r>
  <r>
    <n v="1.9800000000000002"/>
  </r>
  <r>
    <n v="2.2799999999999998"/>
  </r>
  <r>
    <n v="1.9949999999999999"/>
  </r>
  <r>
    <n v="2.2999999999999998"/>
  </r>
  <r>
    <n v="2.1849999999999996"/>
  </r>
  <r>
    <n v="2.7300000000000004"/>
  </r>
  <r>
    <n v="2.5"/>
  </r>
  <r>
    <n v="1.9549999999999998"/>
  </r>
  <r>
    <n v="2.2799999999999998"/>
  </r>
  <r>
    <n v="2.2999999999999998"/>
  </r>
  <r>
    <n v="2.4"/>
  </r>
  <r>
    <n v="2.2999999999999998"/>
  </r>
  <r>
    <n v="1.7849999999999999"/>
  </r>
  <r>
    <n v="1.6500000000000001"/>
  </r>
  <r>
    <n v="1.92"/>
  </r>
  <r>
    <n v="2.2999999999999998"/>
  </r>
  <r>
    <n v="2.5"/>
  </r>
  <r>
    <n v="2.625"/>
  </r>
  <r>
    <n v="4"/>
  </r>
  <r>
    <n v="2.4"/>
  </r>
  <r>
    <n v="2.6"/>
  </r>
  <r>
    <n v="2.5"/>
  </r>
  <r>
    <n v="2.5"/>
  </r>
  <r>
    <n v="2.6"/>
  </r>
  <r>
    <n v="1.32"/>
  </r>
  <r>
    <n v="1.1550000000000002"/>
  </r>
  <r>
    <n v="1.1399999999999999"/>
  </r>
  <r>
    <n v="2.7"/>
  </r>
  <r>
    <n v="0.93500000000000005"/>
  </r>
  <r>
    <n v="1.02"/>
  </r>
  <r>
    <n v="0.75"/>
  </r>
  <r>
    <n v="0.8"/>
  </r>
  <r>
    <n v="1.08"/>
  </r>
  <r>
    <n v="0.9"/>
  </r>
  <r>
    <n v="0.5"/>
  </r>
  <r>
    <n v="2.7"/>
  </r>
  <r>
    <n v="2.5649999999999999"/>
  </r>
  <r>
    <n v="2.375"/>
  </r>
  <r>
    <n v="23.1"/>
  </r>
  <r>
    <n v="0.7"/>
  </r>
  <r>
    <n v="0.75"/>
  </r>
  <r>
    <n v="0.5"/>
  </r>
  <r>
    <n v="1.1000000000000001"/>
  </r>
  <r>
    <n v="1.4"/>
  </r>
  <r>
    <n v="2.8"/>
  </r>
  <r>
    <n v="2.9700000000000006"/>
  </r>
  <r>
    <n v="4.9499999999999993"/>
  </r>
  <r>
    <n v="1.08"/>
  </r>
  <r>
    <n v="1.4"/>
  </r>
  <r>
    <n v="2.38"/>
  </r>
  <r>
    <n v="2.5"/>
  </r>
  <r>
    <n v="0.5"/>
  </r>
  <r>
    <n v="0.5"/>
  </r>
  <r>
    <n v="0.5"/>
  </r>
  <r>
    <n v="0.5"/>
  </r>
  <r>
    <n v="0.5"/>
  </r>
  <r>
    <n v="0.5"/>
  </r>
  <r>
    <n v="0.6"/>
  </r>
  <r>
    <n v="0.5"/>
  </r>
  <r>
    <n v="0.5"/>
  </r>
  <r>
    <n v="0.84500000000000008"/>
  </r>
  <r>
    <n v="0.7"/>
  </r>
  <r>
    <n v="1.6"/>
  </r>
  <r>
    <n v="1.6"/>
  </r>
  <r>
    <n v="2.2999999999999998"/>
  </r>
  <r>
    <n v="0.9"/>
  </r>
  <r>
    <n v="0.5"/>
  </r>
  <r>
    <n v="1.8900000000000001"/>
  </r>
  <r>
    <n v="2"/>
  </r>
  <r>
    <n v="0.5"/>
  </r>
  <r>
    <n v="1.6"/>
  </r>
  <r>
    <n v="1.4"/>
  </r>
  <r>
    <n v="2.7300000000000004"/>
  </r>
  <r>
    <n v="0.6"/>
  </r>
  <r>
    <n v="0.65"/>
  </r>
  <r>
    <n v="94.5"/>
  </r>
  <r>
    <n v="2.0499999999999998"/>
  </r>
  <r>
    <n v="0.9"/>
  </r>
  <r>
    <n v="12.5"/>
  </r>
  <r>
    <n v="630"/>
  </r>
  <r>
    <n v="124"/>
  </r>
  <r>
    <n v="0.85"/>
  </r>
  <r>
    <n v="0.9"/>
  </r>
  <r>
    <n v="124"/>
  </r>
  <r>
    <n v="3.125"/>
  </r>
  <r>
    <n v="1"/>
  </r>
  <r>
    <n v="0.9"/>
  </r>
  <r>
    <n v="1.35"/>
  </r>
  <r>
    <n v="374"/>
  </r>
  <r>
    <n v="0.9"/>
  </r>
  <r>
    <n v="0.95"/>
  </r>
  <r>
    <n v="1.8399999999999999"/>
  </r>
  <r>
    <n v="1.2"/>
  </r>
  <r>
    <n v="1.1000000000000001"/>
  </r>
  <r>
    <n v="1.2"/>
  </r>
  <r>
    <n v="2"/>
  </r>
  <r>
    <n v="0.55000000000000004"/>
  </r>
  <r>
    <n v="0.6"/>
  </r>
  <r>
    <n v="0.6"/>
  </r>
  <r>
    <n v="1.2"/>
  </r>
  <r>
    <n v="0.7"/>
  </r>
  <r>
    <n v="1.3650000000000002"/>
  </r>
  <r>
    <n v="1.0449999999999999"/>
  </r>
  <r>
    <n v="0.55000000000000004"/>
  </r>
  <r>
    <n v="0.55000000000000004"/>
  </r>
  <r>
    <n v="1"/>
  </r>
  <r>
    <n v="0.96"/>
  </r>
  <r>
    <n v="1.2349999999999999"/>
  </r>
  <r>
    <n v="1"/>
  </r>
  <r>
    <n v="1.4"/>
  </r>
  <r>
    <n v="1.32"/>
  </r>
  <r>
    <n v="0.9900000000000001"/>
  </r>
  <r>
    <n v="0.55000000000000004"/>
  </r>
  <r>
    <n v="0.9"/>
  </r>
  <r>
    <n v="1.8399999999999999"/>
  </r>
  <r>
    <n v="1.44"/>
  </r>
  <r>
    <n v="1.1399999999999999"/>
  </r>
  <r>
    <n v="1.1700000000000002"/>
  </r>
  <r>
    <n v="1.1399999999999999"/>
  </r>
  <r>
    <n v="1.1399999999999999"/>
  </r>
  <r>
    <n v="1"/>
  </r>
  <r>
    <n v="1.44"/>
  </r>
  <r>
    <n v="1.1399999999999999"/>
  </r>
  <r>
    <n v="0.85"/>
  </r>
  <r>
    <n v="0.85"/>
  </r>
  <r>
    <n v="1"/>
  </r>
  <r>
    <n v="1.05"/>
  </r>
  <r>
    <n v="0.95"/>
  </r>
  <r>
    <n v="0.7"/>
  </r>
  <r>
    <n v="1"/>
  </r>
  <r>
    <n v="1.4"/>
  </r>
  <r>
    <n v="3.7"/>
  </r>
  <r>
    <n v="0.55000000000000004"/>
  </r>
  <r>
    <n v="0.55000000000000004"/>
  </r>
  <r>
    <n v="0.55000000000000004"/>
  </r>
  <r>
    <n v="0.6"/>
  </r>
  <r>
    <n v="0.6"/>
  </r>
  <r>
    <n v="0.55000000000000004"/>
  </r>
  <r>
    <n v="0.55000000000000004"/>
  </r>
  <r>
    <n v="0.6"/>
  </r>
  <r>
    <n v="3.125"/>
  </r>
  <r>
    <n v="0.5"/>
  </r>
  <r>
    <n v="0.5"/>
  </r>
  <r>
    <n v="0.5"/>
  </r>
  <r>
    <n v="0.5"/>
  </r>
  <r>
    <n v="0.5"/>
  </r>
  <r>
    <n v="0.6"/>
  </r>
  <r>
    <n v="0.96"/>
  </r>
  <r>
    <n v="5"/>
  </r>
  <r>
    <n v="1.2"/>
  </r>
  <r>
    <n v="1.32"/>
  </r>
  <r>
    <n v="1.2"/>
  </r>
  <r>
    <n v="10.8"/>
  </r>
  <r>
    <n v="0.95"/>
  </r>
  <r>
    <n v="0.95"/>
  </r>
  <r>
    <n v="0.8"/>
  </r>
  <r>
    <n v="1.5"/>
  </r>
  <r>
    <n v="1.5"/>
  </r>
  <r>
    <n v="1.4"/>
  </r>
  <r>
    <n v="0.95"/>
  </r>
  <r>
    <n v="1"/>
  </r>
  <r>
    <n v="0.95"/>
  </r>
  <r>
    <n v="0.95"/>
  </r>
  <r>
    <n v="1.2"/>
  </r>
  <r>
    <n v="1.3"/>
  </r>
  <r>
    <n v="2"/>
  </r>
  <r>
    <n v="0.5"/>
  </r>
  <r>
    <n v="46.08"/>
  </r>
  <r>
    <n v="19.220000000000002"/>
  </r>
  <r>
    <n v="4.8"/>
  </r>
  <r>
    <n v="5.3199999999999994"/>
  </r>
  <r>
    <n v="4.9399999999999995"/>
  </r>
  <r>
    <n v="1.595"/>
  </r>
  <r>
    <n v="5.6"/>
  </r>
  <r>
    <n v="5.120000000000001"/>
  </r>
  <r>
    <n v="2.0999999999999996"/>
  </r>
  <r>
    <n v="1.6"/>
  </r>
  <r>
    <n v="4.5"/>
  </r>
  <r>
    <n v="5.0999999999999996"/>
  </r>
  <r>
    <n v="5.6"/>
  </r>
  <r>
    <n v="7.22"/>
  </r>
  <r>
    <n v="5.0999999999999996"/>
  </r>
  <r>
    <n v="4.4799999999999995"/>
  </r>
  <r>
    <n v="6.75"/>
  </r>
  <r>
    <n v="7.68"/>
  </r>
  <r>
    <n v="11.200000000000001"/>
  </r>
  <r>
    <n v="6.08"/>
  </r>
  <r>
    <n v="1.1000000000000001"/>
  </r>
  <r>
    <n v="1.5"/>
  </r>
  <r>
    <n v="0.77"/>
  </r>
  <r>
    <n v="1.54"/>
  </r>
  <r>
    <n v="1.68"/>
  </r>
  <r>
    <n v="2.7300000000000004"/>
  </r>
  <r>
    <n v="1.44"/>
  </r>
  <r>
    <n v="28"/>
  </r>
  <r>
    <n v="1.9599999999999997"/>
  </r>
  <r>
    <n v="1.105"/>
  </r>
  <r>
    <n v="2.625"/>
  </r>
  <r>
    <n v="9"/>
  </r>
  <r>
    <n v="12"/>
  </r>
  <r>
    <n v="3.0449999999999999"/>
  </r>
  <r>
    <n v="0.6"/>
  </r>
  <r>
    <n v="2.79"/>
  </r>
  <r>
    <n v="0.9"/>
  </r>
  <r>
    <n v="0.8"/>
  </r>
  <r>
    <n v="0.5"/>
  </r>
  <r>
    <n v="1.0449999999999999"/>
  </r>
  <r>
    <n v="0.82500000000000007"/>
  </r>
  <r>
    <n v="1.26"/>
  </r>
  <r>
    <n v="1.0449999999999999"/>
  </r>
  <r>
    <n v="2.145"/>
  </r>
  <r>
    <n v="0.93500000000000005"/>
  </r>
  <r>
    <n v="7.9799999999999995"/>
  </r>
  <r>
    <n v="1.1700000000000002"/>
  </r>
  <r>
    <n v="1.26"/>
  </r>
  <r>
    <n v="6.58"/>
  </r>
  <r>
    <n v="2.0299999999999998"/>
  </r>
  <r>
    <n v="3.42"/>
  </r>
  <r>
    <n v="5.52"/>
  </r>
  <r>
    <n v="1.02"/>
  </r>
  <r>
    <n v="1.44"/>
  </r>
  <r>
    <n v="0.88000000000000012"/>
  </r>
  <r>
    <n v="3.1500000000000004"/>
  </r>
  <r>
    <n v="2.5350000000000001"/>
  </r>
  <r>
    <n v="1.625"/>
  </r>
  <r>
    <n v="1.2100000000000002"/>
  </r>
  <r>
    <n v="1.9500000000000002"/>
  </r>
  <r>
    <n v="1.2"/>
  </r>
  <r>
    <n v="47.25"/>
  </r>
  <r>
    <n v="69.3"/>
  </r>
  <r>
    <n v="72"/>
  </r>
  <r>
    <n v="45"/>
  </r>
  <r>
    <n v="1.02"/>
  </r>
  <r>
    <n v="0.88000000000000012"/>
  </r>
  <r>
    <n v="1.02"/>
  </r>
  <r>
    <n v="1.1550000000000002"/>
  </r>
  <r>
    <n v="3.06"/>
  </r>
  <r>
    <n v="1.56"/>
  </r>
  <r>
    <n v="1.2100000000000002"/>
  </r>
  <r>
    <n v="1.68"/>
  </r>
  <r>
    <n v="1.1399999999999999"/>
  </r>
  <r>
    <n v="0.9900000000000001"/>
  </r>
  <r>
    <n v="1.44"/>
  </r>
  <r>
    <n v="1.0449999999999999"/>
  </r>
  <r>
    <n v="0.93500000000000005"/>
  </r>
  <r>
    <n v="1.0449999999999999"/>
  </r>
  <r>
    <n v="1.2"/>
  </r>
  <r>
    <n v="0.88000000000000012"/>
  </r>
  <r>
    <n v="0.84"/>
  </r>
  <r>
    <n v="0.84"/>
  </r>
  <r>
    <n v="1.32"/>
  </r>
  <r>
    <n v="1.1399999999999999"/>
  </r>
  <r>
    <n v="1.375"/>
  </r>
  <r>
    <n v="0.9900000000000001"/>
  </r>
  <r>
    <n v="1.0449999999999999"/>
  </r>
  <r>
    <n v="1.4300000000000002"/>
  </r>
  <r>
    <n v="0.82500000000000007"/>
  </r>
  <r>
    <n v="0.77"/>
  </r>
  <r>
    <n v="0.9900000000000001"/>
  </r>
  <r>
    <n v="0.93500000000000005"/>
  </r>
  <r>
    <n v="1.1000000000000001"/>
  </r>
  <r>
    <n v="1.3650000000000002"/>
  </r>
  <r>
    <n v="0.88000000000000012"/>
  </r>
  <r>
    <n v="1.1399999999999999"/>
  </r>
  <r>
    <n v="1.1000000000000001"/>
  </r>
  <r>
    <n v="1.1399999999999999"/>
  </r>
  <r>
    <n v="0.93500000000000005"/>
  </r>
  <r>
    <n v="9.120000000000001"/>
  </r>
  <r>
    <n v="9.01"/>
  </r>
  <r>
    <n v="2.0999999999999996"/>
  </r>
  <r>
    <n v="1.1550000000000002"/>
  </r>
  <r>
    <n v="1.1000000000000001"/>
  </r>
  <r>
    <n v="1.0449999999999999"/>
  </r>
  <r>
    <n v="0.89999999999999991"/>
  </r>
  <r>
    <n v="1.105"/>
  </r>
  <r>
    <n v="1.26"/>
  </r>
  <r>
    <n v="1.26"/>
  </r>
  <r>
    <n v="1.32"/>
  </r>
  <r>
    <n v="0.88000000000000012"/>
  </r>
  <r>
    <n v="0.88000000000000012"/>
  </r>
  <r>
    <n v="1.04"/>
  </r>
  <r>
    <n v="1.0449999999999999"/>
  </r>
  <r>
    <n v="0.77"/>
  </r>
  <r>
    <n v="4.32"/>
  </r>
  <r>
    <n v="1.0449999999999999"/>
  </r>
  <r>
    <n v="0.88000000000000012"/>
  </r>
  <r>
    <n v="0.88000000000000012"/>
  </r>
  <r>
    <n v="0.82500000000000007"/>
  </r>
  <r>
    <n v="1.0449999999999999"/>
  </r>
  <r>
    <n v="1.0449999999999999"/>
  </r>
  <r>
    <n v="0.9900000000000001"/>
  </r>
  <r>
    <n v="0.82500000000000007"/>
  </r>
  <r>
    <n v="0.88000000000000012"/>
  </r>
  <r>
    <n v="1.0449999999999999"/>
  </r>
  <r>
    <n v="1.1000000000000001"/>
  </r>
  <r>
    <n v="0.77"/>
  </r>
  <r>
    <n v="1.4"/>
  </r>
  <r>
    <n v="1.0449999999999999"/>
  </r>
  <r>
    <n v="1.92"/>
  </r>
  <r>
    <n v="0.9900000000000001"/>
  </r>
  <r>
    <n v="0.88000000000000012"/>
  </r>
  <r>
    <n v="1.3"/>
  </r>
  <r>
    <n v="0.88000000000000012"/>
  </r>
  <r>
    <n v="1.26"/>
  </r>
  <r>
    <n v="0.88000000000000012"/>
  </r>
  <r>
    <n v="1.375"/>
  </r>
  <r>
    <n v="4.4799999999999995"/>
  </r>
  <r>
    <n v="5.04"/>
  </r>
  <r>
    <n v="6.3000000000000007"/>
  </r>
  <r>
    <n v="7.14"/>
  </r>
  <r>
    <n v="6.3000000000000007"/>
  </r>
  <r>
    <n v="12"/>
  </r>
  <r>
    <n v="5.6999999999999993"/>
  </r>
  <r>
    <n v="5.3199999999999994"/>
  </r>
  <r>
    <n v="5.6999999999999993"/>
  </r>
  <r>
    <n v="12"/>
  </r>
  <r>
    <n v="9"/>
  </r>
  <r>
    <n v="7.1999999999999993"/>
  </r>
  <r>
    <n v="11.05"/>
  </r>
  <r>
    <n v="18"/>
  </r>
  <r>
    <n v="9"/>
  </r>
  <r>
    <n v="13.2"/>
  </r>
  <r>
    <n v="8.4500000000000011"/>
  </r>
  <r>
    <n v="7"/>
  </r>
  <r>
    <n v="11.52"/>
  </r>
  <r>
    <n v="4.2"/>
  </r>
  <r>
    <n v="5.88"/>
  </r>
  <r>
    <n v="5.4600000000000009"/>
  </r>
  <r>
    <n v="4"/>
  </r>
  <r>
    <n v="1.2"/>
  </r>
  <r>
    <n v="1.7"/>
  </r>
  <r>
    <n v="2.8"/>
  </r>
  <r>
    <n v="2"/>
  </r>
  <r>
    <n v="1.3"/>
  </r>
  <r>
    <n v="1.2"/>
  </r>
  <r>
    <n v="2"/>
  </r>
  <r>
    <n v="1"/>
  </r>
  <r>
    <n v="1.1000000000000001"/>
  </r>
  <r>
    <n v="1.25"/>
  </r>
  <r>
    <n v="1.32"/>
  </r>
  <r>
    <n v="1.6"/>
  </r>
  <r>
    <n v="1.2100000000000002"/>
  </r>
  <r>
    <n v="1.4949999999999999"/>
  </r>
  <r>
    <n v="1.56"/>
  </r>
  <r>
    <n v="1.7600000000000002"/>
  </r>
  <r>
    <n v="2.16"/>
  </r>
  <r>
    <n v="2.4"/>
  </r>
  <r>
    <n v="2.16"/>
  </r>
  <r>
    <n v="2.4"/>
  </r>
  <r>
    <n v="0.9900000000000001"/>
  </r>
  <r>
    <n v="0.5"/>
  </r>
  <r>
    <n v="1.9800000000000002"/>
  </r>
  <r>
    <n v="1.1000000000000001"/>
  </r>
  <r>
    <n v="5.25"/>
  </r>
  <r>
    <n v="6"/>
  </r>
  <r>
    <n v="14.700000000000001"/>
  </r>
  <r>
    <n v="1.1000000000000001"/>
  </r>
  <r>
    <n v="1.2"/>
  </r>
  <r>
    <n v="1.4"/>
  </r>
  <r>
    <n v="6"/>
  </r>
  <r>
    <n v="11.700000000000001"/>
  </r>
  <r>
    <n v="3.04"/>
  </r>
  <r>
    <n v="1.45"/>
  </r>
  <r>
    <n v="3"/>
  </r>
  <r>
    <n v="3.4649999999999999"/>
  </r>
  <r>
    <n v="3.2"/>
  </r>
  <r>
    <n v="3.2"/>
  </r>
  <r>
    <n v="4.4849999999999994"/>
  </r>
  <r>
    <n v="4.4000000000000004"/>
  </r>
  <r>
    <n v="13.520000000000001"/>
  </r>
  <r>
    <n v="3.5"/>
  </r>
  <r>
    <n v="8.6999999999999993"/>
  </r>
  <r>
    <n v="8.4"/>
  </r>
  <r>
    <n v="1.4"/>
  </r>
  <r>
    <n v="1"/>
  </r>
  <r>
    <n v="6"/>
  </r>
  <r>
    <n v="6.08"/>
  </r>
  <r>
    <n v="5.4"/>
  </r>
  <r>
    <n v="1.74"/>
  </r>
  <r>
    <n v="0.96"/>
  </r>
  <r>
    <n v="1.92"/>
  </r>
  <r>
    <n v="1.52"/>
  </r>
  <r>
    <n v="4.5"/>
  </r>
  <r>
    <n v="4.8000000000000007"/>
  </r>
  <r>
    <n v="5.25"/>
  </r>
  <r>
    <n v="5.0999999999999996"/>
  </r>
  <r>
    <n v="7.2"/>
  </r>
  <r>
    <n v="7.75"/>
  </r>
  <r>
    <n v="13.440000000000001"/>
  </r>
  <r>
    <n v="1.26"/>
  </r>
  <r>
    <n v="5.4"/>
  </r>
  <r>
    <n v="4.8000000000000007"/>
  </r>
  <r>
    <n v="6.8999999999999995"/>
  </r>
  <r>
    <n v="6"/>
  </r>
  <r>
    <n v="5.85"/>
  </r>
  <r>
    <n v="6.7200000000000006"/>
  </r>
  <r>
    <n v="5.6999999999999993"/>
  </r>
  <r>
    <n v="5.0999999999999996"/>
  </r>
  <r>
    <n v="5.6999999999999993"/>
  </r>
  <r>
    <n v="1.5"/>
  </r>
  <r>
    <n v="8.1199999999999992"/>
  </r>
  <r>
    <n v="6.75"/>
  </r>
  <r>
    <n v="12.600000000000001"/>
  </r>
  <r>
    <n v="7.2799999999999994"/>
  </r>
  <r>
    <n v="2.7"/>
  </r>
  <r>
    <n v="3.6"/>
  </r>
  <r>
    <n v="16.82"/>
  </r>
  <r>
    <n v="2.7"/>
  </r>
  <r>
    <n v="2.7"/>
  </r>
  <r>
    <n v="1.95"/>
  </r>
  <r>
    <n v="1.75"/>
  </r>
  <r>
    <n v="10.199999999999999"/>
  </r>
  <r>
    <n v="1.595"/>
  </r>
  <r>
    <n v="2.4"/>
  </r>
  <r>
    <n v="2.15"/>
  </r>
  <r>
    <n v="3.2"/>
  </r>
  <r>
    <n v="0.5"/>
  </r>
  <r>
    <n v="1.68"/>
  </r>
  <r>
    <n v="3.8500000000000005"/>
  </r>
  <r>
    <n v="2.16"/>
  </r>
  <r>
    <n v="2.2399999999999998"/>
  </r>
  <r>
    <n v="1"/>
  </r>
  <r>
    <n v="0.85"/>
  </r>
  <r>
    <n v="3.74"/>
  </r>
  <r>
    <n v="4.3049999999999997"/>
  </r>
  <r>
    <n v="3.77"/>
  </r>
  <r>
    <n v="17.600000000000001"/>
  </r>
  <r>
    <n v="4.29"/>
  </r>
  <r>
    <n v="3"/>
  </r>
  <r>
    <n v="3.36"/>
  </r>
  <r>
    <n v="3.3349999999999995"/>
  </r>
  <r>
    <n v="3.08"/>
  </r>
  <r>
    <n v="3.36"/>
  </r>
  <r>
    <n v="3.9199999999999995"/>
  </r>
  <r>
    <n v="3.6399999999999997"/>
  </r>
  <r>
    <n v="7.9200000000000008"/>
  </r>
  <r>
    <n v="6.75"/>
  </r>
  <r>
    <n v="9.3000000000000007"/>
  </r>
  <r>
    <n v="14.25"/>
  </r>
  <r>
    <n v="30.800000000000004"/>
  </r>
  <r>
    <n v="3.9600000000000004"/>
  </r>
  <r>
    <n v="6.5"/>
  </r>
  <r>
    <n v="8.9599999999999991"/>
  </r>
  <r>
    <n v="15.400000000000002"/>
  </r>
  <r>
    <n v="36.4"/>
  </r>
  <r>
    <n v="45"/>
  </r>
  <r>
    <n v="48"/>
  </r>
  <r>
    <n v="40.6"/>
  </r>
  <r>
    <n v="41.6"/>
  </r>
  <r>
    <n v="12"/>
  </r>
  <r>
    <n v="6.4050000000000002"/>
  </r>
  <r>
    <n v="5.8"/>
  </r>
  <r>
    <n v="4.7"/>
  </r>
  <r>
    <n v="3.9600000000000004"/>
  </r>
  <r>
    <n v="3.5649999999999999"/>
  </r>
  <r>
    <n v="241.64999999999998"/>
  </r>
  <r>
    <n v="119.60000000000001"/>
  </r>
  <r>
    <n v="8.1000000000000014"/>
  </r>
  <r>
    <n v="21.8"/>
  </r>
  <r>
    <n v="14.45"/>
  </r>
  <r>
    <n v="10.5"/>
  </r>
  <r>
    <n v="12.16"/>
  </r>
  <r>
    <n v="30.419999999999998"/>
  </r>
  <r>
    <n v="13"/>
  </r>
  <r>
    <n v="1.74"/>
  </r>
  <r>
    <n v="12"/>
  </r>
  <r>
    <n v="4"/>
  </r>
  <r>
    <n v="3.3"/>
  </r>
  <r>
    <n v="13.4"/>
  </r>
  <r>
    <n v="3"/>
  </r>
  <r>
    <n v="1.625"/>
  </r>
  <r>
    <n v="1.4"/>
  </r>
  <r>
    <n v="1.6"/>
  </r>
  <r>
    <n v="1.2"/>
  </r>
  <r>
    <n v="1.2"/>
  </r>
  <r>
    <n v="2.1749999999999998"/>
  </r>
  <r>
    <n v="2.145"/>
  </r>
  <r>
    <n v="1.68"/>
  </r>
  <r>
    <n v="12.450000000000001"/>
  </r>
  <r>
    <n v="18.900000000000002"/>
  </r>
  <r>
    <n v="1.6500000000000001"/>
  </r>
  <r>
    <n v="4.6800000000000006"/>
  </r>
  <r>
    <n v="3.3600000000000003"/>
  </r>
  <r>
    <n v="16.974999999999998"/>
  </r>
  <r>
    <n v="9.1300000000000008"/>
  </r>
  <r>
    <n v="13.440000000000001"/>
  </r>
  <r>
    <n v="15.575000000000001"/>
  </r>
  <r>
    <n v="3.4"/>
  </r>
  <r>
    <n v="1.8"/>
  </r>
  <r>
    <n v="6"/>
  </r>
  <r>
    <n v="5"/>
  </r>
  <r>
    <n v="1.885"/>
  </r>
  <r>
    <n v="1.6500000000000001"/>
  </r>
  <r>
    <n v="1.9"/>
  </r>
  <r>
    <n v="2.2999999999999998"/>
  </r>
  <r>
    <n v="1.4"/>
  </r>
  <r>
    <n v="41.6"/>
  </r>
  <r>
    <n v="67.5"/>
  </r>
  <r>
    <n v="115.5"/>
  </r>
  <r>
    <n v="47.25"/>
  </r>
  <r>
    <n v="3.48"/>
  </r>
  <r>
    <n v="1.6"/>
  </r>
  <r>
    <n v="3.5200000000000005"/>
  </r>
  <r>
    <n v="308.85000000000002"/>
  </r>
  <r>
    <n v="304.5"/>
  </r>
  <r>
    <n v="297"/>
  </r>
  <r>
    <n v="3.77"/>
  </r>
  <r>
    <n v="2.7"/>
  </r>
  <r>
    <n v="2.7"/>
  </r>
  <r>
    <n v="3.42"/>
  </r>
  <r>
    <n v="2.7"/>
  </r>
  <r>
    <n v="162"/>
  </r>
  <r>
    <n v="5.76"/>
  </r>
  <r>
    <n v="31.2"/>
  </r>
  <r>
    <n v="139.5"/>
  </r>
  <r>
    <n v="156"/>
  </r>
  <r>
    <n v="189"/>
  </r>
  <r>
    <n v="23.980000000000004"/>
  </r>
  <r>
    <n v="4.8"/>
  </r>
  <r>
    <n v="1.25"/>
  </r>
  <r>
    <n v="1.5"/>
  </r>
  <r>
    <n v="1.4"/>
  </r>
  <r>
    <n v="2.0999999999999996"/>
  </r>
  <r>
    <n v="1.6500000000000001"/>
  </r>
  <r>
    <n v="9.9200000000000017"/>
  </r>
  <r>
    <n v="1.7999999999999998"/>
  </r>
  <r>
    <n v="8.32"/>
  </r>
  <r>
    <n v="5.0599999999999996"/>
  </r>
  <r>
    <n v="4.2"/>
  </r>
  <r>
    <n v="3.06"/>
  </r>
  <r>
    <n v="1.54"/>
  </r>
  <r>
    <n v="2.625"/>
  </r>
  <r>
    <n v="1.8"/>
  </r>
  <r>
    <n v="3.3"/>
  </r>
  <r>
    <n v="1.5"/>
  </r>
  <r>
    <n v="2.4000000000000004"/>
  </r>
  <r>
    <n v="3"/>
  </r>
  <r>
    <n v="39"/>
  </r>
  <r>
    <n v="4.375"/>
  </r>
  <r>
    <n v="0.5"/>
  </r>
  <r>
    <n v="1.35"/>
  </r>
  <r>
    <n v="2.125"/>
  </r>
  <r>
    <n v="1.8199999999999998"/>
  </r>
  <r>
    <n v="1.4"/>
  </r>
  <r>
    <n v="3.3349999999999995"/>
  </r>
  <r>
    <n v="7.8000000000000007"/>
  </r>
  <r>
    <n v="16.8"/>
  </r>
  <r>
    <n v="1.68"/>
  </r>
  <r>
    <n v="1.25"/>
  </r>
  <r>
    <n v="3.6399999999999997"/>
  </r>
  <r>
    <n v="1.35"/>
  </r>
  <r>
    <n v="3.9600000000000004"/>
  </r>
  <r>
    <n v="9"/>
  </r>
  <r>
    <n v="1.25"/>
  </r>
  <r>
    <n v="1.5"/>
  </r>
  <r>
    <n v="2"/>
  </r>
  <r>
    <n v="4.5"/>
  </r>
  <r>
    <n v="4"/>
  </r>
  <r>
    <n v="1.75"/>
  </r>
  <r>
    <n v="1.75"/>
  </r>
  <r>
    <n v="2.7"/>
  </r>
  <r>
    <n v="1.5"/>
  </r>
  <r>
    <n v="5"/>
  </r>
  <r>
    <n v="4.5"/>
  </r>
  <r>
    <n v="1.75"/>
  </r>
  <r>
    <n v="1.5"/>
  </r>
  <r>
    <n v="1.5"/>
  </r>
  <r>
    <n v="1.5"/>
  </r>
  <r>
    <n v="1.5"/>
  </r>
  <r>
    <n v="4"/>
  </r>
  <r>
    <n v="1.5"/>
  </r>
  <r>
    <n v="24"/>
  </r>
  <r>
    <n v="1.5"/>
  </r>
  <r>
    <n v="1.25"/>
  </r>
  <r>
    <n v="1.5"/>
  </r>
  <r>
    <n v="0.5"/>
  </r>
  <r>
    <n v="1.35"/>
  </r>
  <r>
    <n v="1.35"/>
  </r>
  <r>
    <n v="1.55"/>
  </r>
  <r>
    <n v="1.4"/>
  </r>
  <r>
    <n v="1.35"/>
  </r>
  <r>
    <n v="1.25"/>
  </r>
  <r>
    <n v="1.5"/>
  </r>
  <r>
    <n v="2"/>
  </r>
  <r>
    <n v="1.5"/>
  </r>
  <r>
    <n v="1.5"/>
  </r>
  <r>
    <n v="1.45"/>
  </r>
  <r>
    <n v="1.4"/>
  </r>
  <r>
    <n v="0.5"/>
  </r>
  <r>
    <n v="1.2"/>
  </r>
  <r>
    <n v="1.5"/>
  </r>
  <r>
    <n v="1.05"/>
  </r>
  <r>
    <n v="1.2"/>
  </r>
  <r>
    <n v="3.2199999999999998"/>
  </r>
  <r>
    <n v="16.8"/>
  </r>
  <r>
    <n v="8.4"/>
  </r>
  <r>
    <n v="1.5"/>
  </r>
  <r>
    <n v="1.35"/>
  </r>
  <r>
    <n v="1.4"/>
  </r>
  <r>
    <n v="1.05"/>
  </r>
  <r>
    <n v="1.35"/>
  </r>
  <r>
    <n v="1.3"/>
  </r>
  <r>
    <n v="0.5"/>
  </r>
  <r>
    <n v="1.5"/>
  </r>
  <r>
    <n v="1"/>
  </r>
  <r>
    <n v="1.2"/>
  </r>
  <r>
    <n v="1.35"/>
  </r>
  <r>
    <n v="1.2"/>
  </r>
  <r>
    <n v="1.45"/>
  </r>
  <r>
    <n v="1.35"/>
  </r>
  <r>
    <n v="1.5"/>
  </r>
  <r>
    <n v="1.35"/>
  </r>
  <r>
    <n v="3"/>
  </r>
  <r>
    <n v="2.2000000000000002"/>
  </r>
  <r>
    <n v="5.625"/>
  </r>
  <r>
    <n v="36"/>
  </r>
  <r>
    <n v="6.25"/>
  </r>
  <r>
    <n v="28.35"/>
  </r>
  <r>
    <n v="162"/>
  </r>
  <r>
    <n v="1.2"/>
  </r>
  <r>
    <n v="1.5"/>
  </r>
  <r>
    <n v="1.4"/>
  </r>
  <r>
    <n v="36"/>
  </r>
  <r>
    <n v="42"/>
  </r>
  <r>
    <n v="144"/>
  </r>
  <r>
    <n v="40"/>
  </r>
  <r>
    <n v="4"/>
  </r>
  <r>
    <n v="4"/>
  </r>
  <r>
    <n v="0.6"/>
  </r>
  <r>
    <n v="1.5"/>
  </r>
  <r>
    <n v="6.75"/>
  </r>
  <r>
    <n v="1.75"/>
  </r>
  <r>
    <n v="7.5"/>
  </r>
  <r>
    <n v="12"/>
  </r>
  <r>
    <n v="12"/>
  </r>
  <r>
    <n v="9"/>
  </r>
  <r>
    <n v="32.4"/>
  </r>
  <r>
    <n v="52.5"/>
  </r>
  <r>
    <n v="66.25"/>
  </r>
  <r>
    <n v="45"/>
  </r>
  <r>
    <n v="120"/>
  </r>
  <r>
    <n v="87.399999999999991"/>
  </r>
  <r>
    <n v="115.5"/>
  </r>
  <r>
    <n v="249"/>
  </r>
  <r>
    <n v="360.25"/>
  </r>
  <r>
    <n v="54"/>
  </r>
  <r>
    <n v="128.79999999999998"/>
  </r>
  <r>
    <n v="234"/>
  </r>
  <r>
    <n v="210.6"/>
  </r>
  <r>
    <n v="1.5"/>
  </r>
  <r>
    <n v="3"/>
  </r>
  <r>
    <n v="1.4"/>
  </r>
  <r>
    <n v="1.5"/>
  </r>
  <r>
    <n v="10.5"/>
  </r>
  <r>
    <n v="16"/>
  </r>
  <r>
    <n v="1.2"/>
  </r>
  <r>
    <n v="1"/>
  </r>
  <r>
    <n v="0.8"/>
  </r>
  <r>
    <n v="0.9"/>
  </r>
  <r>
    <n v="0.75"/>
  </r>
  <r>
    <n v="356"/>
  </r>
  <r>
    <n v="1.8199999999999998"/>
  </r>
  <r>
    <n v="1.35"/>
  </r>
  <r>
    <n v="5.25"/>
  </r>
  <r>
    <n v="0.9900000000000001"/>
  </r>
  <r>
    <n v="147"/>
  </r>
  <r>
    <n v="1.2"/>
  </r>
  <r>
    <n v="1.68"/>
  </r>
  <r>
    <n v="2.145"/>
  </r>
  <r>
    <n v="2.665"/>
  </r>
  <r>
    <n v="1.2"/>
  </r>
  <r>
    <n v="1"/>
  </r>
  <r>
    <n v="0.5"/>
  </r>
  <r>
    <n v="0.5"/>
  </r>
  <r>
    <n v="1.4300000000000002"/>
  </r>
  <r>
    <n v="1.32"/>
  </r>
  <r>
    <n v="0.9900000000000001"/>
  </r>
  <r>
    <n v="0.9"/>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28">
  <r>
    <n v="35.879999999999995"/>
  </r>
  <r>
    <n v="34.32"/>
  </r>
  <r>
    <n v="35.489999999999995"/>
  </r>
  <r>
    <n v="31.919999999999998"/>
  </r>
  <r>
    <n v="30.375"/>
  </r>
  <r>
    <n v="37.200000000000003"/>
  </r>
  <r>
    <n v="35.879999999999995"/>
  </r>
  <r>
    <n v="40.42"/>
  </r>
  <r>
    <n v="31.62"/>
  </r>
  <r>
    <n v="42.77"/>
  </r>
  <r>
    <n v="43.699999999999996"/>
  </r>
  <r>
    <n v="41.85"/>
  </r>
  <r>
    <n v="41.85"/>
  </r>
  <r>
    <n v="41.85"/>
  </r>
  <r>
    <n v="40.454999999999998"/>
  </r>
  <r>
    <n v="41.830000000000005"/>
  </r>
  <r>
    <n v="40.920000000000009"/>
  </r>
  <r>
    <n v="40.454999999999998"/>
  </r>
  <r>
    <n v="40.454999999999998"/>
  </r>
  <r>
    <n v="40.019999999999996"/>
  </r>
  <r>
    <n v="39.525000000000006"/>
  </r>
  <r>
    <n v="39.559999999999995"/>
  </r>
  <r>
    <n v="39.99"/>
  </r>
  <r>
    <n v="39.525000000000006"/>
  </r>
  <r>
    <n v="39.559999999999995"/>
  </r>
  <r>
    <n v="38.18"/>
  </r>
  <r>
    <n v="36.045000000000002"/>
  </r>
  <r>
    <n v="41.830000000000005"/>
  </r>
  <r>
    <n v="41.830000000000005"/>
  </r>
  <r>
    <n v="34.300000000000004"/>
  </r>
  <r>
    <n v="40.799999999999997"/>
  </r>
  <r>
    <n v="36.854999999999997"/>
  </r>
  <r>
    <n v="38.130000000000003"/>
  </r>
  <r>
    <n v="37.449999999999996"/>
  </r>
  <r>
    <n v="36.92"/>
  </r>
  <r>
    <n v="34.79"/>
  </r>
  <r>
    <n v="33.840000000000003"/>
  </r>
  <r>
    <n v="42.35"/>
  </r>
  <r>
    <n v="42.699999999999996"/>
  </r>
  <r>
    <n v="45.510000000000005"/>
  </r>
  <r>
    <n v="37.5"/>
  </r>
  <r>
    <n v="19.32"/>
  </r>
  <r>
    <n v="0.87"/>
  </r>
  <r>
    <n v="0.28499999999999998"/>
  </r>
  <r>
    <n v="27.720000000000002"/>
  </r>
  <r>
    <n v="0.98999999999999988"/>
  </r>
  <r>
    <n v="32.159999999999997"/>
  </r>
  <r>
    <n v="43.32"/>
  </r>
  <r>
    <n v="34.300000000000004"/>
  </r>
  <r>
    <n v="28.8"/>
  </r>
  <r>
    <n v="26.324999999999999"/>
  </r>
  <r>
    <n v="0.315"/>
  </r>
  <r>
    <n v="15.75"/>
  </r>
  <r>
    <n v="4.4999999999999998E-2"/>
  </r>
  <r>
    <n v="4.4999999999999998E-2"/>
  </r>
  <r>
    <n v="1.1399999999999999"/>
  </r>
  <r>
    <n v="1.17"/>
  </r>
  <r>
    <n v="21.84"/>
  </r>
  <r>
    <n v="20.915000000000003"/>
  </r>
  <r>
    <n v="27.75"/>
  </r>
  <r>
    <n v="27.380000000000003"/>
  </r>
  <r>
    <n v="20.474999999999998"/>
  </r>
  <r>
    <n v="39.584999999999994"/>
  </r>
  <r>
    <n v="36.449999999999996"/>
  </r>
  <r>
    <n v="39.099999999999994"/>
  </r>
  <r>
    <n v="40.94"/>
  </r>
  <r>
    <n v="36"/>
  </r>
  <r>
    <n v="40.04"/>
  </r>
  <r>
    <n v="37.35"/>
  </r>
  <r>
    <n v="46.98"/>
  </r>
  <r>
    <n v="45"/>
  </r>
  <r>
    <n v="41.309999999999995"/>
  </r>
  <r>
    <n v="30.099999999999998"/>
  </r>
  <r>
    <n v="30.34"/>
  </r>
  <r>
    <n v="31.680000000000003"/>
  </r>
  <r>
    <n v="30.884999999999994"/>
  </r>
  <r>
    <n v="20.59"/>
  </r>
  <r>
    <n v="19.524999999999999"/>
  </r>
  <r>
    <n v="12.069999999999999"/>
  </r>
  <r>
    <n v="21.299999999999997"/>
  </r>
  <r>
    <n v="15.2"/>
  </r>
  <r>
    <n v="10.350000000000001"/>
  </r>
  <r>
    <n v="18.46"/>
  </r>
  <r>
    <n v="20.399999999999999"/>
  </r>
  <r>
    <n v="39.65"/>
  </r>
  <r>
    <n v="40.019999999999996"/>
  </r>
  <r>
    <n v="35.6"/>
  </r>
  <r>
    <n v="39.559999999999995"/>
  </r>
  <r>
    <n v="38.674999999999997"/>
  </r>
  <r>
    <n v="44.61999999999999"/>
  </r>
  <r>
    <n v="45.570000000000007"/>
  </r>
  <r>
    <n v="33.059999999999995"/>
  </r>
  <r>
    <n v="40.949999999999996"/>
  </r>
  <r>
    <n v="10.14"/>
  </r>
  <r>
    <n v="7.4399999999999995"/>
  </r>
  <r>
    <n v="16.920000000000002"/>
  </r>
  <r>
    <n v="10.075000000000001"/>
  </r>
  <r>
    <n v="24.12"/>
  </r>
  <r>
    <n v="27.36"/>
  </r>
  <r>
    <n v="27.36"/>
  </r>
  <r>
    <n v="27.375"/>
  </r>
  <r>
    <n v="23.8"/>
  </r>
  <r>
    <n v="8.2149999999999999"/>
  </r>
  <r>
    <n v="23.36"/>
  </r>
  <r>
    <n v="18.25"/>
  </r>
  <r>
    <n v="22.619999999999997"/>
  </r>
  <r>
    <n v="22.4"/>
  </r>
  <r>
    <n v="28.12"/>
  </r>
  <r>
    <n v="28.42"/>
  </r>
  <r>
    <n v="20.47"/>
  </r>
  <r>
    <n v="16.809999999999999"/>
  </r>
  <r>
    <n v="29.099999999999998"/>
  </r>
  <r>
    <n v="26.55"/>
  </r>
  <r>
    <n v="29.700000000000003"/>
  </r>
  <r>
    <n v="28.910000000000004"/>
  </r>
  <r>
    <n v="32.400000000000006"/>
  </r>
  <r>
    <n v="24.91"/>
  </r>
  <r>
    <n v="27.225000000000001"/>
  </r>
  <r>
    <n v="27.36"/>
  </r>
  <r>
    <n v="25.5"/>
  </r>
  <r>
    <n v="14.399999999999999"/>
  </r>
  <r>
    <n v="11.25"/>
  </r>
  <r>
    <n v="4.5"/>
  </r>
  <r>
    <n v="23.400000000000002"/>
  </r>
  <r>
    <n v="2.6449999999999996"/>
  </r>
  <r>
    <n v="8.6999999999999993"/>
  </r>
  <r>
    <n v="37.229999999999997"/>
  </r>
  <r>
    <n v="39.24"/>
  </r>
  <r>
    <n v="35.89"/>
  </r>
  <r>
    <n v="40.5"/>
  </r>
  <r>
    <n v="37.309999999999995"/>
  </r>
  <r>
    <n v="37.719999999999992"/>
  </r>
  <r>
    <n v="39.559999999999995"/>
  </r>
  <r>
    <n v="39.06"/>
  </r>
  <r>
    <n v="33.15"/>
  </r>
  <r>
    <n v="29.16"/>
  </r>
  <r>
    <n v="27.6"/>
  </r>
  <r>
    <n v="41.360000000000007"/>
  </r>
  <r>
    <n v="40.479999999999997"/>
  </r>
  <r>
    <n v="41.859999999999992"/>
  </r>
  <r>
    <n v="40.04"/>
  </r>
  <r>
    <n v="41.4"/>
  </r>
  <r>
    <n v="42.72"/>
  </r>
  <r>
    <n v="20.59"/>
  </r>
  <r>
    <n v="46.08"/>
  </r>
  <r>
    <n v="39.6"/>
  </r>
  <r>
    <n v="18.330000000000002"/>
  </r>
  <r>
    <n v="40.799999999999997"/>
  </r>
  <r>
    <n v="30.800000000000004"/>
  </r>
  <r>
    <n v="38.130000000000003"/>
  </r>
  <r>
    <n v="33.375"/>
  </r>
  <r>
    <n v="32.299999999999997"/>
  </r>
  <r>
    <n v="34.58"/>
  </r>
  <r>
    <n v="60.5"/>
  </r>
  <r>
    <n v="64.98"/>
  </r>
  <r>
    <n v="62.719999999999992"/>
  </r>
  <r>
    <n v="53"/>
  </r>
  <r>
    <n v="52.920000000000009"/>
  </r>
  <r>
    <n v="55.08"/>
  </r>
  <r>
    <n v="53"/>
  </r>
  <r>
    <n v="52.920000000000009"/>
  </r>
  <r>
    <n v="54"/>
  </r>
  <r>
    <n v="47.699999999999996"/>
  </r>
  <r>
    <n v="52.8"/>
  </r>
  <r>
    <n v="41.819999999999993"/>
  </r>
  <r>
    <n v="49.68"/>
  </r>
  <r>
    <n v="41"/>
  </r>
  <r>
    <n v="41.2"/>
  </r>
  <r>
    <n v="37.24"/>
  </r>
  <r>
    <n v="35.144999999999996"/>
  </r>
  <r>
    <n v="37.24"/>
  </r>
  <r>
    <n v="35.89"/>
  </r>
  <r>
    <n v="30.099999999999998"/>
  </r>
  <r>
    <n v="30.6"/>
  </r>
  <r>
    <n v="51"/>
  </r>
  <r>
    <n v="47.969999999999992"/>
  </r>
  <r>
    <n v="39.049999999999997"/>
  </r>
  <r>
    <n v="38.159999999999997"/>
  </r>
  <r>
    <n v="37.96"/>
  </r>
  <r>
    <n v="45.78"/>
  </r>
  <r>
    <n v="35.425000000000004"/>
  </r>
  <r>
    <n v="33.244999999999997"/>
  </r>
  <r>
    <n v="36.54"/>
  </r>
  <r>
    <n v="33.33"/>
  </r>
  <r>
    <n v="34.72"/>
  </r>
  <r>
    <n v="32.94"/>
  </r>
  <r>
    <n v="33.854999999999997"/>
  </r>
  <r>
    <n v="32.700000000000003"/>
  </r>
  <r>
    <n v="31.27"/>
  </r>
  <r>
    <n v="31.200000000000003"/>
  </r>
  <r>
    <n v="28.559999999999995"/>
  </r>
  <r>
    <n v="31.72"/>
  </r>
  <r>
    <n v="32.25"/>
  </r>
  <r>
    <n v="15.75"/>
  </r>
  <r>
    <n v="1.5899999999999999"/>
  </r>
  <r>
    <n v="32.085000000000001"/>
  </r>
  <r>
    <n v="33.54"/>
  </r>
  <r>
    <n v="33.119999999999997"/>
  </r>
  <r>
    <n v="32.305"/>
  </r>
  <r>
    <n v="32.625"/>
  </r>
  <r>
    <n v="32.04"/>
  </r>
  <r>
    <n v="34.31"/>
  </r>
  <r>
    <n v="28.049999999999997"/>
  </r>
  <r>
    <n v="31.5"/>
  </r>
  <r>
    <n v="34.56"/>
  </r>
  <r>
    <n v="28.475000000000001"/>
  </r>
  <r>
    <n v="27.3"/>
  </r>
  <r>
    <n v="30.800000000000004"/>
  </r>
  <r>
    <n v="31.080000000000002"/>
  </r>
  <r>
    <n v="26.65"/>
  </r>
  <r>
    <n v="30.360000000000003"/>
  </r>
  <r>
    <n v="31.5"/>
  </r>
  <r>
    <n v="28.475000000000001"/>
  </r>
  <r>
    <n v="28.925000000000001"/>
  </r>
  <r>
    <n v="32.484999999999999"/>
  </r>
  <r>
    <n v="29.7"/>
  </r>
  <r>
    <n v="30.360000000000003"/>
  </r>
  <r>
    <n v="33.660000000000004"/>
  </r>
  <r>
    <n v="33.81"/>
  </r>
  <r>
    <n v="28.974999999999998"/>
  </r>
  <r>
    <n v="28.349999999999998"/>
  </r>
  <r>
    <n v="28.669999999999998"/>
  </r>
  <r>
    <n v="30.225000000000001"/>
  </r>
  <r>
    <n v="29.925000000000001"/>
  </r>
  <r>
    <n v="26.84"/>
  </r>
  <r>
    <n v="25.5"/>
  </r>
  <r>
    <n v="33.840000000000003"/>
  </r>
  <r>
    <n v="32.76"/>
  </r>
  <r>
    <n v="34.674999999999997"/>
  </r>
  <r>
    <n v="28.699999999999996"/>
  </r>
  <r>
    <n v="34.200000000000003"/>
  </r>
  <r>
    <n v="34.65"/>
  </r>
  <r>
    <n v="32.43"/>
  </r>
  <r>
    <n v="33.5"/>
  </r>
  <r>
    <n v="32.67"/>
  </r>
  <r>
    <n v="32.830000000000005"/>
  </r>
  <r>
    <n v="30.24"/>
  </r>
  <r>
    <n v="32"/>
  </r>
  <r>
    <n v="28.349999999999998"/>
  </r>
  <r>
    <n v="26.674999999999997"/>
  </r>
  <r>
    <n v="35.695"/>
  </r>
  <r>
    <n v="29.9"/>
  </r>
  <r>
    <n v="30.484999999999999"/>
  </r>
  <r>
    <n v="33.18"/>
  </r>
  <r>
    <n v="26.25"/>
  </r>
  <r>
    <n v="26.625"/>
  </r>
  <r>
    <n v="24.454999999999998"/>
  </r>
  <r>
    <n v="25.53"/>
  </r>
  <r>
    <n v="26.950000000000003"/>
  </r>
  <r>
    <n v="30.400000000000002"/>
  </r>
  <r>
    <n v="29.205000000000002"/>
  </r>
  <r>
    <n v="29.400000000000002"/>
  </r>
  <r>
    <n v="25.380000000000003"/>
  </r>
  <r>
    <n v="24.734999999999996"/>
  </r>
  <r>
    <n v="25.740000000000002"/>
  </r>
  <r>
    <n v="24.479999999999997"/>
  </r>
  <r>
    <n v="25.704999999999998"/>
  </r>
  <r>
    <n v="18.75"/>
  </r>
  <r>
    <n v="19.5"/>
  </r>
  <r>
    <n v="19.5"/>
  </r>
  <r>
    <n v="17"/>
  </r>
  <r>
    <n v="17.940000000000001"/>
  </r>
  <r>
    <n v="20.25"/>
  </r>
  <r>
    <n v="62.719999999999992"/>
  </r>
  <r>
    <n v="58.320000000000007"/>
  </r>
  <r>
    <n v="50.760000000000005"/>
  </r>
  <r>
    <n v="50.760000000000005"/>
  </r>
  <r>
    <n v="48.76"/>
  </r>
  <r>
    <n v="47.25"/>
  </r>
  <r>
    <n v="26.46"/>
  </r>
  <r>
    <n v="26.46"/>
  </r>
  <r>
    <n v="27.200000000000003"/>
  </r>
  <r>
    <n v="26.880000000000003"/>
  </r>
  <r>
    <n v="34.760000000000005"/>
  </r>
  <r>
    <n v="37.24"/>
  </r>
  <r>
    <n v="62.719999999999992"/>
  </r>
  <r>
    <n v="0.89999999999999991"/>
  </r>
  <r>
    <n v="0.255"/>
  </r>
  <r>
    <n v="15.120000000000001"/>
  </r>
  <r>
    <n v="14.8"/>
  </r>
  <r>
    <n v="15.179999999999998"/>
  </r>
  <r>
    <n v="14.28"/>
  </r>
  <r>
    <n v="12.8"/>
  </r>
  <r>
    <n v="28"/>
  </r>
  <r>
    <n v="23.099999999999998"/>
  </r>
  <r>
    <n v="21.6"/>
  </r>
  <r>
    <n v="18.104999999999997"/>
  </r>
  <r>
    <n v="15.925000000000001"/>
  </r>
  <r>
    <n v="15.600000000000001"/>
  </r>
  <r>
    <n v="22.94"/>
  </r>
  <r>
    <n v="28.830000000000002"/>
  </r>
  <r>
    <n v="31.95"/>
  </r>
  <r>
    <n v="17.395"/>
  </r>
  <r>
    <n v="28.56"/>
  </r>
  <r>
    <n v="36.735000000000007"/>
  </r>
  <r>
    <n v="48.88"/>
  </r>
  <r>
    <n v="32.76"/>
  </r>
  <r>
    <n v="31.569999999999997"/>
  </r>
  <r>
    <n v="29.480000000000004"/>
  </r>
  <r>
    <n v="35.340000000000003"/>
  </r>
  <r>
    <n v="27.95"/>
  </r>
  <r>
    <n v="27.625"/>
  </r>
  <r>
    <n v="28.8"/>
  </r>
  <r>
    <n v="29.16"/>
  </r>
  <r>
    <n v="27.84"/>
  </r>
  <r>
    <n v="30.710000000000004"/>
  </r>
  <r>
    <n v="30.779999999999998"/>
  </r>
  <r>
    <n v="31.159999999999997"/>
  </r>
  <r>
    <n v="28.4"/>
  </r>
  <r>
    <n v="32.85"/>
  </r>
  <r>
    <n v="31.824999999999999"/>
  </r>
  <r>
    <n v="36.799999999999997"/>
  </r>
  <r>
    <n v="35.945"/>
  </r>
  <r>
    <n v="34.265000000000001"/>
  </r>
  <r>
    <n v="31.319999999999997"/>
  </r>
  <r>
    <n v="22.32"/>
  </r>
  <r>
    <n v="33.059999999999995"/>
  </r>
  <r>
    <n v="28.475000000000001"/>
  </r>
  <r>
    <n v="27.09"/>
  </r>
  <r>
    <n v="26.560000000000002"/>
  </r>
  <r>
    <n v="30.449999999999996"/>
  </r>
  <r>
    <n v="28.29"/>
  </r>
  <r>
    <n v="36.85"/>
  </r>
  <r>
    <n v="31"/>
  </r>
  <r>
    <n v="27.2"/>
  </r>
  <r>
    <n v="1.36"/>
  </r>
  <r>
    <n v="19.5"/>
  </r>
  <r>
    <n v="0.97999999999999987"/>
  </r>
  <r>
    <n v="2.6999999999999997"/>
  </r>
  <r>
    <n v="6.8250000000000002"/>
  </r>
  <r>
    <n v="3.0250000000000004"/>
  </r>
  <r>
    <n v="4.4999999999999998E-2"/>
  </r>
  <r>
    <n v="4.4999999999999998E-2"/>
  </r>
  <r>
    <n v="4.4999999999999998E-2"/>
  </r>
  <r>
    <n v="4.4999999999999998E-2"/>
  </r>
  <r>
    <n v="1.32"/>
  </r>
  <r>
    <n v="2.64"/>
  </r>
  <r>
    <n v="4.93"/>
  </r>
  <r>
    <n v="4.4999999999999998E-2"/>
  </r>
  <r>
    <n v="29.439999999999998"/>
  </r>
  <r>
    <n v="20.52"/>
  </r>
  <r>
    <n v="24.65"/>
  </r>
  <r>
    <n v="20.52"/>
  </r>
  <r>
    <n v="12.58"/>
  </r>
  <r>
    <n v="27.650000000000002"/>
  </r>
  <r>
    <n v="12.6"/>
  </r>
  <r>
    <n v="18.02"/>
  </r>
  <r>
    <n v="12.094999999999999"/>
  </r>
  <r>
    <n v="12.914999999999999"/>
  </r>
  <r>
    <n v="10.065"/>
  </r>
  <r>
    <n v="14.805"/>
  </r>
  <r>
    <n v="34.410000000000004"/>
  </r>
  <r>
    <n v="39.589999999999996"/>
  </r>
  <r>
    <n v="27.75"/>
  </r>
  <r>
    <n v="27.3"/>
  </r>
  <r>
    <n v="27.255000000000003"/>
  </r>
  <r>
    <n v="1.1399999999999999"/>
  </r>
  <r>
    <n v="28.349999999999998"/>
  </r>
  <r>
    <n v="24.840000000000003"/>
  </r>
  <r>
    <n v="28.699999999999996"/>
  </r>
  <r>
    <n v="27.36"/>
  </r>
  <r>
    <n v="13.63"/>
  </r>
  <r>
    <n v="30.800000000000004"/>
  </r>
  <r>
    <n v="33.93"/>
  </r>
  <r>
    <n v="29.75"/>
  </r>
  <r>
    <n v="4.4999999999999998E-2"/>
  </r>
  <r>
    <n v="4.4999999999999998E-2"/>
  </r>
  <r>
    <n v="12.8"/>
  </r>
  <r>
    <n v="12.739999999999998"/>
  </r>
  <r>
    <n v="24.18"/>
  </r>
  <r>
    <n v="26.599999999999998"/>
  </r>
  <r>
    <n v="25.84"/>
  </r>
  <r>
    <n v="26.25"/>
  </r>
  <r>
    <n v="27.2"/>
  </r>
  <r>
    <n v="26.979999999999997"/>
  </r>
  <r>
    <n v="2.8"/>
  </r>
  <r>
    <n v="21.56"/>
  </r>
  <r>
    <n v="3.08"/>
  </r>
  <r>
    <n v="22.799999999999997"/>
  </r>
  <r>
    <n v="2.4599999999999995"/>
  </r>
  <r>
    <n v="18.675000000000001"/>
  </r>
  <r>
    <n v="26.52"/>
  </r>
  <r>
    <n v="27.280000000000005"/>
  </r>
  <r>
    <n v="32.56"/>
  </r>
  <r>
    <n v="17.5"/>
  </r>
  <r>
    <n v="0.92999999999999994"/>
  </r>
  <r>
    <n v="8.64"/>
  </r>
  <r>
    <n v="26.975000000000001"/>
  </r>
  <r>
    <n v="1.335"/>
  </r>
  <r>
    <n v="33.119999999999997"/>
  </r>
  <r>
    <n v="29.67"/>
  </r>
  <r>
    <n v="18"/>
  </r>
  <r>
    <n v="3.5200000000000005"/>
  </r>
  <r>
    <n v="29.574999999999999"/>
  </r>
  <r>
    <n v="35.15"/>
  </r>
  <r>
    <n v="29.574999999999999"/>
  </r>
  <r>
    <n v="33.04"/>
  </r>
  <r>
    <n v="23.49"/>
  </r>
  <r>
    <n v="4.4999999999999998E-2"/>
  </r>
  <r>
    <n v="4.4999999999999998E-2"/>
  </r>
  <r>
    <n v="29.109999999999996"/>
  </r>
  <r>
    <n v="7.1999999999999993"/>
  </r>
  <r>
    <n v="20.074999999999999"/>
  </r>
  <r>
    <n v="14"/>
  </r>
  <r>
    <n v="31.389999999999997"/>
  </r>
  <r>
    <n v="30.96"/>
  </r>
  <r>
    <n v="28"/>
  </r>
  <r>
    <n v="19.95"/>
  </r>
  <r>
    <n v="19.344999999999999"/>
  </r>
  <r>
    <n v="31.82"/>
  </r>
  <r>
    <n v="32.76"/>
  </r>
  <r>
    <n v="29.6"/>
  </r>
  <r>
    <n v="29.099999999999998"/>
  </r>
  <r>
    <n v="31.919999999999998"/>
  </r>
  <r>
    <n v="32.370000000000005"/>
  </r>
  <r>
    <n v="41.650000000000006"/>
  </r>
  <r>
    <n v="35.1"/>
  </r>
  <r>
    <n v="26.13"/>
  </r>
  <r>
    <n v="15.374999999999998"/>
  </r>
  <r>
    <n v="17.39"/>
  </r>
  <r>
    <n v="25.5"/>
  </r>
  <r>
    <n v="25.914999999999999"/>
  </r>
  <r>
    <n v="28.4"/>
  </r>
  <r>
    <n v="27.3"/>
  </r>
  <r>
    <n v="27.3"/>
  </r>
  <r>
    <n v="24.885000000000002"/>
  </r>
  <r>
    <n v="19.95"/>
  </r>
  <r>
    <n v="26.565000000000001"/>
  </r>
  <r>
    <n v="34.79"/>
  </r>
  <r>
    <n v="31.349999999999998"/>
  </r>
  <r>
    <n v="33.369999999999997"/>
  </r>
  <r>
    <n v="31.594999999999999"/>
  </r>
  <r>
    <n v="30.029999999999998"/>
  </r>
  <r>
    <n v="10.395000000000001"/>
  </r>
  <r>
    <n v="21.12"/>
  </r>
  <r>
    <n v="23.919999999999998"/>
  </r>
  <r>
    <n v="10.455"/>
  </r>
  <r>
    <n v="29.9"/>
  </r>
  <r>
    <n v="31.85"/>
  </r>
  <r>
    <n v="30.939999999999998"/>
  </r>
  <r>
    <n v="30.26"/>
  </r>
  <r>
    <n v="27.590000000000003"/>
  </r>
  <r>
    <n v="32.199999999999996"/>
  </r>
  <r>
    <n v="0.58499999999999996"/>
  </r>
  <r>
    <n v="0.55500000000000005"/>
  </r>
  <r>
    <n v="2.12"/>
  </r>
  <r>
    <n v="31.359999999999996"/>
  </r>
  <r>
    <n v="32.4"/>
  </r>
  <r>
    <n v="31.680000000000003"/>
  </r>
  <r>
    <n v="32.550000000000004"/>
  </r>
  <r>
    <n v="5.8650000000000002"/>
  </r>
  <r>
    <n v="27.95"/>
  </r>
  <r>
    <n v="19.679999999999996"/>
  </r>
  <r>
    <n v="22.12"/>
  </r>
  <r>
    <n v="27.590000000000003"/>
  </r>
  <r>
    <n v="3.35"/>
  </r>
  <r>
    <n v="14.875"/>
  </r>
  <r>
    <n v="12.450000000000001"/>
  </r>
  <r>
    <n v="0.94499999999999995"/>
  </r>
  <r>
    <n v="0.97499999999999998"/>
  </r>
  <r>
    <n v="34.79"/>
  </r>
  <r>
    <n v="28.025000000000002"/>
  </r>
  <r>
    <n v="31.360000000000003"/>
  </r>
  <r>
    <n v="33.119999999999997"/>
  </r>
  <r>
    <n v="33.375"/>
  </r>
  <r>
    <n v="1.0049999999999999"/>
  </r>
  <r>
    <n v="32.25"/>
  </r>
  <r>
    <n v="34.674999999999997"/>
  </r>
  <r>
    <n v="30.96"/>
  </r>
  <r>
    <n v="20.52"/>
  </r>
  <r>
    <n v="1.4549999999999998"/>
  </r>
  <r>
    <n v="24.99"/>
  </r>
  <r>
    <n v="24.44"/>
  </r>
  <r>
    <n v="14.554999999999998"/>
  </r>
  <r>
    <n v="4.6500000000000004"/>
  </r>
  <r>
    <n v="27.200000000000003"/>
  </r>
  <r>
    <n v="23.040000000000003"/>
  </r>
  <r>
    <n v="6.96"/>
  </r>
  <r>
    <n v="35.155000000000001"/>
  </r>
  <r>
    <n v="33.44"/>
  </r>
  <r>
    <n v="33.375"/>
  </r>
  <r>
    <n v="34.5"/>
  </r>
  <r>
    <n v="33.375"/>
  </r>
  <r>
    <n v="36.1"/>
  </r>
  <r>
    <n v="31.875"/>
  </r>
  <r>
    <n v="32.199999999999996"/>
  </r>
  <r>
    <n v="37.449999999999996"/>
  </r>
  <r>
    <n v="40.330000000000005"/>
  </r>
  <r>
    <n v="26.25"/>
  </r>
  <r>
    <n v="25.81"/>
  </r>
  <r>
    <n v="19.524999999999999"/>
  </r>
  <r>
    <n v="28.835000000000001"/>
  </r>
  <r>
    <n v="26.599999999999998"/>
  </r>
  <r>
    <n v="27.689999999999998"/>
  </r>
  <r>
    <n v="27.134999999999998"/>
  </r>
  <r>
    <n v="26.729999999999997"/>
  </r>
  <r>
    <n v="30.819999999999997"/>
  </r>
  <r>
    <n v="25.08"/>
  </r>
  <r>
    <n v="27.47"/>
  </r>
  <r>
    <n v="25.74"/>
  </r>
  <r>
    <n v="24.849999999999998"/>
  </r>
  <r>
    <n v="27.134999999999998"/>
  </r>
  <r>
    <n v="24.7"/>
  </r>
  <r>
    <n v="28"/>
  </r>
  <r>
    <n v="28"/>
  </r>
  <r>
    <n v="27.255000000000003"/>
  </r>
  <r>
    <n v="32.4"/>
  </r>
  <r>
    <n v="20.52"/>
  </r>
  <r>
    <n v="30.884999999999994"/>
  </r>
  <r>
    <n v="25.419999999999998"/>
  </r>
  <r>
    <n v="27.945"/>
  </r>
  <r>
    <n v="30.380000000000003"/>
  </r>
  <r>
    <n v="7.9200000000000008"/>
  </r>
  <r>
    <n v="30.939999999999998"/>
  </r>
  <r>
    <n v="28.059999999999995"/>
  </r>
  <r>
    <n v="28.980000000000004"/>
  </r>
  <r>
    <n v="33.82"/>
  </r>
  <r>
    <n v="34.199999999999996"/>
  </r>
  <r>
    <n v="33.44"/>
  </r>
  <r>
    <n v="33.059999999999995"/>
  </r>
  <r>
    <n v="28.475000000000001"/>
  </r>
  <r>
    <n v="33.375"/>
  </r>
  <r>
    <n v="28.080000000000002"/>
  </r>
  <r>
    <n v="26.46"/>
  </r>
  <r>
    <n v="33.75"/>
  </r>
  <r>
    <n v="33.82"/>
  </r>
  <r>
    <n v="34.199999999999996"/>
  </r>
  <r>
    <n v="33.82"/>
  </r>
  <r>
    <n v="33.75"/>
  </r>
  <r>
    <n v="28.29"/>
  </r>
  <r>
    <n v="2.8"/>
  </r>
  <r>
    <n v="0.22499999999999998"/>
  </r>
  <r>
    <n v="1.8"/>
  </r>
  <r>
    <n v="1.75"/>
  </r>
  <r>
    <n v="34.58"/>
  </r>
  <r>
    <n v="4.8950000000000005"/>
  </r>
  <r>
    <n v="17.849999999999998"/>
  </r>
  <r>
    <n v="24.25"/>
  </r>
  <r>
    <n v="37.440000000000005"/>
  </r>
  <r>
    <n v="36.57"/>
  </r>
  <r>
    <n v="0.22499999999999998"/>
  </r>
  <r>
    <n v="0.63"/>
  </r>
  <r>
    <n v="21.419999999999998"/>
  </r>
  <r>
    <n v="6.2700000000000005"/>
  </r>
  <r>
    <n v="23.305000000000003"/>
  </r>
  <r>
    <n v="21.2"/>
  </r>
  <r>
    <n v="22.79"/>
  </r>
  <r>
    <n v="20.399999999999999"/>
  </r>
  <r>
    <n v="34.125"/>
  </r>
  <r>
    <n v="17.5"/>
  </r>
  <r>
    <n v="17.82"/>
  </r>
  <r>
    <n v="24.65"/>
  </r>
  <r>
    <n v="28.035"/>
  </r>
  <r>
    <n v="21.32"/>
  </r>
  <r>
    <n v="22.95"/>
  </r>
  <r>
    <n v="20"/>
  </r>
  <r>
    <n v="23.179999999999996"/>
  </r>
  <r>
    <n v="21.75"/>
  </r>
  <r>
    <n v="7.839999999999999"/>
  </r>
  <r>
    <n v="23.799999999999997"/>
  </r>
  <r>
    <n v="16.064999999999998"/>
  </r>
  <r>
    <n v="20.060000000000002"/>
  </r>
  <r>
    <n v="26.25"/>
  </r>
  <r>
    <n v="17.919999999999998"/>
  </r>
  <r>
    <n v="26.599999999999998"/>
  </r>
  <r>
    <n v="33.6"/>
  </r>
  <r>
    <n v="34.964999999999996"/>
  </r>
  <r>
    <n v="21.330000000000002"/>
  </r>
  <r>
    <n v="27.730000000000004"/>
  </r>
  <r>
    <n v="31.679999999999996"/>
  </r>
  <r>
    <n v="0.15"/>
  </r>
  <r>
    <n v="17.324999999999999"/>
  </r>
  <r>
    <n v="20.28"/>
  </r>
  <r>
    <n v="20.580000000000002"/>
  </r>
  <r>
    <n v="6.3249999999999993"/>
  </r>
  <r>
    <n v="24"/>
  </r>
  <r>
    <n v="22.8"/>
  </r>
  <r>
    <n v="22.91"/>
  </r>
  <r>
    <n v="24.704999999999998"/>
  </r>
  <r>
    <n v="19.665000000000003"/>
  </r>
  <r>
    <n v="27.824999999999999"/>
  </r>
  <r>
    <n v="20.074999999999999"/>
  </r>
  <r>
    <n v="15.75"/>
  </r>
  <r>
    <n v="17"/>
  </r>
  <r>
    <n v="13.77"/>
  </r>
  <r>
    <n v="13.5"/>
  </r>
  <r>
    <n v="11.97"/>
  </r>
  <r>
    <n v="21.45"/>
  </r>
  <r>
    <n v="19.75"/>
  </r>
  <r>
    <n v="25.575000000000003"/>
  </r>
  <r>
    <n v="26.27"/>
  </r>
  <r>
    <n v="14"/>
  </r>
  <r>
    <n v="26.46"/>
  </r>
  <r>
    <n v="26.95"/>
  </r>
  <r>
    <n v="18.75"/>
  </r>
  <r>
    <n v="26.534999999999997"/>
  </r>
  <r>
    <n v="17.55"/>
  </r>
  <r>
    <n v="24.03"/>
  </r>
  <r>
    <n v="33.464999999999996"/>
  </r>
  <r>
    <n v="20.5"/>
  </r>
  <r>
    <n v="14.82"/>
  </r>
  <r>
    <n v="18.25"/>
  </r>
  <r>
    <n v="25.55"/>
  </r>
  <r>
    <n v="15.12"/>
  </r>
  <r>
    <n v="22.549999999999997"/>
  </r>
  <r>
    <n v="14.719999999999999"/>
  </r>
  <r>
    <n v="17.16"/>
  </r>
  <r>
    <n v="13.865000000000002"/>
  </r>
  <r>
    <n v="1.56"/>
  </r>
  <r>
    <n v="12.18"/>
  </r>
  <r>
    <n v="14.95"/>
  </r>
  <r>
    <n v="12.39"/>
  </r>
  <r>
    <n v="13.65"/>
  </r>
  <r>
    <n v="9.9200000000000017"/>
  </r>
  <r>
    <n v="13.86"/>
  </r>
  <r>
    <n v="14.145"/>
  </r>
  <r>
    <n v="13.2"/>
  </r>
  <r>
    <n v="15.809999999999999"/>
  </r>
  <r>
    <n v="12.094999999999999"/>
  </r>
  <r>
    <n v="27"/>
  </r>
  <r>
    <n v="25.900000000000002"/>
  </r>
  <r>
    <n v="18.899999999999999"/>
  </r>
  <r>
    <n v="16.64"/>
  </r>
  <r>
    <n v="16.12"/>
  </r>
  <r>
    <n v="26.64"/>
  </r>
  <r>
    <n v="26.625"/>
  </r>
  <r>
    <n v="17.68"/>
  </r>
  <r>
    <n v="19.71"/>
  </r>
  <r>
    <n v="26.27"/>
  </r>
  <r>
    <n v="33.81"/>
  </r>
  <r>
    <n v="27.590000000000003"/>
  </r>
  <r>
    <n v="27.599999999999998"/>
  </r>
  <r>
    <n v="12.18"/>
  </r>
  <r>
    <n v="30.080000000000002"/>
  </r>
  <r>
    <n v="25.730000000000004"/>
  </r>
  <r>
    <n v="29.759999999999998"/>
  </r>
  <r>
    <n v="37.24"/>
  </r>
  <r>
    <n v="25.075000000000003"/>
  </r>
  <r>
    <n v="24.224999999999998"/>
  </r>
  <r>
    <n v="27.720000000000002"/>
  </r>
  <r>
    <n v="23.31"/>
  </r>
  <r>
    <n v="25.5"/>
  </r>
  <r>
    <n v="22.94"/>
  </r>
  <r>
    <n v="23.179999999999996"/>
  </r>
  <r>
    <n v="24"/>
  </r>
  <r>
    <n v="28.035"/>
  </r>
  <r>
    <n v="32.484999999999999"/>
  </r>
  <r>
    <n v="14.839999999999998"/>
  </r>
  <r>
    <n v="1.7800000000000002"/>
  </r>
  <r>
    <n v="22.1"/>
  </r>
  <r>
    <n v="24"/>
  </r>
  <r>
    <n v="22.274999999999999"/>
  </r>
  <r>
    <n v="23.8"/>
  </r>
  <r>
    <n v="14.040000000000001"/>
  </r>
  <r>
    <n v="23.625"/>
  </r>
  <r>
    <n v="17.324999999999999"/>
  </r>
  <r>
    <n v="32.120000000000005"/>
  </r>
  <r>
    <n v="27.059999999999995"/>
  </r>
  <r>
    <n v="30.884999999999994"/>
  </r>
  <r>
    <n v="27.650000000000002"/>
  </r>
  <r>
    <n v="25.08"/>
  </r>
  <r>
    <n v="26.599999999999998"/>
  </r>
  <r>
    <n v="20.909999999999997"/>
  </r>
  <r>
    <n v="22.26"/>
  </r>
  <r>
    <n v="17.430000000000003"/>
  </r>
  <r>
    <n v="30.21"/>
  </r>
  <r>
    <n v="27.5"/>
  </r>
  <r>
    <n v="20.25"/>
  </r>
  <r>
    <n v="33.119999999999997"/>
  </r>
  <r>
    <n v="28.52"/>
  </r>
  <r>
    <n v="23.369999999999997"/>
  </r>
  <r>
    <n v="20.09"/>
  </r>
  <r>
    <n v="15.989999999999998"/>
  </r>
  <r>
    <n v="14.145"/>
  </r>
  <r>
    <n v="25.74"/>
  </r>
  <r>
    <n v="17.010000000000002"/>
  </r>
  <r>
    <n v="24.114999999999998"/>
  </r>
  <r>
    <n v="16.809999999999999"/>
  </r>
  <r>
    <n v="16"/>
  </r>
  <r>
    <n v="22.95"/>
  </r>
  <r>
    <n v="5.3249999999999993"/>
  </r>
  <r>
    <n v="36.75"/>
  </r>
  <r>
    <n v="33.660000000000004"/>
  </r>
  <r>
    <n v="1.0349999999999999"/>
  </r>
  <r>
    <n v="28.32"/>
  </r>
  <r>
    <n v="31.5"/>
  </r>
  <r>
    <n v="18"/>
  </r>
  <r>
    <n v="26.700000000000003"/>
  </r>
  <r>
    <n v="23.369999999999997"/>
  </r>
  <r>
    <n v="30.819999999999997"/>
  </r>
  <r>
    <n v="26.07"/>
  </r>
  <r>
    <n v="25.799999999999997"/>
  </r>
  <r>
    <n v="33.880000000000003"/>
  </r>
  <r>
    <n v="27.72"/>
  </r>
  <r>
    <n v="23.459999999999997"/>
  </r>
  <r>
    <n v="19.889999999999997"/>
  </r>
  <r>
    <n v="25.914999999999999"/>
  </r>
  <r>
    <n v="26.64"/>
  </r>
  <r>
    <n v="25.55"/>
  </r>
  <r>
    <n v="24.82"/>
  </r>
  <r>
    <n v="26.565000000000001"/>
  </r>
  <r>
    <n v="25.900000000000002"/>
  </r>
  <r>
    <n v="8.14"/>
  </r>
  <r>
    <n v="0.81"/>
  </r>
  <r>
    <n v="24.114999999999998"/>
  </r>
  <r>
    <n v="26.389999999999997"/>
  </r>
  <r>
    <n v="19.170000000000002"/>
  </r>
  <r>
    <n v="26.19"/>
  </r>
  <r>
    <n v="36.83"/>
  </r>
  <r>
    <n v="9.5"/>
  </r>
  <r>
    <n v="19.125"/>
  </r>
  <r>
    <n v="18.36"/>
  </r>
  <r>
    <n v="17.02"/>
  </r>
  <r>
    <n v="26.729999999999997"/>
  </r>
  <r>
    <n v="25.795000000000002"/>
  </r>
  <r>
    <n v="30.6"/>
  </r>
  <r>
    <n v="32.299999999999997"/>
  </r>
  <r>
    <n v="30.174999999999997"/>
  </r>
  <r>
    <n v="30.96"/>
  </r>
  <r>
    <n v="28.980000000000004"/>
  </r>
  <r>
    <n v="16.38"/>
  </r>
  <r>
    <n v="26.07"/>
  </r>
  <r>
    <n v="26.13"/>
  </r>
  <r>
    <n v="24.18"/>
  </r>
  <r>
    <n v="29.92"/>
  </r>
  <r>
    <n v="25.08"/>
  </r>
  <r>
    <n v="29.400000000000002"/>
  </r>
  <r>
    <n v="24.790000000000003"/>
  </r>
  <r>
    <n v="23.759999999999998"/>
  </r>
  <r>
    <n v="28.049999999999997"/>
  </r>
  <r>
    <n v="24.32"/>
  </r>
  <r>
    <n v="28.56"/>
  </r>
  <r>
    <n v="27.72"/>
  </r>
  <r>
    <n v="25.74"/>
  </r>
  <r>
    <n v="26.465000000000003"/>
  </r>
  <r>
    <n v="26.52"/>
  </r>
  <r>
    <n v="30.449999999999996"/>
  </r>
  <r>
    <n v="34.78"/>
  </r>
  <r>
    <n v="35.945"/>
  </r>
  <r>
    <n v="37.6"/>
  </r>
  <r>
    <n v="31.594999999999999"/>
  </r>
  <r>
    <n v="25.799999999999997"/>
  </r>
  <r>
    <n v="27"/>
  </r>
  <r>
    <n v="14"/>
  </r>
  <r>
    <n v="16.740000000000002"/>
  </r>
  <r>
    <n v="34.4"/>
  </r>
  <r>
    <n v="38.710000000000008"/>
  </r>
  <r>
    <n v="36.799999999999997"/>
  </r>
  <r>
    <n v="36.799999999999997"/>
  </r>
  <r>
    <n v="36.449999999999996"/>
  </r>
  <r>
    <n v="32.76"/>
  </r>
  <r>
    <n v="33.54"/>
  </r>
  <r>
    <n v="32.76"/>
  </r>
  <r>
    <n v="15.575000000000001"/>
  </r>
  <r>
    <n v="35.550000000000004"/>
  </r>
  <r>
    <n v="35.1"/>
  </r>
  <r>
    <n v="36.854999999999997"/>
  </r>
  <r>
    <n v="35.489999999999995"/>
  </r>
  <r>
    <n v="35.64"/>
  </r>
  <r>
    <n v="34.799999999999997"/>
  </r>
  <r>
    <n v="34"/>
  </r>
  <r>
    <n v="34.4"/>
  </r>
  <r>
    <n v="34.799999999999997"/>
  </r>
  <r>
    <n v="33"/>
  </r>
  <r>
    <n v="34.365000000000002"/>
  </r>
  <r>
    <n v="29.400000000000002"/>
  </r>
  <r>
    <n v="30.66"/>
  </r>
  <r>
    <n v="23"/>
  </r>
  <r>
    <n v="16.399999999999999"/>
  </r>
  <r>
    <n v="16.43"/>
  </r>
  <r>
    <n v="20.654999999999998"/>
  </r>
  <r>
    <n v="21"/>
  </r>
  <r>
    <n v="18.5"/>
  </r>
  <r>
    <n v="21"/>
  </r>
  <r>
    <n v="17.82"/>
  </r>
  <r>
    <n v="17.754999999999999"/>
  </r>
  <r>
    <n v="16.96"/>
  </r>
  <r>
    <n v="24.7"/>
  </r>
  <r>
    <n v="28.38"/>
  </r>
  <r>
    <n v="25.74"/>
  </r>
  <r>
    <n v="27.2"/>
  </r>
  <r>
    <n v="29.400000000000002"/>
  </r>
  <r>
    <n v="27.255000000000003"/>
  </r>
  <r>
    <n v="30.26"/>
  </r>
  <r>
    <n v="3.2549999999999999"/>
  </r>
  <r>
    <n v="14.559999999999999"/>
  </r>
  <r>
    <n v="14.535"/>
  </r>
  <r>
    <n v="30.66"/>
  </r>
  <r>
    <n v="33.15"/>
  </r>
  <r>
    <n v="28.29"/>
  </r>
  <r>
    <n v="29.050000000000004"/>
  </r>
  <r>
    <n v="34.78"/>
  </r>
  <r>
    <n v="28.709999999999997"/>
  </r>
  <r>
    <n v="27.599999999999998"/>
  </r>
  <r>
    <n v="23.49"/>
  </r>
  <r>
    <n v="15.5"/>
  </r>
  <r>
    <n v="10.26"/>
  </r>
  <r>
    <n v="26.4"/>
  </r>
  <r>
    <n v="26.229999999999997"/>
  </r>
  <r>
    <n v="14.16"/>
  </r>
  <r>
    <n v="38.475000000000001"/>
  </r>
  <r>
    <n v="30.749999999999996"/>
  </r>
  <r>
    <n v="31.875"/>
  </r>
  <r>
    <n v="30.749999999999996"/>
  </r>
  <r>
    <n v="30.34"/>
  </r>
  <r>
    <n v="30.749999999999996"/>
  </r>
  <r>
    <n v="30.749999999999996"/>
  </r>
  <r>
    <n v="27.47"/>
  </r>
  <r>
    <n v="29.6"/>
  </r>
  <r>
    <n v="31.875"/>
  </r>
  <r>
    <n v="12.005000000000003"/>
  </r>
  <r>
    <n v="27.3"/>
  </r>
  <r>
    <n v="26.25"/>
  </r>
  <r>
    <n v="27.36"/>
  </r>
  <r>
    <n v="37.380000000000003"/>
  </r>
  <r>
    <n v="26.22"/>
  </r>
  <r>
    <n v="30.34"/>
  </r>
  <r>
    <n v="26.625"/>
  </r>
  <r>
    <n v="28.490000000000002"/>
  </r>
  <r>
    <n v="30.34"/>
  </r>
  <r>
    <n v="25.125"/>
  </r>
  <r>
    <n v="26.599999999999998"/>
  </r>
  <r>
    <n v="10.8"/>
  </r>
  <r>
    <n v="26.565000000000001"/>
  </r>
  <r>
    <n v="19"/>
  </r>
  <r>
    <n v="0.7649999999999999"/>
  </r>
  <r>
    <n v="9.18"/>
  </r>
  <r>
    <n v="15.959999999999999"/>
  </r>
  <r>
    <n v="3.9199999999999995"/>
  </r>
  <r>
    <n v="0.18"/>
  </r>
  <r>
    <n v="0.72"/>
  </r>
  <r>
    <n v="19.71"/>
  </r>
  <r>
    <n v="15.959999999999999"/>
  </r>
  <r>
    <n v="0.72"/>
  </r>
  <r>
    <n v="46.08"/>
  </r>
  <r>
    <n v="14.76"/>
  </r>
  <r>
    <n v="17.849999999999998"/>
  </r>
  <r>
    <n v="16.2"/>
  </r>
  <r>
    <n v="0.22499999999999998"/>
  </r>
  <r>
    <n v="28.709999999999997"/>
  </r>
  <r>
    <n v="22.099999999999998"/>
  </r>
  <r>
    <n v="26.729999999999997"/>
  </r>
  <r>
    <n v="27.3"/>
  </r>
  <r>
    <n v="29.050000000000004"/>
  </r>
  <r>
    <n v="25.08"/>
  </r>
  <r>
    <n v="25.025000000000002"/>
  </r>
  <r>
    <n v="28.8"/>
  </r>
  <r>
    <n v="28.08"/>
  </r>
  <r>
    <n v="27.650000000000002"/>
  </r>
  <r>
    <n v="31.9"/>
  </r>
  <r>
    <n v="28.44"/>
  </r>
  <r>
    <n v="30.6"/>
  </r>
  <r>
    <n v="31.450000000000003"/>
  </r>
  <r>
    <n v="27.689999999999998"/>
  </r>
  <r>
    <n v="27.3"/>
  </r>
  <r>
    <n v="24"/>
  </r>
  <r>
    <n v="28.08"/>
  </r>
  <r>
    <n v="27.3"/>
  </r>
  <r>
    <n v="28.8"/>
  </r>
  <r>
    <n v="26.465000000000003"/>
  </r>
  <r>
    <n v="25.025000000000002"/>
  </r>
  <r>
    <n v="30.529999999999998"/>
  </r>
  <r>
    <n v="28.47"/>
  </r>
  <r>
    <n v="27.47"/>
  </r>
  <r>
    <n v="26.729999999999997"/>
  </r>
  <r>
    <n v="29.480000000000004"/>
  </r>
  <r>
    <n v="27.2"/>
  </r>
  <r>
    <n v="28.044999999999998"/>
  </r>
  <r>
    <n v="28.08"/>
  </r>
  <r>
    <n v="27.2"/>
  </r>
  <r>
    <n v="25.28"/>
  </r>
  <r>
    <n v="26.324999999999999"/>
  </r>
  <r>
    <n v="26.13"/>
  </r>
  <r>
    <n v="33.93"/>
  </r>
  <r>
    <n v="34.5"/>
  </r>
  <r>
    <n v="37.82"/>
  </r>
  <r>
    <n v="31.9"/>
  </r>
  <r>
    <n v="42.3"/>
  </r>
  <r>
    <n v="31.619999999999997"/>
  </r>
  <r>
    <n v="40.5"/>
  </r>
  <r>
    <n v="25.46"/>
  </r>
  <r>
    <n v="28.47"/>
  </r>
  <r>
    <n v="28.08"/>
  </r>
  <r>
    <n v="28.08"/>
  </r>
  <r>
    <n v="29.2"/>
  </r>
  <r>
    <n v="29.16"/>
  </r>
  <r>
    <n v="28.86"/>
  </r>
  <r>
    <n v="28.8"/>
  </r>
  <r>
    <n v="26.91"/>
  </r>
  <r>
    <n v="27.720000000000002"/>
  </r>
  <r>
    <n v="29.645000000000003"/>
  </r>
  <r>
    <n v="30.66"/>
  </r>
  <r>
    <n v="29.465"/>
  </r>
  <r>
    <n v="31.754999999999995"/>
  </r>
  <r>
    <n v="29.400000000000002"/>
  </r>
  <r>
    <n v="26.145000000000003"/>
  </r>
  <r>
    <n v="28.105"/>
  </r>
  <r>
    <n v="28.875"/>
  </r>
  <r>
    <n v="7.3149999999999995"/>
  </r>
  <r>
    <n v="27.3"/>
  </r>
  <r>
    <n v="24.57"/>
  </r>
  <r>
    <n v="24.885000000000002"/>
  </r>
  <r>
    <n v="22.515000000000001"/>
  </r>
  <r>
    <n v="28.044999999999998"/>
  </r>
  <r>
    <n v="27.36"/>
  </r>
  <r>
    <n v="26.91"/>
  </r>
  <r>
    <n v="26.07"/>
  </r>
  <r>
    <n v="17.479999999999997"/>
  </r>
  <r>
    <n v="27.335000000000001"/>
  </r>
  <r>
    <n v="26.4"/>
  </r>
  <r>
    <n v="26.95"/>
  </r>
  <r>
    <n v="26.599999999999998"/>
  </r>
  <r>
    <n v="28.4"/>
  </r>
  <r>
    <n v="28"/>
  </r>
  <r>
    <n v="25.53"/>
  </r>
  <r>
    <n v="19.25"/>
  </r>
  <r>
    <n v="33.619999999999997"/>
  </r>
  <r>
    <n v="11.52"/>
  </r>
  <r>
    <n v="12.5"/>
  </r>
  <r>
    <n v="18.614999999999998"/>
  </r>
  <r>
    <n v="19.88"/>
  </r>
  <r>
    <n v="20.074999999999999"/>
  </r>
  <r>
    <n v="16.79"/>
  </r>
  <r>
    <n v="19.95"/>
  </r>
  <r>
    <n v="17.405000000000001"/>
  </r>
  <r>
    <n v="17.75"/>
  </r>
  <r>
    <n v="26.979999999999997"/>
  </r>
  <r>
    <n v="19.220000000000002"/>
  </r>
  <r>
    <n v="21.240000000000002"/>
  </r>
  <r>
    <n v="17.68"/>
  </r>
  <r>
    <n v="16.245000000000001"/>
  </r>
  <r>
    <n v="21.46"/>
  </r>
  <r>
    <n v="20.945"/>
  </r>
  <r>
    <n v="17.010000000000002"/>
  </r>
  <r>
    <n v="15.899999999999999"/>
  </r>
  <r>
    <n v="8.6999999999999993"/>
  </r>
  <r>
    <n v="15.809999999999999"/>
  </r>
  <r>
    <n v="23.4"/>
  </r>
  <r>
    <n v="27.200000000000003"/>
  </r>
  <r>
    <n v="25.799999999999997"/>
  </r>
  <r>
    <n v="22.680000000000003"/>
  </r>
  <r>
    <n v="25.16"/>
  </r>
  <r>
    <n v="23.400000000000002"/>
  </r>
  <r>
    <n v="24.32"/>
  </r>
  <r>
    <n v="7.9200000000000008"/>
  </r>
  <r>
    <n v="25.16"/>
  </r>
  <r>
    <n v="31.919999999999998"/>
  </r>
  <r>
    <n v="23.36"/>
  </r>
  <r>
    <n v="7.9200000000000008"/>
  </r>
  <r>
    <n v="14.4"/>
  </r>
  <r>
    <n v="21.39"/>
  </r>
  <r>
    <n v="1.2899999999999998"/>
  </r>
  <r>
    <n v="21.6"/>
  </r>
  <r>
    <n v="28.8"/>
  </r>
  <r>
    <n v="28.08"/>
  </r>
  <r>
    <n v="31.159999999999997"/>
  </r>
  <r>
    <n v="21.87"/>
  </r>
  <r>
    <n v="33.54"/>
  </r>
  <r>
    <n v="31.159999999999997"/>
  </r>
  <r>
    <n v="31.159999999999997"/>
  </r>
  <r>
    <n v="27.09"/>
  </r>
  <r>
    <n v="28.979999999999997"/>
  </r>
  <r>
    <n v="9.94"/>
  </r>
  <r>
    <n v="32.024999999999999"/>
  </r>
  <r>
    <n v="29.92"/>
  </r>
  <r>
    <n v="20.3"/>
  </r>
  <r>
    <n v="25.16"/>
  </r>
  <r>
    <n v="22.200000000000003"/>
  </r>
  <r>
    <n v="10.95"/>
  </r>
  <r>
    <n v="29.14"/>
  </r>
  <r>
    <n v="16.149999999999999"/>
  </r>
  <r>
    <n v="28.979999999999997"/>
  </r>
  <r>
    <n v="26.400000000000002"/>
  </r>
  <r>
    <n v="30.099999999999998"/>
  </r>
  <r>
    <n v="28.049999999999997"/>
  </r>
  <r>
    <n v="6.6"/>
  </r>
  <r>
    <n v="5.2"/>
  </r>
  <r>
    <n v="20.28"/>
  </r>
  <r>
    <n v="0.33"/>
  </r>
  <r>
    <n v="0.49499999999999994"/>
  </r>
  <r>
    <n v="0.49499999999999994"/>
  </r>
  <r>
    <n v="2.0249999999999999"/>
  </r>
  <r>
    <n v="23.204999999999998"/>
  </r>
  <r>
    <n v="21.560000000000002"/>
  </r>
  <r>
    <n v="18.059999999999999"/>
  </r>
  <r>
    <n v="21.84"/>
  </r>
  <r>
    <n v="28.6"/>
  </r>
  <r>
    <n v="21.159999999999997"/>
  </r>
  <r>
    <n v="22.549999999999997"/>
  </r>
  <r>
    <n v="25.5"/>
  </r>
  <r>
    <n v="18.614999999999998"/>
  </r>
  <r>
    <n v="25.92"/>
  </r>
  <r>
    <n v="20.405000000000001"/>
  </r>
  <r>
    <n v="20.540000000000003"/>
  </r>
  <r>
    <n v="33.835000000000001"/>
  </r>
  <r>
    <n v="28.799999999999997"/>
  </r>
  <r>
    <n v="28"/>
  </r>
  <r>
    <n v="28.279999999999998"/>
  </r>
  <r>
    <n v="15.579999999999998"/>
  </r>
  <r>
    <n v="19.634999999999998"/>
  </r>
  <r>
    <n v="17.395"/>
  </r>
  <r>
    <n v="17.099999999999998"/>
  </r>
  <r>
    <n v="14.879999999999999"/>
  </r>
  <r>
    <n v="23.25"/>
  </r>
  <r>
    <n v="29.759999999999998"/>
  </r>
  <r>
    <n v="26.35"/>
  </r>
  <r>
    <n v="21.9"/>
  </r>
  <r>
    <n v="23.680000000000003"/>
  </r>
  <r>
    <n v="22.63"/>
  </r>
  <r>
    <n v="22.05"/>
  </r>
  <r>
    <n v="22.08"/>
  </r>
  <r>
    <n v="20.239999999999998"/>
  </r>
  <r>
    <n v="22.08"/>
  </r>
  <r>
    <n v="21.12"/>
  </r>
  <r>
    <n v="28.9"/>
  </r>
  <r>
    <n v="17.099999999999998"/>
  </r>
  <r>
    <n v="22"/>
  </r>
  <r>
    <n v="8.4"/>
  </r>
  <r>
    <n v="10.92"/>
  </r>
  <r>
    <n v="21.87"/>
  </r>
  <r>
    <n v="32.024999999999999"/>
  </r>
  <r>
    <n v="29.400000000000002"/>
  </r>
  <r>
    <n v="31.619999999999997"/>
  </r>
  <r>
    <n v="31.360000000000003"/>
  </r>
  <r>
    <n v="25.759999999999998"/>
  </r>
  <r>
    <n v="26.66"/>
  </r>
  <r>
    <n v="30.599999999999998"/>
  </r>
  <r>
    <n v="30.599999999999998"/>
  </r>
  <r>
    <n v="27"/>
  </r>
  <r>
    <n v="26.700000000000003"/>
  </r>
  <r>
    <n v="26.66"/>
  </r>
  <r>
    <n v="27.84"/>
  </r>
  <r>
    <n v="24.939999999999998"/>
  </r>
  <r>
    <n v="14.4"/>
  </r>
  <r>
    <n v="27.52"/>
  </r>
  <r>
    <n v="30.080000000000002"/>
  </r>
  <r>
    <n v="26.66"/>
  </r>
  <r>
    <n v="23.65"/>
  </r>
  <r>
    <n v="28.035"/>
  </r>
  <r>
    <n v="14.819999999999999"/>
  </r>
  <r>
    <n v="22.08"/>
  </r>
  <r>
    <n v="22.680000000000003"/>
  </r>
  <r>
    <n v="25.11"/>
  </r>
  <r>
    <n v="31.200000000000003"/>
  </r>
  <r>
    <n v="25.200000000000003"/>
  </r>
  <r>
    <n v="27.900000000000002"/>
  </r>
  <r>
    <n v="36.72"/>
  </r>
  <r>
    <n v="22.36"/>
  </r>
  <r>
    <n v="29.145"/>
  </r>
  <r>
    <n v="20.75"/>
  </r>
  <r>
    <n v="29.759999999999998"/>
  </r>
  <r>
    <n v="39.06"/>
  </r>
  <r>
    <n v="37.200000000000003"/>
  </r>
  <r>
    <n v="25.92"/>
  </r>
  <r>
    <n v="33"/>
  </r>
  <r>
    <n v="26.099999999999998"/>
  </r>
  <r>
    <n v="21.535"/>
  </r>
  <r>
    <n v="17.875"/>
  </r>
  <r>
    <n v="17.28"/>
  </r>
  <r>
    <n v="12.075000000000001"/>
  </r>
  <r>
    <n v="12.92"/>
  </r>
  <r>
    <n v="7.3599999999999994"/>
  </r>
  <r>
    <n v="19.170000000000002"/>
  </r>
  <r>
    <n v="17.600000000000001"/>
  </r>
  <r>
    <n v="18.36"/>
  </r>
  <r>
    <n v="16.060000000000002"/>
  </r>
  <r>
    <n v="21.9"/>
  </r>
  <r>
    <n v="20.88"/>
  </r>
  <r>
    <n v="21.9"/>
  </r>
  <r>
    <n v="10.649999999999999"/>
  </r>
  <r>
    <n v="14.76"/>
  </r>
  <r>
    <n v="10.73"/>
  </r>
  <r>
    <n v="19.8"/>
  </r>
  <r>
    <n v="23.040000000000003"/>
  </r>
  <r>
    <n v="14.045"/>
  </r>
  <r>
    <n v="25.675000000000001"/>
  </r>
  <r>
    <n v="24.18"/>
  </r>
  <r>
    <n v="22.875"/>
  </r>
  <r>
    <n v="0.92999999999999994"/>
  </r>
  <r>
    <n v="16.740000000000002"/>
  </r>
  <r>
    <n v="15.86"/>
  </r>
  <r>
    <n v="14.639999999999999"/>
  </r>
  <r>
    <n v="15.5"/>
  </r>
  <r>
    <n v="8.68"/>
  </r>
  <r>
    <n v="15.5"/>
  </r>
  <r>
    <n v="17.639999999999997"/>
  </r>
  <r>
    <n v="16.740000000000002"/>
  </r>
  <r>
    <n v="16.740000000000002"/>
  </r>
  <r>
    <n v="15.5"/>
  </r>
  <r>
    <n v="15.554999999999998"/>
  </r>
  <r>
    <n v="14.879999999999999"/>
  </r>
  <r>
    <n v="23.25"/>
  </r>
  <r>
    <n v="24.18"/>
  </r>
  <r>
    <n v="22.5"/>
  </r>
  <r>
    <n v="26.22"/>
  </r>
  <r>
    <n v="25.125"/>
  </r>
  <r>
    <n v="21.96"/>
  </r>
  <r>
    <n v="23.680000000000003"/>
  </r>
  <r>
    <n v="23.680000000000003"/>
  </r>
  <r>
    <n v="18.45"/>
  </r>
  <r>
    <n v="28.5"/>
  </r>
  <r>
    <n v="25.56"/>
  </r>
  <r>
    <n v="27.689999999999998"/>
  </r>
  <r>
    <n v="18.36"/>
  </r>
  <r>
    <n v="16.829999999999998"/>
  </r>
  <r>
    <n v="6.2"/>
  </r>
  <r>
    <n v="15.5"/>
  </r>
  <r>
    <n v="14.029999999999998"/>
  </r>
  <r>
    <n v="14.879999999999999"/>
  </r>
  <r>
    <n v="17.34"/>
  </r>
  <r>
    <n v="0.88500000000000001"/>
  </r>
  <r>
    <n v="12"/>
  </r>
  <r>
    <n v="16.12"/>
  </r>
  <r>
    <n v="27.255000000000003"/>
  </r>
  <r>
    <n v="23.179999999999996"/>
  </r>
  <r>
    <n v="19.139999999999997"/>
  </r>
  <r>
    <n v="20.355000000000004"/>
  </r>
  <r>
    <n v="20.650000000000002"/>
  </r>
  <r>
    <n v="22.63"/>
  </r>
  <r>
    <n v="19.5"/>
  </r>
  <r>
    <n v="35.805000000000007"/>
  </r>
  <r>
    <n v="9.1450000000000014"/>
  </r>
  <r>
    <n v="11.340000000000002"/>
  </r>
  <r>
    <n v="27.335000000000001"/>
  </r>
  <r>
    <n v="27.689999999999998"/>
  </r>
  <r>
    <n v="15.86"/>
  </r>
  <r>
    <n v="16.52"/>
  </r>
  <r>
    <n v="17.670000000000002"/>
  </r>
  <r>
    <n v="22.799999999999997"/>
  </r>
  <r>
    <n v="26.91"/>
  </r>
  <r>
    <n v="21.060000000000002"/>
  </r>
  <r>
    <n v="27.720000000000002"/>
  </r>
  <r>
    <n v="18"/>
  </r>
  <r>
    <n v="20.100000000000001"/>
  </r>
  <r>
    <n v="18.7"/>
  </r>
  <r>
    <n v="19.95"/>
  </r>
  <r>
    <n v="18.425000000000001"/>
  </r>
  <r>
    <n v="11.895"/>
  </r>
  <r>
    <n v="7.625"/>
  </r>
  <r>
    <n v="33.6"/>
  </r>
  <r>
    <n v="19.43"/>
  </r>
  <r>
    <n v="19.139999999999997"/>
  </r>
  <r>
    <n v="15.86"/>
  </r>
  <r>
    <n v="15.899999999999999"/>
  </r>
  <r>
    <n v="18.2"/>
  </r>
  <r>
    <n v="16.740000000000002"/>
  </r>
  <r>
    <n v="16.900000000000002"/>
  </r>
  <r>
    <n v="19.72"/>
  </r>
  <r>
    <n v="17.085000000000001"/>
  </r>
  <r>
    <n v="0.98999999999999988"/>
  </r>
  <r>
    <n v="16.064999999999998"/>
  </r>
  <r>
    <n v="16.064999999999998"/>
  </r>
  <r>
    <n v="15.040000000000001"/>
  </r>
  <r>
    <n v="16.43"/>
  </r>
  <r>
    <n v="22.619999999999997"/>
  </r>
  <r>
    <n v="20.28"/>
  </r>
  <r>
    <n v="13.004999999999999"/>
  </r>
  <r>
    <n v="20.405000000000001"/>
  </r>
  <r>
    <n v="20.139999999999997"/>
  </r>
  <r>
    <n v="26.774999999999999"/>
  </r>
  <r>
    <n v="26.324999999999999"/>
  </r>
  <r>
    <n v="34.515000000000001"/>
  </r>
  <r>
    <n v="37.760000000000005"/>
  </r>
  <r>
    <n v="24.359999999999996"/>
  </r>
  <r>
    <n v="27.09"/>
  </r>
  <r>
    <n v="26.8"/>
  </r>
  <r>
    <n v="42.24"/>
  </r>
  <r>
    <n v="16.12"/>
  </r>
  <r>
    <n v="27.625"/>
  </r>
  <r>
    <n v="15.809999999999999"/>
  </r>
  <r>
    <n v="13.640000000000002"/>
  </r>
  <r>
    <n v="16.43"/>
  </r>
  <r>
    <n v="16.43"/>
  </r>
  <r>
    <n v="23.56"/>
  </r>
  <r>
    <n v="19.440000000000001"/>
  </r>
  <r>
    <n v="26.22"/>
  </r>
  <r>
    <n v="23.700000000000003"/>
  </r>
  <r>
    <n v="21.240000000000002"/>
  </r>
  <r>
    <n v="20.3"/>
  </r>
  <r>
    <n v="27.335000000000001"/>
  </r>
  <r>
    <n v="26.565000000000001"/>
  </r>
  <r>
    <n v="26.979999999999997"/>
  </r>
  <r>
    <n v="27.689999999999998"/>
  </r>
  <r>
    <n v="25.92"/>
  </r>
  <r>
    <n v="21.044999999999998"/>
  </r>
  <r>
    <n v="15.925000000000001"/>
  </r>
  <r>
    <n v="17.28"/>
  </r>
  <r>
    <n v="16.43"/>
  </r>
  <r>
    <n v="14.21"/>
  </r>
  <r>
    <n v="12.04"/>
  </r>
  <r>
    <n v="18.809999999999999"/>
  </r>
  <r>
    <n v="16.96"/>
  </r>
  <r>
    <n v="14.879999999999999"/>
  </r>
  <r>
    <n v="0.44999999999999996"/>
  </r>
  <r>
    <n v="0.16500000000000001"/>
  </r>
  <r>
    <n v="4.4999999999999998E-2"/>
  </r>
  <r>
    <n v="4.4999999999999998E-2"/>
  </r>
  <r>
    <n v="0.12"/>
  </r>
  <r>
    <n v="0.18"/>
  </r>
  <r>
    <n v="0.48"/>
  </r>
  <r>
    <n v="20.650000000000002"/>
  </r>
  <r>
    <n v="22.42"/>
  </r>
  <r>
    <n v="23.939999999999998"/>
  </r>
  <r>
    <n v="20.25"/>
  </r>
  <r>
    <n v="21.6"/>
  </r>
  <r>
    <n v="5.9449999999999994"/>
  </r>
  <r>
    <n v="7.4249999999999998"/>
  </r>
  <r>
    <n v="15.5"/>
  </r>
  <r>
    <n v="12.18"/>
  </r>
  <r>
    <n v="13.049999999999999"/>
  </r>
  <r>
    <n v="15.190000000000001"/>
  </r>
  <r>
    <n v="16.96"/>
  </r>
  <r>
    <n v="12.005000000000003"/>
  </r>
  <r>
    <n v="13.860000000000001"/>
  </r>
  <r>
    <n v="30"/>
  </r>
  <r>
    <n v="25.799999999999997"/>
  </r>
  <r>
    <n v="37.699999999999996"/>
  </r>
  <r>
    <n v="33.599999999999994"/>
  </r>
  <r>
    <n v="30.884999999999994"/>
  </r>
  <r>
    <n v="28"/>
  </r>
  <r>
    <n v="17.05"/>
  </r>
  <r>
    <n v="17.010000000000002"/>
  </r>
  <r>
    <n v="25.41"/>
  </r>
  <r>
    <n v="26.07"/>
  </r>
  <r>
    <n v="26.729999999999997"/>
  </r>
  <r>
    <n v="19.600000000000001"/>
  </r>
  <r>
    <n v="31.824999999999999"/>
  </r>
  <r>
    <n v="23.4"/>
  </r>
  <r>
    <n v="14.57"/>
  </r>
  <r>
    <n v="13.049999999999999"/>
  </r>
  <r>
    <n v="26.534999999999997"/>
  </r>
  <r>
    <n v="38.359999999999992"/>
  </r>
  <r>
    <n v="38.359999999999992"/>
  </r>
  <r>
    <n v="14.029999999999998"/>
  </r>
  <r>
    <n v="14.639999999999999"/>
  </r>
  <r>
    <n v="15.08"/>
  </r>
  <r>
    <n v="13.92"/>
  </r>
  <r>
    <n v="29.480000000000004"/>
  </r>
  <r>
    <n v="32.04"/>
  </r>
  <r>
    <n v="29.145"/>
  </r>
  <r>
    <n v="18.090000000000003"/>
  </r>
  <r>
    <n v="23.52"/>
  </r>
  <r>
    <n v="24.64"/>
  </r>
  <r>
    <n v="28.75"/>
  </r>
  <r>
    <n v="29.25"/>
  </r>
  <r>
    <n v="21.164999999999999"/>
  </r>
  <r>
    <n v="11.61"/>
  </r>
  <r>
    <n v="8.67"/>
  </r>
  <r>
    <n v="8.2799999999999994"/>
  </r>
  <r>
    <n v="10.964999999999998"/>
  </r>
  <r>
    <n v="26.565000000000001"/>
  </r>
  <r>
    <n v="14.029999999999998"/>
  </r>
  <r>
    <n v="19.139999999999997"/>
  </r>
  <r>
    <n v="4.875"/>
  </r>
  <r>
    <n v="5.5350000000000001"/>
  </r>
  <r>
    <n v="5.7399999999999993"/>
  </r>
  <r>
    <n v="28.044999999999998"/>
  </r>
  <r>
    <n v="20.669999999999998"/>
  </r>
  <r>
    <n v="21.279999999999998"/>
  </r>
  <r>
    <n v="21.84"/>
  </r>
  <r>
    <n v="20.790000000000003"/>
  </r>
  <r>
    <n v="6.8200000000000012"/>
  </r>
  <r>
    <n v="17.224999999999998"/>
  </r>
  <r>
    <n v="12.18"/>
  </r>
  <r>
    <n v="7.8400000000000007"/>
  </r>
  <r>
    <n v="8.14"/>
  </r>
  <r>
    <n v="6.2349999999999994"/>
  </r>
  <r>
    <n v="12.32"/>
  </r>
  <r>
    <n v="2.3250000000000002"/>
  </r>
  <r>
    <n v="24.25"/>
  </r>
  <r>
    <n v="25.83"/>
  </r>
  <r>
    <n v="26.599999999999998"/>
  </r>
  <r>
    <n v="26.599999999999998"/>
  </r>
  <r>
    <n v="25.900000000000002"/>
  </r>
  <r>
    <n v="20.74"/>
  </r>
  <r>
    <n v="25.53"/>
  </r>
  <r>
    <n v="23.45"/>
  </r>
  <r>
    <n v="21.044999999999998"/>
  </r>
  <r>
    <n v="26.13"/>
  </r>
  <r>
    <n v="25.16"/>
  </r>
  <r>
    <n v="25.185000000000002"/>
  </r>
  <r>
    <n v="29.050000000000004"/>
  </r>
  <r>
    <n v="36.75"/>
  </r>
  <r>
    <n v="35.699999999999996"/>
  </r>
  <r>
    <n v="41.89"/>
  </r>
  <r>
    <n v="27"/>
  </r>
  <r>
    <n v="27.689999999999998"/>
  </r>
  <r>
    <n v="1.17"/>
  </r>
  <r>
    <n v="29.58"/>
  </r>
  <r>
    <n v="43.92"/>
  </r>
  <r>
    <n v="16.96"/>
  </r>
  <r>
    <n v="16.38"/>
  </r>
  <r>
    <n v="14.75"/>
  </r>
  <r>
    <n v="14.535"/>
  </r>
  <r>
    <n v="19.43"/>
  </r>
  <r>
    <n v="15.680000000000001"/>
  </r>
  <r>
    <n v="15.25"/>
  </r>
  <r>
    <n v="15.635"/>
  </r>
  <r>
    <n v="17.05"/>
  </r>
  <r>
    <n v="28.220000000000002"/>
  </r>
  <r>
    <n v="16"/>
  </r>
  <r>
    <n v="10.030000000000001"/>
  </r>
  <r>
    <n v="43.154999999999994"/>
  </r>
  <r>
    <n v="24.254999999999999"/>
  </r>
  <r>
    <n v="23.87"/>
  </r>
  <r>
    <n v="21.349999999999998"/>
  </r>
  <r>
    <n v="19.095000000000002"/>
  </r>
  <r>
    <n v="18.975000000000001"/>
  </r>
  <r>
    <n v="18.900000000000002"/>
  </r>
  <r>
    <n v="20.234999999999999"/>
  </r>
  <r>
    <n v="21.39"/>
  </r>
  <r>
    <n v="21.654999999999998"/>
  </r>
  <r>
    <n v="18.240000000000002"/>
  </r>
  <r>
    <n v="19.43"/>
  </r>
  <r>
    <n v="20.650000000000002"/>
  </r>
  <r>
    <n v="22.68"/>
  </r>
  <r>
    <n v="23.87"/>
  </r>
  <r>
    <n v="22.94"/>
  </r>
  <r>
    <n v="23.724999999999998"/>
  </r>
  <r>
    <n v="17.68"/>
  </r>
  <r>
    <n v="22.994999999999997"/>
  </r>
  <r>
    <n v="12.420000000000002"/>
  </r>
  <r>
    <n v="21.7"/>
  </r>
  <r>
    <n v="25.349999999999998"/>
  </r>
  <r>
    <n v="25.08"/>
  </r>
  <r>
    <n v="26.95"/>
  </r>
  <r>
    <n v="16.900000000000002"/>
  </r>
  <r>
    <n v="19.765000000000001"/>
  </r>
  <r>
    <n v="16.900000000000002"/>
  </r>
  <r>
    <n v="20.439999999999998"/>
  </r>
  <r>
    <n v="18.425000000000001"/>
  </r>
  <r>
    <n v="19.04"/>
  </r>
  <r>
    <n v="28.160000000000004"/>
  </r>
  <r>
    <n v="17.775000000000002"/>
  </r>
  <r>
    <n v="16.59"/>
  </r>
  <r>
    <n v="22.8"/>
  </r>
  <r>
    <n v="17.775000000000002"/>
  </r>
  <r>
    <n v="22.12"/>
  </r>
  <r>
    <n v="18.290000000000003"/>
  </r>
  <r>
    <n v="18.849999999999998"/>
  </r>
  <r>
    <n v="16.415000000000003"/>
  </r>
  <r>
    <n v="19.175000000000001"/>
  </r>
  <r>
    <n v="19.824999999999999"/>
  </r>
  <r>
    <n v="18.759999999999998"/>
  </r>
  <r>
    <n v="16.900000000000002"/>
  </r>
  <r>
    <n v="16.900000000000002"/>
  </r>
  <r>
    <n v="16.900000000000002"/>
  </r>
  <r>
    <n v="18.759999999999998"/>
  </r>
  <r>
    <n v="19.095000000000002"/>
  </r>
  <r>
    <n v="18.525000000000002"/>
  </r>
  <r>
    <n v="19.38"/>
  </r>
  <r>
    <n v="19.04"/>
  </r>
  <r>
    <n v="17.36"/>
  </r>
  <r>
    <n v="22.264999999999997"/>
  </r>
  <r>
    <n v="24.454999999999998"/>
  </r>
  <r>
    <n v="17.754999999999999"/>
  </r>
  <r>
    <n v="18.479999999999997"/>
  </r>
  <r>
    <n v="19.32"/>
  </r>
  <r>
    <n v="16.900000000000002"/>
  </r>
  <r>
    <n v="20.010000000000002"/>
  </r>
  <r>
    <n v="17.420000000000002"/>
  </r>
  <r>
    <n v="19.095000000000002"/>
  </r>
  <r>
    <n v="17.75"/>
  </r>
  <r>
    <n v="24.64"/>
  </r>
  <r>
    <n v="17.224999999999998"/>
  </r>
  <r>
    <n v="6.6150000000000002"/>
  </r>
  <r>
    <n v="14.719999999999999"/>
  </r>
  <r>
    <n v="0.78"/>
  </r>
  <r>
    <n v="0.89999999999999991"/>
  </r>
  <r>
    <n v="19.5"/>
  </r>
  <r>
    <n v="17.420000000000002"/>
  </r>
  <r>
    <n v="18.7"/>
  </r>
  <r>
    <n v="11.200000000000001"/>
  </r>
  <r>
    <n v="5.49"/>
  </r>
  <r>
    <n v="0.91499999999999992"/>
  </r>
  <r>
    <n v="9.7650000000000006"/>
  </r>
  <r>
    <n v="17.594999999999999"/>
  </r>
  <r>
    <n v="19.04"/>
  </r>
  <r>
    <n v="23.484999999999999"/>
  </r>
  <r>
    <n v="22.994999999999997"/>
  </r>
  <r>
    <n v="16.5"/>
  </r>
  <r>
    <n v="20.88"/>
  </r>
  <r>
    <n v="14.3"/>
  </r>
  <r>
    <n v="7.75"/>
  </r>
  <r>
    <n v="9.6000000000000014"/>
  </r>
  <r>
    <n v="14.080000000000002"/>
  </r>
  <r>
    <n v="0.88500000000000001"/>
  </r>
  <r>
    <n v="0.54"/>
  </r>
  <r>
    <n v="0.435"/>
  </r>
  <r>
    <n v="0.58499999999999996"/>
  </r>
  <r>
    <n v="0.40500000000000003"/>
  </r>
  <r>
    <n v="0.61499999999999988"/>
  </r>
  <r>
    <n v="0.28499999999999998"/>
  </r>
  <r>
    <n v="0.36"/>
  </r>
  <r>
    <n v="0.66"/>
  </r>
  <r>
    <n v="0.51"/>
  </r>
  <r>
    <n v="0.48"/>
  </r>
  <r>
    <n v="0.15"/>
  </r>
  <r>
    <n v="0.375"/>
  </r>
  <r>
    <n v="18.02"/>
  </r>
  <r>
    <n v="17.82"/>
  </r>
  <r>
    <n v="21.84"/>
  </r>
  <r>
    <n v="20.934999999999999"/>
  </r>
  <r>
    <n v="15.86"/>
  </r>
  <r>
    <n v="7.625"/>
  </r>
  <r>
    <n v="29.465"/>
  </r>
  <r>
    <n v="22.94"/>
  </r>
  <r>
    <n v="22.679999999999996"/>
  </r>
  <r>
    <n v="24.8"/>
  </r>
  <r>
    <n v="27.39"/>
  </r>
  <r>
    <n v="4.4999999999999998E-2"/>
  </r>
  <r>
    <n v="34.68"/>
  </r>
  <r>
    <n v="29.92"/>
  </r>
  <r>
    <n v="23.1"/>
  </r>
  <r>
    <n v="28.799999999999997"/>
  </r>
  <r>
    <n v="28.6"/>
  </r>
  <r>
    <n v="33.369999999999997"/>
  </r>
  <r>
    <n v="28.38"/>
  </r>
  <r>
    <n v="29.04"/>
  </r>
  <r>
    <n v="27.3"/>
  </r>
  <r>
    <n v="34.56"/>
  </r>
  <r>
    <n v="40.25"/>
  </r>
  <r>
    <n v="42.5"/>
  </r>
  <r>
    <n v="33.119999999999997"/>
  </r>
  <r>
    <n v="23.919999999999998"/>
  </r>
  <r>
    <n v="26.88"/>
  </r>
  <r>
    <n v="15.36"/>
  </r>
  <r>
    <n v="25.41"/>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29">
  <r>
    <n v="0.99999999999999911"/>
  </r>
  <r>
    <n v="1.0999999999999996"/>
  </r>
  <r>
    <n v="0.79999999999999982"/>
  </r>
  <r>
    <n v="1.1000000000000005"/>
  </r>
  <r>
    <n v="0.99999999999999911"/>
  </r>
  <r>
    <n v="1.0999999999999996"/>
  </r>
  <r>
    <n v="0.79999999999999982"/>
  </r>
  <r>
    <n v="0.99999999999999911"/>
  </r>
  <r>
    <n v="1"/>
  </r>
  <r>
    <n v="0.80000000000000071"/>
  </r>
  <r>
    <n v="0.60000000000000053"/>
  </r>
  <r>
    <n v="0.80000000000000071"/>
  </r>
  <r>
    <n v="0.80000000000000071"/>
  </r>
  <r>
    <n v="0.60000000000000053"/>
  </r>
  <r>
    <n v="0.80000000000000071"/>
  </r>
  <r>
    <n v="1"/>
  </r>
  <r>
    <n v="0.60000000000000053"/>
  </r>
  <r>
    <n v="0.70000000000000018"/>
  </r>
  <r>
    <n v="0.90000000000000036"/>
  </r>
  <r>
    <n v="0.80000000000000071"/>
  </r>
  <r>
    <n v="0.60000000000000053"/>
  </r>
  <r>
    <n v="0.70000000000000107"/>
  </r>
  <r>
    <n v="1.6999999999999993"/>
  </r>
  <r>
    <n v="0.80000000000000071"/>
  </r>
  <r>
    <n v="0.69999999999999929"/>
  </r>
  <r>
    <n v="0.59999999999999964"/>
  </r>
  <r>
    <n v="1.5000000000000009"/>
  </r>
  <r>
    <n v="0.80000000000000071"/>
  </r>
  <r>
    <n v="0.59999999999999964"/>
  </r>
  <r>
    <n v="0.40000000000000036"/>
  </r>
  <r>
    <n v="2.2999999999999998"/>
  </r>
  <r>
    <n v="0.79999999999999982"/>
  </r>
  <r>
    <n v="1.4000000000000004"/>
  </r>
  <r>
    <n v="0.5"/>
  </r>
  <r>
    <n v="0.30000000000000071"/>
  </r>
  <r>
    <n v="0.60000000000000053"/>
  </r>
  <r>
    <n v="1.3000000000000007"/>
  </r>
  <r>
    <n v="0.90000000000000036"/>
  </r>
  <r>
    <n v="0.80000000000000071"/>
  </r>
  <r>
    <n v="1.4000000000000004"/>
  </r>
  <r>
    <n v="1.3000000000000007"/>
  </r>
  <r>
    <n v="0.5"/>
  </r>
  <r>
    <n v="0.89999999999999947"/>
  </r>
  <r>
    <n v="0.5"/>
  </r>
  <r>
    <n v="0.70000000000000107"/>
  </r>
  <r>
    <n v="0.70000000000000018"/>
  </r>
  <r>
    <n v="0.59999999999999964"/>
  </r>
  <r>
    <n v="0.90000000000000036"/>
  </r>
  <r>
    <n v="1.2000000000000002"/>
  </r>
  <r>
    <n v="0.69999999999999929"/>
  </r>
  <r>
    <n v="0.79999999999999893"/>
  </r>
  <r>
    <n v="0.59999999999999964"/>
  </r>
  <r>
    <n v="0.70000000000000018"/>
  </r>
  <r>
    <n v="0.89999999999999947"/>
  </r>
  <r>
    <n v="1"/>
  </r>
  <r>
    <n v="0.70000000000000018"/>
  </r>
  <r>
    <n v="0.70000000000000018"/>
  </r>
  <r>
    <n v="1.0999999999999996"/>
  </r>
  <r>
    <n v="1.0999999999999996"/>
  </r>
  <r>
    <n v="0.69999999999999929"/>
  </r>
  <r>
    <n v="0.79999999999999893"/>
  </r>
  <r>
    <n v="1"/>
  </r>
  <r>
    <n v="0.90000000000000036"/>
  </r>
  <r>
    <n v="0.79999999999999893"/>
  </r>
  <r>
    <n v="1.2999999999999989"/>
  </r>
  <r>
    <n v="1.2000000000000011"/>
  </r>
  <r>
    <n v="0.59999999999999964"/>
  </r>
  <r>
    <n v="0.90000000000000036"/>
  </r>
  <r>
    <n v="0.80000000000000071"/>
  </r>
  <r>
    <n v="0.69999999999999929"/>
  </r>
  <r>
    <n v="0.5"/>
  </r>
  <r>
    <n v="0.69999999999999929"/>
  </r>
  <r>
    <n v="1.5999999999999996"/>
  </r>
  <r>
    <n v="1"/>
  </r>
  <r>
    <n v="1.5000000000000009"/>
  </r>
  <r>
    <n v="1.2000000000000002"/>
  </r>
  <r>
    <n v="0.79999999999999893"/>
  </r>
  <r>
    <n v="0.79999999999999982"/>
  </r>
  <r>
    <n v="1"/>
  </r>
  <r>
    <n v="0.69999999999999929"/>
  </r>
  <r>
    <n v="0.89999999999999947"/>
  </r>
  <r>
    <n v="0.59999999999999964"/>
  </r>
  <r>
    <n v="0.60000000000000053"/>
  </r>
  <r>
    <n v="0.5"/>
  </r>
  <r>
    <n v="1.1000000000000005"/>
  </r>
  <r>
    <n v="1.3999999999999995"/>
  </r>
  <r>
    <n v="1.2000000000000011"/>
  </r>
  <r>
    <n v="0.89999999999999947"/>
  </r>
  <r>
    <n v="1.4000000000000004"/>
  </r>
  <r>
    <n v="0.80000000000000071"/>
  </r>
  <r>
    <n v="0.90000000000000036"/>
  </r>
  <r>
    <n v="1.4000000000000004"/>
  </r>
  <r>
    <n v="0.69999999999999929"/>
  </r>
  <r>
    <n v="0.70000000000000107"/>
  </r>
  <r>
    <n v="0.5"/>
  </r>
  <r>
    <n v="0.70000000000000018"/>
  </r>
  <r>
    <n v="0.69999999999999929"/>
  </r>
  <r>
    <n v="0.80000000000000071"/>
  </r>
  <r>
    <n v="0.40000000000000036"/>
  </r>
  <r>
    <n v="0.29999999999999982"/>
  </r>
  <r>
    <n v="0.29999999999999982"/>
  </r>
  <r>
    <n v="0.60000000000000053"/>
  </r>
  <r>
    <n v="0.29999999999999893"/>
  </r>
  <r>
    <n v="1"/>
  </r>
  <r>
    <n v="0.39999999999999858"/>
  </r>
  <r>
    <n v="0.70000000000000107"/>
  </r>
  <r>
    <n v="1.2000000000000002"/>
  </r>
  <r>
    <n v="9.9999999999999645E-2"/>
  </r>
  <r>
    <n v="0.79999999999999893"/>
  </r>
  <r>
    <n v="0.70000000000000018"/>
  </r>
  <r>
    <n v="0.79999999999999982"/>
  </r>
  <r>
    <n v="0.80000000000000071"/>
  </r>
  <r>
    <n v="0.29999999999999982"/>
  </r>
  <r>
    <n v="0.59999999999999964"/>
  </r>
  <r>
    <n v="0.79999999999999982"/>
  </r>
  <r>
    <n v="0.89999999999999947"/>
  </r>
  <r>
    <n v="0.30000000000000071"/>
  </r>
  <r>
    <n v="0.5"/>
  </r>
  <r>
    <n v="0.89999999999999947"/>
  </r>
  <r>
    <n v="1"/>
  </r>
  <r>
    <n v="0.5"/>
  </r>
  <r>
    <n v="1"/>
  </r>
  <r>
    <n v="0"/>
  </r>
  <r>
    <n v="0.59999999999999964"/>
  </r>
  <r>
    <n v="0"/>
  </r>
  <r>
    <n v="0.49999999999999911"/>
  </r>
  <r>
    <n v="1.1000000000000005"/>
  </r>
  <r>
    <n v="0.70000000000000107"/>
  </r>
  <r>
    <n v="0.79999999999999893"/>
  </r>
  <r>
    <n v="0.69999999999999929"/>
  </r>
  <r>
    <n v="0.90000000000000036"/>
  </r>
  <r>
    <n v="0.90000000000000036"/>
  </r>
  <r>
    <n v="0.70000000000000018"/>
  </r>
  <r>
    <n v="1.1999999999999993"/>
  </r>
  <r>
    <n v="0.79999999999999982"/>
  </r>
  <r>
    <n v="1.1000000000000005"/>
  </r>
  <r>
    <n v="0.90000000000000036"/>
  </r>
  <r>
    <n v="1"/>
  </r>
  <r>
    <n v="1.0000000000000009"/>
  </r>
  <r>
    <n v="0.59999999999999964"/>
  </r>
  <r>
    <n v="0.89999999999999947"/>
  </r>
  <r>
    <n v="1"/>
  </r>
  <r>
    <n v="0.79999999999999982"/>
  </r>
  <r>
    <n v="0.5"/>
  </r>
  <r>
    <n v="0"/>
  </r>
  <r>
    <n v="0.70000000000000018"/>
  </r>
  <r>
    <n v="0.69999999999999929"/>
  </r>
  <r>
    <n v="1"/>
  </r>
  <r>
    <n v="1.0999999999999996"/>
  </r>
  <r>
    <n v="0.99999999999999911"/>
  </r>
  <r>
    <n v="0.89999999999999947"/>
  </r>
  <r>
    <n v="0.89999999999999947"/>
  </r>
  <r>
    <n v="0.99999999999999911"/>
  </r>
  <r>
    <n v="0"/>
  </r>
  <r>
    <n v="0"/>
  </r>
  <r>
    <n v="0"/>
  </r>
  <r>
    <n v="0.70000000000000107"/>
  </r>
  <r>
    <n v="0.20000000000000018"/>
  </r>
  <r>
    <n v="0.79999999999999893"/>
  </r>
  <r>
    <n v="0.50000000000000089"/>
  </r>
  <r>
    <n v="0.29999999999999982"/>
  </r>
  <r>
    <n v="0.69999999999999929"/>
  </r>
  <r>
    <n v="1.2000000000000002"/>
  </r>
  <r>
    <n v="1.2000000000000011"/>
  </r>
  <r>
    <n v="1.1999999999999993"/>
  </r>
  <r>
    <n v="1.4000000000000004"/>
  </r>
  <r>
    <n v="1.4000000000000004"/>
  </r>
  <r>
    <n v="1.0000000000000009"/>
  </r>
  <r>
    <n v="1.0000000000000009"/>
  </r>
  <r>
    <n v="1.2999999999999998"/>
  </r>
  <r>
    <n v="1.2000000000000002"/>
  </r>
  <r>
    <n v="0.90000000000000036"/>
  </r>
  <r>
    <n v="0.70000000000000018"/>
  </r>
  <r>
    <n v="0.5"/>
  </r>
  <r>
    <n v="0.59999999999999964"/>
  </r>
  <r>
    <n v="0.29999999999999982"/>
  </r>
  <r>
    <n v="0.20000000000000018"/>
  </r>
  <r>
    <n v="0.30000000000000071"/>
  </r>
  <r>
    <n v="0.40000000000000036"/>
  </r>
  <r>
    <n v="0.29999999999999982"/>
  </r>
  <r>
    <n v="0.5"/>
  </r>
  <r>
    <n v="0.5"/>
  </r>
  <r>
    <n v="0.5"/>
  </r>
  <r>
    <n v="0.40000000000000036"/>
  </r>
  <r>
    <n v="0.70000000000000018"/>
  </r>
  <r>
    <n v="0.70000000000000018"/>
  </r>
  <r>
    <n v="1.1999999999999993"/>
  </r>
  <r>
    <n v="1.4000000000000004"/>
  </r>
  <r>
    <n v="1.0000000000000009"/>
  </r>
  <r>
    <n v="0.79999999999999982"/>
  </r>
  <r>
    <n v="1.1999999999999993"/>
  </r>
  <r>
    <n v="0.60000000000000053"/>
  </r>
  <r>
    <n v="0.50000000000000089"/>
  </r>
  <r>
    <n v="0.29999999999999982"/>
  </r>
  <r>
    <n v="0.20000000000000018"/>
  </r>
  <r>
    <n v="0.70000000000000018"/>
  </r>
  <r>
    <n v="0.10000000000000053"/>
  </r>
  <r>
    <n v="0.60000000000000053"/>
  </r>
  <r>
    <n v="0.60000000000000053"/>
  </r>
  <r>
    <n v="0.39999999999999947"/>
  </r>
  <r>
    <n v="1"/>
  </r>
  <r>
    <n v="0.5"/>
  </r>
  <r>
    <n v="0.40000000000000036"/>
  </r>
  <r>
    <n v="0.49999999999999911"/>
  </r>
  <r>
    <n v="0.60000000000000053"/>
  </r>
  <r>
    <n v="0.5"/>
  </r>
  <r>
    <n v="0.29999999999999982"/>
  </r>
  <r>
    <n v="0.39999999999999947"/>
  </r>
  <r>
    <n v="0.89999999999999947"/>
  </r>
  <r>
    <n v="0.29999999999999982"/>
  </r>
  <r>
    <n v="0.99999999999999911"/>
  </r>
  <r>
    <n v="1.2000000000000011"/>
  </r>
  <r>
    <n v="1.1000000000000005"/>
  </r>
  <r>
    <n v="0.89999999999999947"/>
  </r>
  <r>
    <n v="1.1000000000000005"/>
  </r>
  <r>
    <n v="1"/>
  </r>
  <r>
    <n v="0.59999999999999964"/>
  </r>
  <r>
    <n v="1.2000000000000002"/>
  </r>
  <r>
    <n v="1.2000000000000002"/>
  </r>
  <r>
    <n v="1.2000000000000011"/>
  </r>
  <r>
    <n v="1.2000000000000002"/>
  </r>
  <r>
    <n v="1.160000000000001"/>
  </r>
  <r>
    <n v="1.1000000000000005"/>
  </r>
  <r>
    <n v="1.3000000000000007"/>
  </r>
  <r>
    <n v="1.2000000000000002"/>
  </r>
  <r>
    <n v="1.3000000000000007"/>
  </r>
  <r>
    <n v="0.79999999999999893"/>
  </r>
  <r>
    <n v="0.79999999999999893"/>
  </r>
  <r>
    <n v="0.89999999999999947"/>
  </r>
  <r>
    <n v="0.69999999999999929"/>
  </r>
  <r>
    <n v="1.2000000000000002"/>
  </r>
  <r>
    <n v="1.2000000000000011"/>
  </r>
  <r>
    <n v="1.1000000000000005"/>
  </r>
  <r>
    <n v="0.90000000000000036"/>
  </r>
  <r>
    <n v="0.90000000000000036"/>
  </r>
  <r>
    <n v="1.1000000000000005"/>
  </r>
  <r>
    <n v="1.0000000000000009"/>
  </r>
  <r>
    <n v="0.99999999999999911"/>
  </r>
  <r>
    <n v="1.1000000000000005"/>
  </r>
  <r>
    <n v="0.89999999999999947"/>
  </r>
  <r>
    <n v="0.99999999999999911"/>
  </r>
  <r>
    <n v="1.3000000000000007"/>
  </r>
  <r>
    <n v="0.90000000000000036"/>
  </r>
  <r>
    <n v="0.70000000000000018"/>
  </r>
  <r>
    <n v="0.39999999999999947"/>
  </r>
  <r>
    <n v="0.20000000000000018"/>
  </r>
  <r>
    <n v="0.40000000000000036"/>
  </r>
  <r>
    <n v="0.39999999999999947"/>
  </r>
  <r>
    <n v="2.2999999999999998"/>
  </r>
  <r>
    <n v="1.8999999999999995"/>
  </r>
  <r>
    <n v="2.2999999999999998"/>
  </r>
  <r>
    <n v="1.6000000000000005"/>
  </r>
  <r>
    <n v="1.5999999999999996"/>
  </r>
  <r>
    <n v="1.7999999999999998"/>
  </r>
  <r>
    <n v="1.3000000000000007"/>
  </r>
  <r>
    <n v="1.5999999999999996"/>
  </r>
  <r>
    <n v="1.3000000000000007"/>
  </r>
  <r>
    <n v="1.1999999999999993"/>
  </r>
  <r>
    <n v="1.1000000000000005"/>
  </r>
  <r>
    <n v="1.0999999999999996"/>
  </r>
  <r>
    <n v="1.2000000000000002"/>
  </r>
  <r>
    <n v="1.3999999999999995"/>
  </r>
  <r>
    <n v="0.70000000000000018"/>
  </r>
  <r>
    <n v="0"/>
  </r>
  <r>
    <n v="0"/>
  </r>
  <r>
    <n v="0.70000000000000018"/>
  </r>
  <r>
    <n v="0.20000000000000107"/>
  </r>
  <r>
    <n v="1.0999999999999996"/>
  </r>
  <r>
    <n v="0.40000000000000036"/>
  </r>
  <r>
    <n v="1.4000000000000004"/>
  </r>
  <r>
    <n v="0.60000000000000053"/>
  </r>
  <r>
    <n v="0.90000000000000036"/>
  </r>
  <r>
    <n v="0.70000000000000018"/>
  </r>
  <r>
    <n v="0.40000000000000036"/>
  </r>
  <r>
    <n v="0.50000000000000089"/>
  </r>
  <r>
    <n v="0"/>
  </r>
  <r>
    <n v="1.0999999999999996"/>
  </r>
  <r>
    <n v="0.69999999999999929"/>
  </r>
  <r>
    <n v="0.5"/>
  </r>
  <r>
    <n v="0.59999999999999964"/>
  </r>
  <r>
    <n v="0.59999999999999964"/>
  </r>
  <r>
    <n v="0.59999999999999964"/>
  </r>
  <r>
    <n v="0.39999999999999947"/>
  </r>
  <r>
    <n v="0.29999999999999982"/>
  </r>
  <r>
    <n v="0.79999999999999982"/>
  </r>
  <r>
    <n v="0.39999999999999947"/>
  </r>
  <r>
    <n v="0.40000000000000036"/>
  </r>
  <r>
    <n v="0.39999999999999947"/>
  </r>
  <r>
    <n v="0.5"/>
  </r>
  <r>
    <n v="0.29999999999999982"/>
  </r>
  <r>
    <n v="1.6000000000000005"/>
  </r>
  <r>
    <n v="1.6000000000000005"/>
  </r>
  <r>
    <n v="0.39999999999999947"/>
  </r>
  <r>
    <n v="0.60000000000000053"/>
  </r>
  <r>
    <n v="0.60000000000000053"/>
  </r>
  <r>
    <n v="0.30000000000000071"/>
  </r>
  <r>
    <n v="0.80000000000000071"/>
  </r>
  <r>
    <n v="0.80000000000000071"/>
  </r>
  <r>
    <n v="0.70000000000000018"/>
  </r>
  <r>
    <n v="0.80000000000000071"/>
  </r>
  <r>
    <n v="0.89999999999999947"/>
  </r>
  <r>
    <n v="0.40000000000000036"/>
  </r>
  <r>
    <n v="0.89999999999999947"/>
  </r>
  <r>
    <n v="0.89999999999999947"/>
  </r>
  <r>
    <n v="0.89999999999999947"/>
  </r>
  <r>
    <n v="0.89999999999999947"/>
  </r>
  <r>
    <n v="0.70000000000000107"/>
  </r>
  <r>
    <n v="1.4000000000000004"/>
  </r>
  <r>
    <n v="0.60000000000000053"/>
  </r>
  <r>
    <n v="0.79999999999999982"/>
  </r>
  <r>
    <n v="0.70000000000000107"/>
  </r>
  <r>
    <n v="0.79999999999999982"/>
  </r>
  <r>
    <n v="1.1000000000000005"/>
  </r>
  <r>
    <n v="1.4000000000000004"/>
  </r>
  <r>
    <n v="0.99999999999999911"/>
  </r>
  <r>
    <n v="0.70000000000000018"/>
  </r>
  <r>
    <n v="1.4000000000000004"/>
  </r>
  <r>
    <n v="0.79999999999999982"/>
  </r>
  <r>
    <n v="1.0999999999999996"/>
  </r>
  <r>
    <n v="0.90000000000000036"/>
  </r>
  <r>
    <n v="2.8000000000000007"/>
  </r>
  <r>
    <n v="1.3999999999999995"/>
  </r>
  <r>
    <n v="0.99999999999999911"/>
  </r>
  <r>
    <n v="1"/>
  </r>
  <r>
    <n v="0.70000000000000107"/>
  </r>
  <r>
    <n v="0.29999999999999982"/>
  </r>
  <r>
    <n v="0.29999999999999982"/>
  </r>
  <r>
    <n v="0.20000000000000018"/>
  </r>
  <r>
    <n v="1"/>
  </r>
  <r>
    <n v="0.79999999999999982"/>
  </r>
  <r>
    <n v="1.3999999999999995"/>
  </r>
  <r>
    <n v="0.29999999999999982"/>
  </r>
  <r>
    <n v="0.29999999999999982"/>
  </r>
  <r>
    <n v="0.29999999999999982"/>
  </r>
  <r>
    <n v="0.20000000000000018"/>
  </r>
  <r>
    <n v="2"/>
  </r>
  <r>
    <n v="0.90000000000000036"/>
  </r>
  <r>
    <n v="0.5"/>
  </r>
  <r>
    <n v="0.29999999999999982"/>
  </r>
  <r>
    <n v="0.79999999999999982"/>
  </r>
  <r>
    <n v="0.70000000000000018"/>
  </r>
  <r>
    <n v="1.2999999999999989"/>
  </r>
  <r>
    <n v="0.99999999999999911"/>
  </r>
  <r>
    <n v="0.90000000000000036"/>
  </r>
  <r>
    <n v="0.60000000000000053"/>
  </r>
  <r>
    <n v="0.89999999999999947"/>
  </r>
  <r>
    <n v="0.59999999999999964"/>
  </r>
  <r>
    <n v="1"/>
  </r>
  <r>
    <n v="0.5"/>
  </r>
  <r>
    <n v="0.80000000000000071"/>
  </r>
  <r>
    <n v="1.5"/>
  </r>
  <r>
    <n v="0.90000000000000036"/>
  </r>
  <r>
    <n v="0.49999999999999911"/>
  </r>
  <r>
    <n v="0.30000000000000071"/>
  </r>
  <r>
    <n v="1.2000000000000002"/>
  </r>
  <r>
    <n v="0.79999999999999982"/>
  </r>
  <r>
    <n v="4.6999999999999993"/>
  </r>
  <r>
    <n v="0.70000000000000018"/>
  </r>
  <r>
    <n v="0.40000000000000036"/>
  </r>
  <r>
    <n v="0.59999999999999964"/>
  </r>
  <r>
    <n v="0.5"/>
  </r>
  <r>
    <n v="0.80000000000000071"/>
  </r>
  <r>
    <n v="0.70000000000000018"/>
  </r>
  <r>
    <n v="0.69999999999999929"/>
  </r>
  <r>
    <n v="0.39999999999999947"/>
  </r>
  <r>
    <n v="0.89999999999999947"/>
  </r>
  <r>
    <n v="0.99999999999999911"/>
  </r>
  <r>
    <n v="1"/>
  </r>
  <r>
    <n v="1.1000000000000005"/>
  </r>
  <r>
    <n v="0.80000000000000071"/>
  </r>
  <r>
    <n v="0.5"/>
  </r>
  <r>
    <n v="0.70000000000000018"/>
  </r>
  <r>
    <n v="0.80000000000000071"/>
  </r>
  <r>
    <n v="0.69999999999999929"/>
  </r>
  <r>
    <n v="0.59999999999999964"/>
  </r>
  <r>
    <n v="1"/>
  </r>
  <r>
    <n v="0.59999999999999964"/>
  </r>
  <r>
    <n v="1"/>
  </r>
  <r>
    <n v="1.1000000000000005"/>
  </r>
  <r>
    <n v="0.70000000000000018"/>
  </r>
  <r>
    <n v="0.70000000000000018"/>
  </r>
  <r>
    <n v="0.5"/>
  </r>
  <r>
    <n v="9.9999999999999645E-2"/>
  </r>
  <r>
    <n v="0.89999999999999947"/>
  </r>
  <r>
    <n v="0.70000000000000018"/>
  </r>
  <r>
    <n v="0.30000000000000071"/>
  </r>
  <r>
    <n v="0.59999999999999964"/>
  </r>
  <r>
    <n v="0.5"/>
  </r>
  <r>
    <n v="1.5999999999999996"/>
  </r>
  <r>
    <n v="0.40000000000000036"/>
  </r>
  <r>
    <n v="0.5"/>
  </r>
  <r>
    <n v="0.70000000000000018"/>
  </r>
  <r>
    <n v="0.70000000000000018"/>
  </r>
  <r>
    <n v="0.70000000000000018"/>
  </r>
  <r>
    <n v="0.70000000000000018"/>
  </r>
  <r>
    <n v="0.70000000000000018"/>
  </r>
  <r>
    <n v="0.5"/>
  </r>
  <r>
    <n v="0.79999999999999893"/>
  </r>
  <r>
    <n v="0.30000000000000071"/>
  </r>
  <r>
    <n v="0.20000000000000018"/>
  </r>
  <r>
    <n v="0.40000000000000036"/>
  </r>
  <r>
    <n v="0.39999999999999947"/>
  </r>
  <r>
    <n v="0.29999999999999982"/>
  </r>
  <r>
    <n v="0.49999999999999911"/>
  </r>
  <r>
    <n v="0.30000000000000071"/>
  </r>
  <r>
    <n v="0.5"/>
  </r>
  <r>
    <n v="0.70000000000000018"/>
  </r>
  <r>
    <n v="0.29999999999999893"/>
  </r>
  <r>
    <n v="0.19999999999999929"/>
  </r>
  <r>
    <n v="0.40000000000000036"/>
  </r>
  <r>
    <n v="0.29999999999999893"/>
  </r>
  <r>
    <n v="0.29999999999999982"/>
  </r>
  <r>
    <n v="1.1999999999999993"/>
  </r>
  <r>
    <n v="0.29999999999999982"/>
  </r>
  <r>
    <n v="0.39999999999999947"/>
  </r>
  <r>
    <n v="0.40000000000000036"/>
  </r>
  <r>
    <n v="0.60000000000000053"/>
  </r>
  <r>
    <n v="0.59999999999999964"/>
  </r>
  <r>
    <n v="0.5"/>
  </r>
  <r>
    <n v="0.60000000000000053"/>
  </r>
  <r>
    <n v="0.79999999999999893"/>
  </r>
  <r>
    <n v="0.59999999999999964"/>
  </r>
  <r>
    <n v="0.59999999999999964"/>
  </r>
  <r>
    <n v="0.39999999999999947"/>
  </r>
  <r>
    <n v="0.60000000000000053"/>
  </r>
  <r>
    <n v="0.70000000000000018"/>
  </r>
  <r>
    <n v="1.2000000000000011"/>
  </r>
  <r>
    <n v="0.49999999999999911"/>
  </r>
  <r>
    <n v="0.89999999999999947"/>
  </r>
  <r>
    <n v="0.89999999999999947"/>
  </r>
  <r>
    <n v="0.99999999999999911"/>
  </r>
  <r>
    <n v="0.99999999999999911"/>
  </r>
  <r>
    <n v="1.1000000000000005"/>
  </r>
  <r>
    <n v="0.60000000000000053"/>
  </r>
  <r>
    <n v="0.70000000000000018"/>
  </r>
  <r>
    <n v="0.79999999999999982"/>
  </r>
  <r>
    <n v="0.70000000000000018"/>
  </r>
  <r>
    <n v="0.79999999999999982"/>
  </r>
  <r>
    <n v="1.2999999999999998"/>
  </r>
  <r>
    <n v="0.79999999999999982"/>
  </r>
  <r>
    <n v="1.0000000000000009"/>
  </r>
  <r>
    <n v="0.70000000000000018"/>
  </r>
  <r>
    <n v="0.59999999999999964"/>
  </r>
  <r>
    <n v="0.59999999999999964"/>
  </r>
  <r>
    <n v="0.59999999999999964"/>
  </r>
  <r>
    <n v="0.70000000000000018"/>
  </r>
  <r>
    <n v="0.5"/>
  </r>
  <r>
    <n v="1.0000000000000009"/>
  </r>
  <r>
    <n v="0.59999999999999964"/>
  </r>
  <r>
    <n v="1.4000000000000004"/>
  </r>
  <r>
    <n v="0.60000000000000053"/>
  </r>
  <r>
    <n v="1.0999999999999996"/>
  </r>
  <r>
    <n v="0.99999999999999911"/>
  </r>
  <r>
    <n v="0.79999999999999982"/>
  </r>
  <r>
    <n v="0.79999999999999982"/>
  </r>
  <r>
    <n v="0.80000000000000071"/>
  </r>
  <r>
    <n v="1.2000000000000011"/>
  </r>
  <r>
    <n v="1.1000000000000005"/>
  </r>
  <r>
    <n v="1.0999999999999996"/>
  </r>
  <r>
    <n v="0.70000000000000018"/>
  </r>
  <r>
    <n v="0.89999999999999947"/>
  </r>
  <r>
    <n v="0.90000000000000036"/>
  </r>
  <r>
    <n v="1.1000000000000005"/>
  </r>
  <r>
    <n v="1.1000000000000005"/>
  </r>
  <r>
    <n v="0.79999999999999893"/>
  </r>
  <r>
    <n v="1"/>
  </r>
  <r>
    <n v="0.5"/>
  </r>
  <r>
    <n v="0.90000000000000036"/>
  </r>
  <r>
    <n v="0.69999999999999929"/>
  </r>
  <r>
    <n v="0.59999999999999964"/>
  </r>
  <r>
    <n v="1.0000000000000009"/>
  </r>
  <r>
    <n v="0.59999999999999964"/>
  </r>
  <r>
    <n v="0.69999999999999929"/>
  </r>
  <r>
    <n v="0.59999999999999964"/>
  </r>
  <r>
    <n v="0.69999999999999929"/>
  </r>
  <r>
    <n v="0.70000000000000018"/>
  </r>
  <r>
    <n v="1.4000000000000004"/>
  </r>
  <r>
    <n v="0.5"/>
  </r>
  <r>
    <n v="1.0999999999999996"/>
  </r>
  <r>
    <n v="0.99999999999999911"/>
  </r>
  <r>
    <n v="0.89999999999999947"/>
  </r>
  <r>
    <n v="0.79999999999999893"/>
  </r>
  <r>
    <n v="0.69999999999999929"/>
  </r>
  <r>
    <n v="0.59999999999999964"/>
  </r>
  <r>
    <n v="0.79999999999999982"/>
  </r>
  <r>
    <n v="0.69999999999999929"/>
  </r>
  <r>
    <n v="1.0000000000000009"/>
  </r>
  <r>
    <n v="0.70000000000000018"/>
  </r>
  <r>
    <n v="0.20000000000000018"/>
  </r>
  <r>
    <n v="0.90000000000000036"/>
  </r>
  <r>
    <n v="0"/>
  </r>
  <r>
    <n v="0.20000000000000018"/>
  </r>
  <r>
    <n v="0.20000000000000018"/>
  </r>
  <r>
    <n v="0.40000000000000036"/>
  </r>
  <r>
    <n v="0.70000000000000018"/>
  </r>
  <r>
    <n v="1.4000000000000004"/>
  </r>
  <r>
    <n v="0.99999999999999911"/>
  </r>
  <r>
    <n v="1.4000000000000004"/>
  </r>
  <r>
    <n v="0.89999999999999947"/>
  </r>
  <r>
    <n v="1.5"/>
  </r>
  <r>
    <n v="9.9999999999999645E-2"/>
  </r>
  <r>
    <n v="0.89999999999999947"/>
  </r>
  <r>
    <n v="0.80000000000000071"/>
  </r>
  <r>
    <n v="0.60000000000000053"/>
  </r>
  <r>
    <n v="0.59999999999999964"/>
  </r>
  <r>
    <n v="1"/>
  </r>
  <r>
    <n v="0.5"/>
  </r>
  <r>
    <n v="0.29999999999999982"/>
  </r>
  <r>
    <n v="0.19999999999999929"/>
  </r>
  <r>
    <n v="2.1000000000000005"/>
  </r>
  <r>
    <n v="1.1000000000000005"/>
  </r>
  <r>
    <n v="1.3000000000000007"/>
  </r>
  <r>
    <n v="0.5"/>
  </r>
  <r>
    <n v="1.0000000000000009"/>
  </r>
  <r>
    <n v="1.2000000000000011"/>
  </r>
  <r>
    <n v="0.59999999999999964"/>
  </r>
  <r>
    <n v="0.79999999999999893"/>
  </r>
  <r>
    <n v="1.3999999999999995"/>
  </r>
  <r>
    <n v="1.0999999999999996"/>
  </r>
  <r>
    <n v="1.1000000000000005"/>
  </r>
  <r>
    <n v="1.2999999999999989"/>
  </r>
  <r>
    <n v="2.1000000000000005"/>
  </r>
  <r>
    <n v="1.2000000000000002"/>
  </r>
  <r>
    <n v="1"/>
  </r>
  <r>
    <n v="0.99999999999999911"/>
  </r>
  <r>
    <n v="0.79999999999999893"/>
  </r>
  <r>
    <n v="1.0999999999999996"/>
  </r>
  <r>
    <n v="0.90000000000000036"/>
  </r>
  <r>
    <n v="0.59999999999999964"/>
  </r>
  <r>
    <n v="0.80000000000000071"/>
  </r>
  <r>
    <n v="1.4000000000000004"/>
  </r>
  <r>
    <n v="0.70000000000000018"/>
  </r>
  <r>
    <n v="1.5000000000000009"/>
  </r>
  <r>
    <n v="1.5000000000000009"/>
  </r>
  <r>
    <n v="0.69999999999999929"/>
  </r>
  <r>
    <n v="1.8000000000000007"/>
  </r>
  <r>
    <n v="1.4000000000000004"/>
  </r>
  <r>
    <n v="0.79999999999999893"/>
  </r>
  <r>
    <n v="1.7999999999999998"/>
  </r>
  <r>
    <n v="1.2999999999999989"/>
  </r>
  <r>
    <n v="0.60000000000000053"/>
  </r>
  <r>
    <n v="0.40000000000000036"/>
  </r>
  <r>
    <n v="1.6000000000000005"/>
  </r>
  <r>
    <n v="1.5"/>
  </r>
  <r>
    <n v="0.89999999999999947"/>
  </r>
  <r>
    <n v="1.1000000000000005"/>
  </r>
  <r>
    <n v="1.8000000000000007"/>
  </r>
  <r>
    <n v="1.1999999999999993"/>
  </r>
  <r>
    <n v="1.1999999999999993"/>
  </r>
  <r>
    <n v="0.59999999999999964"/>
  </r>
  <r>
    <n v="0.89999999999999947"/>
  </r>
  <r>
    <n v="0.90000000000000036"/>
  </r>
  <r>
    <n v="0.70000000000000018"/>
  </r>
  <r>
    <n v="0.90000000000000036"/>
  </r>
  <r>
    <n v="1"/>
  </r>
  <r>
    <n v="0.79999999999999982"/>
  </r>
  <r>
    <n v="1.5"/>
  </r>
  <r>
    <n v="1.3999999999999995"/>
  </r>
  <r>
    <n v="1"/>
  </r>
  <r>
    <n v="1.2999999999999998"/>
  </r>
  <r>
    <n v="1.4999999999999991"/>
  </r>
  <r>
    <n v="0.5"/>
  </r>
  <r>
    <n v="0.90000000000000036"/>
  </r>
  <r>
    <n v="0.69999999999999929"/>
  </r>
  <r>
    <n v="0.60000000000000053"/>
  </r>
  <r>
    <n v="0.20000000000000018"/>
  </r>
  <r>
    <n v="0.5"/>
  </r>
  <r>
    <n v="0.39999999999999947"/>
  </r>
  <r>
    <n v="0.29999999999999982"/>
  </r>
  <r>
    <n v="0.19999999999999929"/>
  </r>
  <r>
    <n v="0.69999999999999929"/>
  </r>
  <r>
    <n v="0.90000000000000036"/>
  </r>
  <r>
    <n v="0.89999999999999947"/>
  </r>
  <r>
    <n v="0.59999999999999964"/>
  </r>
  <r>
    <n v="1"/>
  </r>
  <r>
    <n v="0.70000000000000018"/>
  </r>
  <r>
    <n v="0.79999999999999982"/>
  </r>
  <r>
    <n v="0.89999999999999947"/>
  </r>
  <r>
    <n v="0.70000000000000018"/>
  </r>
  <r>
    <n v="1"/>
  </r>
  <r>
    <n v="0.5"/>
  </r>
  <r>
    <n v="0.70000000000000018"/>
  </r>
  <r>
    <n v="1"/>
  </r>
  <r>
    <n v="1.2000000000000002"/>
  </r>
  <r>
    <n v="0.90000000000000036"/>
  </r>
  <r>
    <n v="0.29999999999999982"/>
  </r>
  <r>
    <n v="0.60000000000000053"/>
  </r>
  <r>
    <n v="0.70000000000000018"/>
  </r>
  <r>
    <n v="0.80000000000000071"/>
  </r>
  <r>
    <n v="0.79999999999999982"/>
  </r>
  <r>
    <n v="9.9999999999999645E-2"/>
  </r>
  <r>
    <n v="0.29999999999999982"/>
  </r>
  <r>
    <n v="0.59999999999999964"/>
  </r>
  <r>
    <n v="0.79999999999999982"/>
  </r>
  <r>
    <n v="0.70000000000000018"/>
  </r>
  <r>
    <n v="1.0999999999999996"/>
  </r>
  <r>
    <n v="0.79999999999999982"/>
  </r>
  <r>
    <n v="0.70000000000000018"/>
  </r>
  <r>
    <n v="1.2000000000000002"/>
  </r>
  <r>
    <n v="0.80000000000000071"/>
  </r>
  <r>
    <n v="0.69999999999999929"/>
  </r>
  <r>
    <n v="0.40000000000000036"/>
  </r>
  <r>
    <n v="1"/>
  </r>
  <r>
    <n v="0.29999999999999982"/>
  </r>
  <r>
    <n v="0.89999999999999947"/>
  </r>
  <r>
    <n v="1.2000000000000011"/>
  </r>
  <r>
    <n v="0.59999999999999964"/>
  </r>
  <r>
    <n v="0.89999999999999947"/>
  </r>
  <r>
    <n v="1.6000000000000005"/>
  </r>
  <r>
    <n v="1.4000000000000004"/>
  </r>
  <r>
    <n v="2.4000000000000004"/>
  </r>
  <r>
    <n v="1.4000000000000004"/>
  </r>
  <r>
    <n v="0.60000000000000053"/>
  </r>
  <r>
    <n v="0.80000000000000071"/>
  </r>
  <r>
    <n v="0.79999999999999982"/>
  </r>
  <r>
    <n v="0.80000000000000071"/>
  </r>
  <r>
    <n v="0.80000000000000071"/>
  </r>
  <r>
    <n v="0.70000000000000018"/>
  </r>
  <r>
    <n v="0.90000000000000036"/>
  </r>
  <r>
    <n v="0"/>
  </r>
  <r>
    <n v="0.20000000000000018"/>
  </r>
  <r>
    <n v="0.60000000000000053"/>
  </r>
  <r>
    <n v="0.69999999999999929"/>
  </r>
  <r>
    <n v="0.60000000000000053"/>
  </r>
  <r>
    <n v="0.20000000000000018"/>
  </r>
  <r>
    <n v="0.40000000000000036"/>
  </r>
  <r>
    <n v="0.29999999999999982"/>
  </r>
  <r>
    <n v="0.10000000000000053"/>
  </r>
  <r>
    <n v="0.40000000000000036"/>
  </r>
  <r>
    <n v="0.69999999999999929"/>
  </r>
  <r>
    <n v="1.8000000000000007"/>
  </r>
  <r>
    <n v="1.9999999999999991"/>
  </r>
  <r>
    <n v="1"/>
  </r>
  <r>
    <n v="1.5"/>
  </r>
  <r>
    <n v="0.59999999999999964"/>
  </r>
  <r>
    <n v="0.90000000000000036"/>
  </r>
  <r>
    <n v="1.9000000000000004"/>
  </r>
  <r>
    <n v="0.70000000000000018"/>
  </r>
  <r>
    <n v="1"/>
  </r>
  <r>
    <n v="1.5999999999999996"/>
  </r>
  <r>
    <n v="1.7999999999999998"/>
  </r>
  <r>
    <n v="2.1999999999999993"/>
  </r>
  <r>
    <n v="1.8000000000000007"/>
  </r>
  <r>
    <n v="1.5999999999999996"/>
  </r>
  <r>
    <n v="0.70000000000000018"/>
  </r>
  <r>
    <n v="0.90000000000000036"/>
  </r>
  <r>
    <n v="0.59999999999999964"/>
  </r>
  <r>
    <n v="0.79999999999999982"/>
  </r>
  <r>
    <n v="1.4000000000000004"/>
  </r>
  <r>
    <n v="0.70000000000000018"/>
  </r>
  <r>
    <n v="1.1000000000000005"/>
  </r>
  <r>
    <n v="0.80000000000000071"/>
  </r>
  <r>
    <n v="0.5"/>
  </r>
  <r>
    <n v="0.79999999999999982"/>
  </r>
  <r>
    <n v="2.5"/>
  </r>
  <r>
    <n v="0.70000000000000018"/>
  </r>
  <r>
    <n v="0.40000000000000036"/>
  </r>
  <r>
    <n v="0.29999999999999982"/>
  </r>
  <r>
    <n v="0.39999999999999947"/>
  </r>
  <r>
    <n v="0.69999999999999929"/>
  </r>
  <r>
    <n v="0.30000000000000071"/>
  </r>
  <r>
    <n v="0.5"/>
  </r>
  <r>
    <n v="1.1000000000000005"/>
  </r>
  <r>
    <n v="1.0000000000000009"/>
  </r>
  <r>
    <n v="1.7000000000000002"/>
  </r>
  <r>
    <n v="1.3999999999999995"/>
  </r>
  <r>
    <n v="1.1000000000000005"/>
  </r>
  <r>
    <n v="1.2999999999999998"/>
  </r>
  <r>
    <n v="1.1000000000000005"/>
  </r>
  <r>
    <n v="0.70000000000000018"/>
  </r>
  <r>
    <n v="1.2000000000000002"/>
  </r>
  <r>
    <n v="0.89999999999999947"/>
  </r>
  <r>
    <n v="0.80000000000000071"/>
  </r>
  <r>
    <n v="2.5"/>
  </r>
  <r>
    <n v="1.5999999999999996"/>
  </r>
  <r>
    <n v="1"/>
  </r>
  <r>
    <n v="0.59999999999999964"/>
  </r>
  <r>
    <n v="1"/>
  </r>
  <r>
    <n v="1.9000000000000004"/>
  </r>
  <r>
    <n v="0.70000000000000018"/>
  </r>
  <r>
    <n v="0.89999999999999947"/>
  </r>
  <r>
    <n v="1.2000000000000002"/>
  </r>
  <r>
    <n v="1.1000000000000005"/>
  </r>
  <r>
    <n v="2.5999999999999996"/>
  </r>
  <r>
    <n v="1.3999999999999995"/>
  </r>
  <r>
    <n v="1.7999999999999998"/>
  </r>
  <r>
    <n v="1.0999999999999996"/>
  </r>
  <r>
    <n v="1.2000000000000002"/>
  </r>
  <r>
    <n v="1.5"/>
  </r>
  <r>
    <n v="1"/>
  </r>
  <r>
    <n v="0.99999999999999911"/>
  </r>
  <r>
    <n v="0.90000000000000036"/>
  </r>
  <r>
    <n v="1.6999999999999993"/>
  </r>
  <r>
    <n v="1.7000000000000002"/>
  </r>
  <r>
    <n v="1.2000000000000002"/>
  </r>
  <r>
    <n v="1.5"/>
  </r>
  <r>
    <n v="0.20000000000000018"/>
  </r>
  <r>
    <n v="0.20000000000000018"/>
  </r>
  <r>
    <n v="0.79999999999999982"/>
  </r>
  <r>
    <n v="0.60000000000000053"/>
  </r>
  <r>
    <n v="0.5"/>
  </r>
  <r>
    <n v="1"/>
  </r>
  <r>
    <n v="0.99999999999999911"/>
  </r>
  <r>
    <n v="1.0999999999999996"/>
  </r>
  <r>
    <n v="0.59999999999999964"/>
  </r>
  <r>
    <n v="1"/>
  </r>
  <r>
    <n v="2"/>
  </r>
  <r>
    <n v="0.89999999999999947"/>
  </r>
  <r>
    <n v="1.2999999999999998"/>
  </r>
  <r>
    <n v="0.89999999999999947"/>
  </r>
  <r>
    <n v="1.2999999999999998"/>
  </r>
  <r>
    <n v="0.59999999999999964"/>
  </r>
  <r>
    <n v="0.60000000000000053"/>
  </r>
  <r>
    <n v="1.5"/>
  </r>
  <r>
    <n v="1.6000000000000005"/>
  </r>
  <r>
    <n v="0.69999999999999929"/>
  </r>
  <r>
    <n v="0.39999999999999947"/>
  </r>
  <r>
    <n v="0.40000000000000036"/>
  </r>
  <r>
    <n v="0.79999999999999982"/>
  </r>
  <r>
    <n v="0.59999999999999964"/>
  </r>
  <r>
    <n v="0.5"/>
  </r>
  <r>
    <n v="0.39999999999999991"/>
  </r>
  <r>
    <n v="0.29999999999999982"/>
  </r>
  <r>
    <n v="0.69999999999999973"/>
  </r>
  <r>
    <n v="3.0999999999999996"/>
  </r>
  <r>
    <n v="0.30000000000000071"/>
  </r>
  <r>
    <n v="2.0999999999999996"/>
  </r>
  <r>
    <n v="0.39999999999999947"/>
  </r>
  <r>
    <n v="1.2999999999999998"/>
  </r>
  <r>
    <n v="0.79999999999999982"/>
  </r>
  <r>
    <n v="0.79999999999999982"/>
  </r>
  <r>
    <n v="0.70000000000000018"/>
  </r>
  <r>
    <n v="0.70000000000000018"/>
  </r>
  <r>
    <n v="1"/>
  </r>
  <r>
    <n v="0.90000000000000036"/>
  </r>
  <r>
    <n v="0.79999999999999982"/>
  </r>
  <r>
    <n v="0.40000000000000036"/>
  </r>
  <r>
    <n v="0.80000000000000071"/>
  </r>
  <r>
    <n v="0.70000000000000018"/>
  </r>
  <r>
    <n v="0.79999999999999982"/>
  </r>
  <r>
    <n v="1.7000000000000002"/>
  </r>
  <r>
    <n v="0.79999999999999982"/>
  </r>
  <r>
    <n v="0.60000000000000053"/>
  </r>
  <r>
    <n v="0.20000000000000018"/>
  </r>
  <r>
    <n v="1.0999999999999996"/>
  </r>
  <r>
    <n v="0.39999999999999947"/>
  </r>
  <r>
    <n v="0.5"/>
  </r>
  <r>
    <n v="0.59999999999999964"/>
  </r>
  <r>
    <n v="0.90000000000000036"/>
  </r>
  <r>
    <n v="0.79999999999999982"/>
  </r>
  <r>
    <n v="0.39999999999999947"/>
  </r>
  <r>
    <n v="0.59999999999999964"/>
  </r>
  <r>
    <n v="0.70000000000000018"/>
  </r>
  <r>
    <n v="0.40000000000000036"/>
  </r>
  <r>
    <n v="0.40000000000000036"/>
  </r>
  <r>
    <n v="0.70000000000000018"/>
  </r>
  <r>
    <n v="0.90000000000000036"/>
  </r>
  <r>
    <n v="0.80000000000000071"/>
  </r>
  <r>
    <n v="0.70000000000000018"/>
  </r>
  <r>
    <n v="0.79999999999999982"/>
  </r>
  <r>
    <n v="0.80000000000000071"/>
  </r>
  <r>
    <n v="0.70000000000000018"/>
  </r>
  <r>
    <n v="0.70000000000000018"/>
  </r>
  <r>
    <n v="0.79999999999999982"/>
  </r>
  <r>
    <n v="0.59999999999999964"/>
  </r>
  <r>
    <n v="0.70000000000000018"/>
  </r>
  <r>
    <n v="0.79999999999999982"/>
  </r>
  <r>
    <n v="0.70000000000000018"/>
  </r>
  <r>
    <n v="1"/>
  </r>
  <r>
    <n v="0.40000000000000036"/>
  </r>
  <r>
    <n v="0.69999999999999929"/>
  </r>
  <r>
    <n v="0.89999999999999947"/>
  </r>
  <r>
    <n v="0.70000000000000018"/>
  </r>
  <r>
    <n v="0.70000000000000018"/>
  </r>
  <r>
    <n v="0.70000000000000018"/>
  </r>
  <r>
    <n v="0.70000000000000018"/>
  </r>
  <r>
    <n v="0.60000000000000053"/>
  </r>
  <r>
    <n v="0.29999999999999982"/>
  </r>
  <r>
    <n v="0.59999999999999964"/>
  </r>
  <r>
    <n v="0.59999999999999964"/>
  </r>
  <r>
    <n v="0.39999999999999947"/>
  </r>
  <r>
    <n v="0.40000000000000036"/>
  </r>
  <r>
    <n v="0.79999999999999982"/>
  </r>
  <r>
    <n v="0.29999999999999982"/>
  </r>
  <r>
    <n v="0.69999999999999929"/>
  </r>
  <r>
    <n v="0.79999999999999982"/>
  </r>
  <r>
    <n v="0.79999999999999982"/>
  </r>
  <r>
    <n v="0.70000000000000018"/>
  </r>
  <r>
    <n v="0.59999999999999964"/>
  </r>
  <r>
    <n v="1.0999999999999996"/>
  </r>
  <r>
    <n v="1"/>
  </r>
  <r>
    <n v="0.69999999999999929"/>
  </r>
  <r>
    <n v="0.80000000000000071"/>
  </r>
  <r>
    <n v="0.80000000000000071"/>
  </r>
  <r>
    <n v="1"/>
  </r>
  <r>
    <n v="0.40000000000000036"/>
  </r>
  <r>
    <n v="0.5"/>
  </r>
  <r>
    <n v="2.4000000000000004"/>
  </r>
  <r>
    <n v="2"/>
  </r>
  <r>
    <n v="0.70000000000000018"/>
  </r>
  <r>
    <n v="1.0999999999999996"/>
  </r>
  <r>
    <n v="0.59999999999999964"/>
  </r>
  <r>
    <n v="0.70000000000000018"/>
  </r>
  <r>
    <n v="0.59999999999999964"/>
  </r>
  <r>
    <n v="0.59999999999999964"/>
  </r>
  <r>
    <n v="0.59999999999999964"/>
  </r>
  <r>
    <n v="0.90000000000000036"/>
  </r>
  <r>
    <n v="0.29999999999999893"/>
  </r>
  <r>
    <n v="0.59999999999999964"/>
  </r>
  <r>
    <n v="0.40000000000000036"/>
  </r>
  <r>
    <n v="0"/>
  </r>
  <r>
    <n v="1.3000000000000007"/>
  </r>
  <r>
    <n v="0.30000000000000071"/>
  </r>
  <r>
    <n v="1"/>
  </r>
  <r>
    <n v="0.79999999999999893"/>
  </r>
  <r>
    <n v="1.5"/>
  </r>
  <r>
    <n v="0.40000000000000036"/>
  </r>
  <r>
    <n v="1.2999999999999989"/>
  </r>
  <r>
    <n v="0.69999999999999929"/>
  </r>
  <r>
    <n v="0.5"/>
  </r>
  <r>
    <n v="0.60000000000000053"/>
  </r>
  <r>
    <n v="0.29999999999999982"/>
  </r>
  <r>
    <n v="0.19999999999999929"/>
  </r>
  <r>
    <n v="0.80000000000000071"/>
  </r>
  <r>
    <n v="0.99999999999999911"/>
  </r>
  <r>
    <n v="1"/>
  </r>
  <r>
    <n v="1.3000000000000007"/>
  </r>
  <r>
    <n v="0.79999999999999893"/>
  </r>
  <r>
    <n v="0"/>
  </r>
  <r>
    <n v="0.90000000000000036"/>
  </r>
  <r>
    <n v="0.79999999999999982"/>
  </r>
  <r>
    <n v="0.60000000000000053"/>
  </r>
  <r>
    <n v="0.79999999999999893"/>
  </r>
  <r>
    <n v="0.79999999999999982"/>
  </r>
  <r>
    <n v="0"/>
  </r>
  <r>
    <n v="0.90000000000000036"/>
  </r>
  <r>
    <n v="1.0999999999999996"/>
  </r>
  <r>
    <n v="0.79999999999999982"/>
  </r>
  <r>
    <n v="0.29999999999999982"/>
  </r>
  <r>
    <n v="1.2000000000000011"/>
  </r>
  <r>
    <n v="1.3000000000000007"/>
  </r>
  <r>
    <n v="1.0999999999999996"/>
  </r>
  <r>
    <n v="0.60000000000000053"/>
  </r>
  <r>
    <n v="0.70000000000000018"/>
  </r>
  <r>
    <n v="0.20000000000000018"/>
  </r>
  <r>
    <n v="0.59999999999999964"/>
  </r>
  <r>
    <n v="0.79999999999999982"/>
  </r>
  <r>
    <n v="0.70000000000000018"/>
  </r>
  <r>
    <n v="1.2000000000000002"/>
  </r>
  <r>
    <n v="1.2000000000000002"/>
  </r>
  <r>
    <n v="1.0999999999999996"/>
  </r>
  <r>
    <n v="0.99999999999999911"/>
  </r>
  <r>
    <n v="0.69999999999999929"/>
  </r>
  <r>
    <n v="1"/>
  </r>
  <r>
    <n v="0.70000000000000018"/>
  </r>
  <r>
    <n v="0.70000000000000018"/>
  </r>
  <r>
    <n v="0.60000000000000053"/>
  </r>
  <r>
    <n v="0.90000000000000036"/>
  </r>
  <r>
    <n v="0.89999999999999947"/>
  </r>
  <r>
    <n v="0.69999999999999929"/>
  </r>
  <r>
    <n v="0.90000000000000036"/>
  </r>
  <r>
    <n v="0.79999999999999982"/>
  </r>
  <r>
    <n v="0.70000000000000018"/>
  </r>
  <r>
    <n v="0.89999999999999947"/>
  </r>
  <r>
    <n v="1.0999999999999996"/>
  </r>
  <r>
    <n v="0.59999999999999964"/>
  </r>
  <r>
    <n v="0.70000000000000018"/>
  </r>
  <r>
    <n v="0.40000000000000036"/>
  </r>
  <r>
    <n v="0.89999999999999947"/>
  </r>
  <r>
    <n v="0.79999999999999982"/>
  </r>
  <r>
    <n v="0.80000000000000071"/>
  </r>
  <r>
    <n v="1"/>
  </r>
  <r>
    <n v="0.69999999999999929"/>
  </r>
  <r>
    <n v="0.89999999999999947"/>
  </r>
  <r>
    <n v="0.80000000000000071"/>
  </r>
  <r>
    <n v="0.80000000000000071"/>
  </r>
  <r>
    <n v="1.0999999999999996"/>
  </r>
  <r>
    <n v="0.90000000000000036"/>
  </r>
  <r>
    <n v="0.80000000000000071"/>
  </r>
  <r>
    <n v="1.0999999999999996"/>
  </r>
  <r>
    <n v="0.5"/>
  </r>
  <r>
    <n v="0.89999999999999947"/>
  </r>
  <r>
    <n v="1.2000000000000002"/>
  </r>
  <r>
    <n v="1"/>
  </r>
  <r>
    <n v="0.60000000000000053"/>
  </r>
  <r>
    <n v="0.89999999999999947"/>
  </r>
  <r>
    <n v="0.79999999999999982"/>
  </r>
  <r>
    <n v="0.70000000000000018"/>
  </r>
  <r>
    <n v="0.90000000000000036"/>
  </r>
  <r>
    <n v="0.90000000000000036"/>
  </r>
  <r>
    <n v="0"/>
  </r>
  <r>
    <n v="0.40000000000000036"/>
  </r>
  <r>
    <n v="0.40000000000000036"/>
  </r>
  <r>
    <n v="0.79999999999999893"/>
  </r>
  <r>
    <n v="0.79999999999999982"/>
  </r>
  <r>
    <n v="0.59999999999999964"/>
  </r>
  <r>
    <n v="1"/>
  </r>
  <r>
    <n v="0.59999999999999964"/>
  </r>
  <r>
    <n v="0.89999999999999947"/>
  </r>
  <r>
    <n v="0.79999999999999982"/>
  </r>
  <r>
    <n v="0.59999999999999964"/>
  </r>
  <r>
    <n v="1"/>
  </r>
  <r>
    <n v="1.5"/>
  </r>
  <r>
    <n v="0.79999999999999982"/>
  </r>
  <r>
    <n v="0.59999999999999964"/>
  </r>
  <r>
    <n v="0.79999999999999982"/>
  </r>
  <r>
    <n v="1.1000000000000005"/>
  </r>
  <r>
    <n v="0.89999999999999947"/>
  </r>
  <r>
    <n v="1"/>
  </r>
  <r>
    <n v="1.2999999999999998"/>
  </r>
  <r>
    <n v="1.5999999999999996"/>
  </r>
  <r>
    <n v="1.7000000000000002"/>
  </r>
  <r>
    <n v="1.7000000000000002"/>
  </r>
  <r>
    <n v="1.7999999999999998"/>
  </r>
  <r>
    <n v="1.4000000000000004"/>
  </r>
  <r>
    <n v="1.6000000000000005"/>
  </r>
  <r>
    <n v="0"/>
  </r>
  <r>
    <n v="0"/>
  </r>
  <r>
    <n v="0"/>
  </r>
  <r>
    <n v="0.59999999999999964"/>
  </r>
  <r>
    <n v="0.60000000000000053"/>
  </r>
  <r>
    <n v="0.5"/>
  </r>
  <r>
    <n v="1.5000000000000009"/>
  </r>
  <r>
    <n v="0.40000000000000036"/>
  </r>
  <r>
    <n v="0"/>
  </r>
  <r>
    <n v="1.7000000000000002"/>
  </r>
  <r>
    <n v="1"/>
  </r>
  <r>
    <n v="0.60000000000000053"/>
  </r>
  <r>
    <n v="0"/>
  </r>
  <r>
    <n v="0.60000000000000053"/>
  </r>
  <r>
    <n v="0"/>
  </r>
  <r>
    <n v="0"/>
  </r>
  <r>
    <n v="9.9999999999999645E-2"/>
  </r>
  <r>
    <n v="0.50000000000000089"/>
  </r>
  <r>
    <n v="0.40000000000000036"/>
  </r>
  <r>
    <n v="0.60000000000000053"/>
  </r>
  <r>
    <n v="0.70000000000000018"/>
  </r>
  <r>
    <n v="0.90000000000000036"/>
  </r>
  <r>
    <n v="1.3000000000000007"/>
  </r>
  <r>
    <n v="0.99999999999999911"/>
  </r>
  <r>
    <n v="1.3000000000000007"/>
  </r>
  <r>
    <n v="0.29999999999999982"/>
  </r>
  <r>
    <n v="0.70000000000000018"/>
  </r>
  <r>
    <n v="0.19999999999999929"/>
  </r>
  <r>
    <n v="0.70000000000000018"/>
  </r>
  <r>
    <n v="0.29999999999999982"/>
  </r>
  <r>
    <n v="1.7000000000000002"/>
  </r>
  <r>
    <n v="1.0999999999999996"/>
  </r>
  <r>
    <n v="0.70000000000000018"/>
  </r>
  <r>
    <n v="0.80000000000000071"/>
  </r>
  <r>
    <n v="0.5"/>
  </r>
  <r>
    <n v="0.20000000000000018"/>
  </r>
  <r>
    <n v="0.79999999999999982"/>
  </r>
  <r>
    <n v="0.39999999999999947"/>
  </r>
  <r>
    <n v="0.40000000000000036"/>
  </r>
  <r>
    <n v="0.29999999999999982"/>
  </r>
  <r>
    <n v="1.2999999999999998"/>
  </r>
  <r>
    <n v="1.5000000000000009"/>
  </r>
  <r>
    <n v="1.7999999999999998"/>
  </r>
  <r>
    <n v="1.3999999999999995"/>
  </r>
  <r>
    <n v="1.2999999999999998"/>
  </r>
  <r>
    <n v="1"/>
  </r>
  <r>
    <n v="0.79999999999999982"/>
  </r>
  <r>
    <n v="0.90000000000000036"/>
  </r>
  <r>
    <n v="1.1000000000000005"/>
  </r>
  <r>
    <n v="2.2000000000000002"/>
  </r>
  <r>
    <n v="0.80000000000000071"/>
  </r>
  <r>
    <n v="1.3999999999999995"/>
  </r>
  <r>
    <n v="0.79999999999999982"/>
  </r>
  <r>
    <n v="1.3000000000000007"/>
  </r>
  <r>
    <n v="1.4000000000000004"/>
  </r>
  <r>
    <n v="1.2999999999999998"/>
  </r>
  <r>
    <n v="1.2000000000000002"/>
  </r>
  <r>
    <n v="1.2000000000000011"/>
  </r>
  <r>
    <n v="1.2000000000000002"/>
  </r>
  <r>
    <n v="1.0999999999999996"/>
  </r>
  <r>
    <n v="1.2999999999999989"/>
  </r>
  <r>
    <n v="1.2000000000000011"/>
  </r>
  <r>
    <n v="0.70000000000000018"/>
  </r>
  <r>
    <n v="2.5"/>
  </r>
  <r>
    <n v="0.60000000000000053"/>
  </r>
  <r>
    <n v="1.1000000000000005"/>
  </r>
  <r>
    <n v="0.5"/>
  </r>
  <r>
    <n v="1"/>
  </r>
  <r>
    <n v="0.89999999999999947"/>
  </r>
  <r>
    <n v="1.2999999999999989"/>
  </r>
  <r>
    <n v="1.4000000000000004"/>
  </r>
  <r>
    <n v="1.4000000000000004"/>
  </r>
  <r>
    <n v="1.2000000000000002"/>
  </r>
  <r>
    <n v="1.2999999999999998"/>
  </r>
  <r>
    <n v="0.79999999999999982"/>
  </r>
  <r>
    <n v="0.79999999999999982"/>
  </r>
  <r>
    <n v="1.3000000000000007"/>
  </r>
  <r>
    <n v="0.70000000000000018"/>
  </r>
  <r>
    <n v="0.80000000000000071"/>
  </r>
  <r>
    <n v="1.5"/>
  </r>
  <r>
    <n v="0.5"/>
  </r>
  <r>
    <n v="0.70000000000000018"/>
  </r>
  <r>
    <n v="0.70000000000000018"/>
  </r>
  <r>
    <n v="1.1000000000000005"/>
  </r>
  <r>
    <n v="1.1000000000000005"/>
  </r>
  <r>
    <n v="0.90000000000000036"/>
  </r>
  <r>
    <n v="1.1999999999999993"/>
  </r>
  <r>
    <n v="1.2000000000000002"/>
  </r>
  <r>
    <n v="1.2000000000000002"/>
  </r>
  <r>
    <n v="1.0999999999999996"/>
  </r>
  <r>
    <n v="1.2999999999999998"/>
  </r>
  <r>
    <n v="1.3999999999999995"/>
  </r>
  <r>
    <n v="1.2000000000000002"/>
  </r>
  <r>
    <n v="1.3999999999999995"/>
  </r>
  <r>
    <n v="1.2000000000000002"/>
  </r>
  <r>
    <n v="1.8000000000000007"/>
  </r>
  <r>
    <n v="1.7000000000000002"/>
  </r>
  <r>
    <n v="1.5999999999999996"/>
  </r>
  <r>
    <n v="1.7999999999999998"/>
  </r>
  <r>
    <n v="0.90000000000000036"/>
  </r>
  <r>
    <n v="1.2999999999999989"/>
  </r>
  <r>
    <n v="1.2000000000000002"/>
  </r>
  <r>
    <n v="1.0999999999999996"/>
  </r>
  <r>
    <n v="1.5"/>
  </r>
  <r>
    <n v="1.3999999999999995"/>
  </r>
  <r>
    <n v="1.4000000000000004"/>
  </r>
  <r>
    <n v="1.3000000000000007"/>
  </r>
  <r>
    <n v="1.2000000000000011"/>
  </r>
  <r>
    <n v="1.1999999999999993"/>
  </r>
  <r>
    <n v="1"/>
  </r>
  <r>
    <n v="0.59999999999999964"/>
  </r>
  <r>
    <n v="1.0999999999999996"/>
  </r>
  <r>
    <n v="1.0999999999999996"/>
  </r>
  <r>
    <n v="1.5"/>
  </r>
  <r>
    <n v="1.2999999999999989"/>
  </r>
  <r>
    <n v="1.9000000000000004"/>
  </r>
  <r>
    <n v="0.89999999999999947"/>
  </r>
  <r>
    <n v="2"/>
  </r>
  <r>
    <n v="1.0999999999999996"/>
  </r>
  <r>
    <n v="0.70000000000000018"/>
  </r>
  <r>
    <n v="1.2999999999999989"/>
  </r>
  <r>
    <n v="1.1000000000000005"/>
  </r>
  <r>
    <n v="1.7000000000000002"/>
  </r>
  <r>
    <n v="1"/>
  </r>
  <r>
    <n v="0.40000000000000036"/>
  </r>
  <r>
    <n v="1.2000000000000002"/>
  </r>
  <r>
    <n v="1.4999999999999991"/>
  </r>
  <r>
    <n v="1"/>
  </r>
  <r>
    <n v="1.2000000000000002"/>
  </r>
  <r>
    <n v="0.69999999999999929"/>
  </r>
  <r>
    <n v="0.90000000000000036"/>
  </r>
  <r>
    <n v="0.89999999999999947"/>
  </r>
  <r>
    <n v="1.5000000000000009"/>
  </r>
  <r>
    <n v="1.7000000000000002"/>
  </r>
  <r>
    <n v="1.6000000000000005"/>
  </r>
  <r>
    <n v="1.4000000000000004"/>
  </r>
  <r>
    <n v="1"/>
  </r>
  <r>
    <n v="0.80000000000000071"/>
  </r>
  <r>
    <n v="0.89999999999999947"/>
  </r>
  <r>
    <n v="0.70000000000000018"/>
  </r>
  <r>
    <n v="0.90000000000000036"/>
  </r>
  <r>
    <n v="0.70000000000000018"/>
  </r>
  <r>
    <n v="0.70000000000000018"/>
  </r>
  <r>
    <n v="0.79999999999999982"/>
  </r>
  <r>
    <n v="1.2000000000000002"/>
  </r>
  <r>
    <n v="0.60000000000000053"/>
  </r>
  <r>
    <n v="0.70000000000000018"/>
  </r>
  <r>
    <n v="0.79999999999999982"/>
  </r>
  <r>
    <n v="0.90000000000000036"/>
  </r>
  <r>
    <n v="1.0999999999999996"/>
  </r>
  <r>
    <n v="0.5"/>
  </r>
  <r>
    <n v="0.70000000000000107"/>
  </r>
  <r>
    <n v="0.5"/>
  </r>
  <r>
    <n v="0.69999999999999929"/>
  </r>
  <r>
    <n v="9.9999999999999645E-2"/>
  </r>
  <r>
    <n v="1.4000000000000004"/>
  </r>
  <r>
    <n v="0.59999999999999964"/>
  </r>
  <r>
    <n v="0.59999999999999964"/>
  </r>
  <r>
    <n v="0"/>
  </r>
  <r>
    <n v="1.2000000000000011"/>
  </r>
  <r>
    <n v="1.3000000000000007"/>
  </r>
  <r>
    <n v="1.1000000000000005"/>
  </r>
  <r>
    <n v="0.79999999999999893"/>
  </r>
  <r>
    <n v="0.99999999999999911"/>
  </r>
  <r>
    <n v="1.1000000000000005"/>
  </r>
  <r>
    <n v="1.1999999999999993"/>
  </r>
  <r>
    <n v="0.99999999999999911"/>
  </r>
  <r>
    <n v="1.0999999999999996"/>
  </r>
  <r>
    <n v="0.79999999999999982"/>
  </r>
  <r>
    <n v="1.4000000000000004"/>
  </r>
  <r>
    <n v="1.3000000000000007"/>
  </r>
  <r>
    <n v="1.4000000000000004"/>
  </r>
  <r>
    <n v="1.1000000000000005"/>
  </r>
  <r>
    <n v="1.1999999999999993"/>
  </r>
  <r>
    <n v="1.0999999999999996"/>
  </r>
  <r>
    <n v="0.60000000000000053"/>
  </r>
  <r>
    <n v="1.2999999999999998"/>
  </r>
  <r>
    <n v="1"/>
  </r>
  <r>
    <n v="1.7000000000000011"/>
  </r>
  <r>
    <n v="2.0000000000000009"/>
  </r>
  <r>
    <n v="2"/>
  </r>
  <r>
    <n v="1.9000000000000004"/>
  </r>
  <r>
    <n v="1.9000000000000004"/>
  </r>
  <r>
    <n v="1.0999999999999996"/>
  </r>
  <r>
    <n v="0"/>
  </r>
  <r>
    <n v="0.79999999999999893"/>
  </r>
  <r>
    <n v="1"/>
  </r>
  <r>
    <n v="1.3999999999999995"/>
  </r>
  <r>
    <n v="1"/>
  </r>
  <r>
    <n v="0.90000000000000036"/>
  </r>
  <r>
    <n v="1.1000000000000005"/>
  </r>
  <r>
    <n v="0.69999999999999929"/>
  </r>
  <r>
    <n v="0.69999999999999929"/>
  </r>
  <r>
    <n v="1.4999999999999991"/>
  </r>
  <r>
    <n v="1.5"/>
  </r>
  <r>
    <n v="1.1999999999999993"/>
  </r>
  <r>
    <n v="1.8000000000000007"/>
  </r>
  <r>
    <n v="0.90000000000000036"/>
  </r>
  <r>
    <n v="0.90000000000000036"/>
  </r>
  <r>
    <n v="1.3000000000000007"/>
  </r>
  <r>
    <n v="0.80000000000000071"/>
  </r>
  <r>
    <n v="0.59999999999999964"/>
  </r>
  <r>
    <n v="1.2000000000000011"/>
  </r>
  <r>
    <n v="0.5"/>
  </r>
  <r>
    <n v="9.9999999999999645E-2"/>
  </r>
  <r>
    <n v="0.90000000000000036"/>
  </r>
  <r>
    <n v="0.5"/>
  </r>
  <r>
    <n v="0.89999999999999947"/>
  </r>
  <r>
    <n v="1"/>
  </r>
  <r>
    <n v="0.60000000000000053"/>
  </r>
  <r>
    <n v="0.99999999999999911"/>
  </r>
  <r>
    <n v="0.89999999999999947"/>
  </r>
  <r>
    <n v="1.0999999999999996"/>
  </r>
  <r>
    <n v="0.70000000000000018"/>
  </r>
  <r>
    <n v="0.80000000000000071"/>
  </r>
  <r>
    <n v="0.59999999999999964"/>
  </r>
  <r>
    <n v="0"/>
  </r>
  <r>
    <n v="0.99999999999999911"/>
  </r>
  <r>
    <n v="1.0000000000000009"/>
  </r>
  <r>
    <n v="0.90000000000000036"/>
  </r>
  <r>
    <n v="1.0000000000000009"/>
  </r>
  <r>
    <n v="1.4000000000000004"/>
  </r>
  <r>
    <n v="0.90000000000000036"/>
  </r>
  <r>
    <n v="0.20000000000000107"/>
  </r>
  <r>
    <n v="0.90000000000000036"/>
  </r>
  <r>
    <n v="0.89999999999999947"/>
  </r>
  <r>
    <n v="1.0000000000000009"/>
  </r>
  <r>
    <n v="0.89999999999999947"/>
  </r>
  <r>
    <n v="0.90000000000000036"/>
  </r>
  <r>
    <n v="1.1000000000000005"/>
  </r>
  <r>
    <n v="0.79999999999999893"/>
  </r>
  <r>
    <n v="0.70000000000000107"/>
  </r>
  <r>
    <n v="0.80000000000000071"/>
  </r>
  <r>
    <n v="6"/>
  </r>
  <r>
    <n v="0.79999999999999893"/>
  </r>
  <r>
    <n v="0.59999999999999964"/>
  </r>
  <r>
    <n v="1.0999999999999996"/>
  </r>
  <r>
    <n v="0.59999999999999964"/>
  </r>
  <r>
    <n v="0.99999999999999911"/>
  </r>
  <r>
    <n v="1.2999999999999989"/>
  </r>
  <r>
    <n v="0"/>
  </r>
  <r>
    <n v="0.89999999999999947"/>
  </r>
  <r>
    <n v="1"/>
  </r>
  <r>
    <n v="2.7"/>
  </r>
  <r>
    <n v="2.7"/>
  </r>
  <r>
    <n v="2.5000000000000009"/>
  </r>
  <r>
    <n v="0.5"/>
  </r>
  <r>
    <n v="1.8000000000000007"/>
  </r>
  <r>
    <n v="1.8000000000000007"/>
  </r>
  <r>
    <n v="0.5"/>
  </r>
  <r>
    <n v="0.79999999999999893"/>
  </r>
  <r>
    <n v="0.90000000000000036"/>
  </r>
  <r>
    <n v="0.5"/>
  </r>
  <r>
    <n v="1.1000000000000005"/>
  </r>
  <r>
    <n v="1.3000000000000007"/>
  </r>
  <r>
    <n v="1.2999999999999989"/>
  </r>
  <r>
    <n v="1.0999999999999996"/>
  </r>
  <r>
    <n v="1.6000000000000005"/>
  </r>
  <r>
    <n v="1.3999999999999995"/>
  </r>
  <r>
    <n v="0.89999999999999947"/>
  </r>
  <r>
    <n v="1.1000000000000005"/>
  </r>
  <r>
    <n v="1.5"/>
  </r>
  <r>
    <n v="1.5999999999999996"/>
  </r>
  <r>
    <n v="0.99999999999999911"/>
  </r>
  <r>
    <n v="0.79999999999999982"/>
  </r>
  <r>
    <n v="0.89999999999999947"/>
  </r>
  <r>
    <n v="0.89999999999999947"/>
  </r>
  <r>
    <n v="0"/>
  </r>
  <r>
    <n v="0.59999999999999964"/>
  </r>
  <r>
    <n v="0.79999999999999982"/>
  </r>
  <r>
    <n v="1.2999999999999998"/>
  </r>
  <r>
    <n v="0.59999999999999964"/>
  </r>
  <r>
    <n v="1.1000000000000005"/>
  </r>
  <r>
    <n v="0.40000000000000036"/>
  </r>
  <r>
    <n v="1.7000000000000011"/>
  </r>
  <r>
    <n v="0.70000000000000107"/>
  </r>
  <r>
    <n v="0.79999999999999893"/>
  </r>
  <r>
    <n v="1.1000000000000005"/>
  </r>
  <r>
    <n v="0.79999999999999982"/>
  </r>
  <r>
    <n v="0.89999999999999947"/>
  </r>
  <r>
    <n v="0.90000000000000036"/>
  </r>
  <r>
    <n v="0.40000000000000036"/>
  </r>
  <r>
    <n v="0.90000000000000036"/>
  </r>
  <r>
    <n v="0.5"/>
  </r>
  <r>
    <n v="1.3999999999999995"/>
  </r>
  <r>
    <n v="1.6000000000000005"/>
  </r>
  <r>
    <n v="1.0999999999999996"/>
  </r>
  <r>
    <n v="1"/>
  </r>
  <r>
    <n v="1.2999999999999998"/>
  </r>
  <r>
    <n v="0.80000000000000071"/>
  </r>
  <r>
    <n v="0.89999999999999947"/>
  </r>
  <r>
    <n v="0.90000000000000036"/>
  </r>
  <r>
    <n v="0.59999999999999964"/>
  </r>
  <r>
    <n v="0.59999999999999964"/>
  </r>
  <r>
    <n v="0.90000000000000036"/>
  </r>
  <r>
    <n v="0.40000000000000036"/>
  </r>
  <r>
    <n v="0"/>
  </r>
  <r>
    <n v="0.60000000000000053"/>
  </r>
  <r>
    <n v="1.5"/>
  </r>
  <r>
    <n v="1.0999999999999996"/>
  </r>
  <r>
    <n v="1.1000000000000005"/>
  </r>
  <r>
    <n v="0.89999999999999947"/>
  </r>
  <r>
    <n v="0.5"/>
  </r>
  <r>
    <n v="0.40000000000000036"/>
  </r>
  <r>
    <n v="1.1999999999999993"/>
  </r>
  <r>
    <n v="0.69999999999999929"/>
  </r>
  <r>
    <n v="1.1999999999999993"/>
  </r>
  <r>
    <n v="1.2999999999999989"/>
  </r>
  <r>
    <n v="1.0999999999999996"/>
  </r>
  <r>
    <n v="1.5"/>
  </r>
  <r>
    <n v="1.3000000000000007"/>
  </r>
  <r>
    <n v="0.90000000000000036"/>
  </r>
  <r>
    <n v="0.70000000000000018"/>
  </r>
  <r>
    <n v="0.60000000000000053"/>
  </r>
  <r>
    <n v="0.89999999999999947"/>
  </r>
  <r>
    <n v="2.7999999999999989"/>
  </r>
  <r>
    <n v="2.8"/>
  </r>
  <r>
    <n v="0.90000000000000036"/>
  </r>
  <r>
    <n v="0.79999999999999982"/>
  </r>
  <r>
    <n v="0.90000000000000036"/>
  </r>
  <r>
    <n v="1"/>
  </r>
  <r>
    <n v="0.79999999999999982"/>
  </r>
  <r>
    <n v="0.89999999999999947"/>
  </r>
  <r>
    <n v="0.59999999999999964"/>
  </r>
  <r>
    <n v="0.59999999999999964"/>
  </r>
  <r>
    <n v="2.3000000000000007"/>
  </r>
  <r>
    <n v="0.99999999999999911"/>
  </r>
  <r>
    <n v="1.2000000000000011"/>
  </r>
  <r>
    <n v="0.59999999999999964"/>
  </r>
  <r>
    <n v="2.0999999999999996"/>
  </r>
  <r>
    <n v="0.90000000000000036"/>
  </r>
  <r>
    <n v="1.0999999999999996"/>
  </r>
  <r>
    <n v="0.80000000000000071"/>
  </r>
  <r>
    <n v="0.79999999999999982"/>
  </r>
  <r>
    <n v="0.5"/>
  </r>
  <r>
    <n v="1.1000000000000005"/>
  </r>
  <r>
    <n v="0.70000000000000018"/>
  </r>
  <r>
    <n v="1"/>
  </r>
  <r>
    <n v="0.89999999999999947"/>
  </r>
  <r>
    <n v="0.89999999999999947"/>
  </r>
  <r>
    <n v="0.59999999999999964"/>
  </r>
  <r>
    <n v="0.69999999999999929"/>
  </r>
  <r>
    <n v="1.0999999999999996"/>
  </r>
  <r>
    <n v="1.2999999999999998"/>
  </r>
  <r>
    <n v="0.90000000000000036"/>
  </r>
  <r>
    <n v="0.90000000000000036"/>
  </r>
  <r>
    <n v="1"/>
  </r>
  <r>
    <n v="1.0999999999999996"/>
  </r>
  <r>
    <n v="0.90000000000000036"/>
  </r>
  <r>
    <n v="0.79999999999999982"/>
  </r>
  <r>
    <n v="0.90000000000000036"/>
  </r>
  <r>
    <n v="0.89999999999999947"/>
  </r>
  <r>
    <n v="1.2000000000000002"/>
  </r>
  <r>
    <n v="1.5999999999999996"/>
  </r>
  <r>
    <n v="1.2999999999999998"/>
  </r>
  <r>
    <n v="1.0999999999999996"/>
  </r>
  <r>
    <n v="1.0999999999999996"/>
  </r>
  <r>
    <n v="1.4000000000000004"/>
  </r>
  <r>
    <n v="1.1999999999999993"/>
  </r>
  <r>
    <n v="1.4000000000000004"/>
  </r>
  <r>
    <n v="1.2000000000000011"/>
  </r>
  <r>
    <n v="1.5"/>
  </r>
  <r>
    <n v="1.0999999999999996"/>
  </r>
  <r>
    <n v="0.80000000000000071"/>
  </r>
  <r>
    <n v="0.79999999999999982"/>
  </r>
  <r>
    <n v="0.60000000000000053"/>
  </r>
  <r>
    <n v="0.80000000000000071"/>
  </r>
  <r>
    <n v="1.4000000000000004"/>
  </r>
  <r>
    <n v="1.2000000000000002"/>
  </r>
  <r>
    <n v="1.0999999999999996"/>
  </r>
  <r>
    <n v="1.2000000000000002"/>
  </r>
  <r>
    <n v="1.9000000000000004"/>
  </r>
  <r>
    <n v="0.29999999999999893"/>
  </r>
  <r>
    <n v="0.5"/>
  </r>
  <r>
    <n v="0.70000000000000018"/>
  </r>
  <r>
    <n v="0.79999999999999982"/>
  </r>
  <r>
    <n v="1.1000000000000005"/>
  </r>
  <r>
    <n v="0.79999999999999982"/>
  </r>
  <r>
    <n v="0.40000000000000036"/>
  </r>
  <r>
    <n v="1.0000000000000009"/>
  </r>
  <r>
    <n v="9.9999999999999645E-2"/>
  </r>
  <r>
    <n v="0.70000000000000018"/>
  </r>
  <r>
    <n v="0.79999999999999982"/>
  </r>
  <r>
    <n v="0.69999999999999929"/>
  </r>
  <r>
    <n v="1.1000000000000005"/>
  </r>
  <r>
    <n v="0.79999999999999982"/>
  </r>
  <r>
    <n v="1.3000000000000007"/>
  </r>
  <r>
    <n v="1.6999999999999993"/>
  </r>
  <r>
    <n v="1.3999999999999995"/>
  </r>
  <r>
    <n v="1.5999999999999996"/>
  </r>
  <r>
    <n v="0.70000000000000018"/>
  </r>
  <r>
    <n v="0.99999999999999911"/>
  </r>
  <r>
    <n v="0.69999999999999929"/>
  </r>
  <r>
    <n v="0.5"/>
  </r>
  <r>
    <n v="0.90000000000000036"/>
  </r>
  <r>
    <n v="1.1999999999999993"/>
  </r>
  <r>
    <n v="1.0999999999999996"/>
  </r>
  <r>
    <n v="1.2999999999999998"/>
  </r>
  <r>
    <n v="1.2999999999999998"/>
  </r>
  <r>
    <n v="1.1999999999999993"/>
  </r>
  <r>
    <n v="1.2999999999999998"/>
  </r>
  <r>
    <n v="1"/>
  </r>
  <r>
    <n v="0.69999999999999929"/>
  </r>
  <r>
    <n v="0.79999999999999893"/>
  </r>
  <r>
    <n v="0.79999999999999893"/>
  </r>
  <r>
    <n v="0.89999999999999947"/>
  </r>
  <r>
    <n v="1.6999999999999993"/>
  </r>
  <r>
    <n v="2.1000000000000005"/>
  </r>
  <r>
    <n v="1.6000000000000005"/>
  </r>
  <r>
    <n v="0.80000000000000071"/>
  </r>
  <r>
    <n v="1.9000000000000004"/>
  </r>
  <r>
    <n v="1.1000000000000005"/>
  </r>
  <r>
    <n v="1.2000000000000011"/>
  </r>
  <r>
    <n v="0.70000000000000107"/>
  </r>
  <r>
    <n v="1"/>
  </r>
  <r>
    <n v="0.90000000000000036"/>
  </r>
  <r>
    <n v="1.3000000000000007"/>
  </r>
  <r>
    <n v="1.2999999999999998"/>
  </r>
  <r>
    <n v="1.2000000000000011"/>
  </r>
  <r>
    <n v="1.2000000000000002"/>
  </r>
  <r>
    <n v="0.79999999999999982"/>
  </r>
  <r>
    <n v="1.1000000000000005"/>
  </r>
  <r>
    <n v="0.20000000000000018"/>
  </r>
  <r>
    <n v="0.90000000000000036"/>
  </r>
  <r>
    <n v="0.99999999999999911"/>
  </r>
  <r>
    <n v="0.90000000000000036"/>
  </r>
  <r>
    <n v="0.90000000000000036"/>
  </r>
  <r>
    <n v="0.5"/>
  </r>
  <r>
    <n v="0.89999999999999947"/>
  </r>
  <r>
    <n v="0.70000000000000018"/>
  </r>
  <r>
    <n v="1.3999999999999995"/>
  </r>
  <r>
    <n v="0.90000000000000036"/>
  </r>
  <r>
    <n v="0.89999999999999947"/>
  </r>
  <r>
    <n v="1.2000000000000002"/>
  </r>
  <r>
    <n v="1.1000000000000005"/>
  </r>
  <r>
    <n v="1.3000000000000007"/>
  </r>
  <r>
    <n v="9.9999999999999645E-2"/>
  </r>
  <r>
    <n v="1"/>
  </r>
  <r>
    <n v="0.70000000000000018"/>
  </r>
  <r>
    <n v="0.90000000000000036"/>
  </r>
  <r>
    <n v="1.0999999999999996"/>
  </r>
  <r>
    <n v="1.4000000000000004"/>
  </r>
  <r>
    <n v="1.3999999999999995"/>
  </r>
  <r>
    <n v="0.79999999999999982"/>
  </r>
  <r>
    <n v="0.89999999999999947"/>
  </r>
  <r>
    <n v="1.0000000000000009"/>
  </r>
  <r>
    <n v="0.90000000000000036"/>
  </r>
  <r>
    <n v="0.79999999999999893"/>
  </r>
  <r>
    <n v="0.79999999999999982"/>
  </r>
  <r>
    <n v="0.70000000000000018"/>
  </r>
  <r>
    <n v="0.79999999999999982"/>
  </r>
  <r>
    <n v="0.90000000000000036"/>
  </r>
  <r>
    <n v="1.0999999999999996"/>
  </r>
  <r>
    <n v="1.0999999999999996"/>
  </r>
  <r>
    <n v="0.89999999999999947"/>
  </r>
  <r>
    <n v="0.80000000000000071"/>
  </r>
  <r>
    <n v="1.2000000000000002"/>
  </r>
  <r>
    <n v="1.5"/>
  </r>
  <r>
    <n v="1.0999999999999996"/>
  </r>
  <r>
    <n v="1.4999999999999991"/>
  </r>
  <r>
    <n v="0.60000000000000053"/>
  </r>
  <r>
    <n v="1"/>
  </r>
  <r>
    <n v="0.79999999999999982"/>
  </r>
  <r>
    <n v="0.60000000000000053"/>
  </r>
  <r>
    <n v="1"/>
  </r>
  <r>
    <n v="0.70000000000000018"/>
  </r>
  <r>
    <n v="0.59999999999999964"/>
  </r>
  <r>
    <n v="1.1000000000000005"/>
  </r>
  <r>
    <n v="1.2999999999999998"/>
  </r>
  <r>
    <n v="0.90000000000000036"/>
  </r>
  <r>
    <n v="1.3999999999999995"/>
  </r>
  <r>
    <n v="1"/>
  </r>
  <r>
    <n v="0.79999999999999982"/>
  </r>
  <r>
    <n v="0.5"/>
  </r>
  <r>
    <n v="0.80000000000000071"/>
  </r>
  <r>
    <n v="0.79999999999999982"/>
  </r>
  <r>
    <n v="0.59999999999999964"/>
  </r>
  <r>
    <n v="0.70000000000000018"/>
  </r>
  <r>
    <n v="0.5"/>
  </r>
  <r>
    <n v="0.59999999999999964"/>
  </r>
  <r>
    <n v="0.40000000000000036"/>
  </r>
  <r>
    <n v="0.40000000000000036"/>
  </r>
  <r>
    <n v="0.39999999999999947"/>
  </r>
  <r>
    <n v="0.40000000000000036"/>
  </r>
  <r>
    <n v="0.59999999999999964"/>
  </r>
  <r>
    <n v="1.1999999999999993"/>
  </r>
  <r>
    <n v="1.7000000000000002"/>
  </r>
  <r>
    <n v="0.39999999999999947"/>
  </r>
  <r>
    <n v="0.59999999999999964"/>
  </r>
  <r>
    <n v="0.5"/>
  </r>
  <r>
    <n v="0.70000000000000018"/>
  </r>
  <r>
    <n v="1"/>
  </r>
  <r>
    <n v="0.79999999999999982"/>
  </r>
  <r>
    <n v="0.70000000000000018"/>
  </r>
  <r>
    <n v="0.60000000000000053"/>
  </r>
  <r>
    <n v="1.4000000000000004"/>
  </r>
  <r>
    <n v="0.70000000000000018"/>
  </r>
  <r>
    <n v="2.0000000000000009"/>
  </r>
  <r>
    <n v="1.6000000000000005"/>
  </r>
  <r>
    <n v="1.2999999999999998"/>
  </r>
  <r>
    <n v="0.59999999999999964"/>
  </r>
  <r>
    <n v="1.0999999999999996"/>
  </r>
  <r>
    <n v="0.79999999999999982"/>
  </r>
  <r>
    <n v="1.4000000000000004"/>
  </r>
  <r>
    <n v="1.0000000000000009"/>
  </r>
  <r>
    <n v="2.5"/>
  </r>
  <r>
    <n v="1.1999999999999993"/>
  </r>
  <r>
    <n v="1.5"/>
  </r>
  <r>
    <n v="1.2000000000000002"/>
  </r>
  <r>
    <n v="1.5999999999999996"/>
  </r>
  <r>
    <n v="1.5999999999999996"/>
  </r>
  <r>
    <n v="0.89999999999999947"/>
  </r>
  <r>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00FDEC-98B0-4D12-8B09-454ED74BBE08}" name="PivotTable10"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E60:G71" firstHeaderRow="0" firstDataRow="1" firstDataCol="1"/>
  <pivotFields count="22">
    <pivotField showAll="0"/>
    <pivotField showAll="0"/>
    <pivotField axis="axisRow" showAll="0" measureFilter="1">
      <items count="32">
        <item x="27"/>
        <item x="25"/>
        <item x="16"/>
        <item x="12"/>
        <item x="5"/>
        <item x="23"/>
        <item x="9"/>
        <item x="20"/>
        <item x="8"/>
        <item x="0"/>
        <item x="2"/>
        <item x="6"/>
        <item x="26"/>
        <item x="30"/>
        <item x="10"/>
        <item x="21"/>
        <item x="14"/>
        <item x="17"/>
        <item x="18"/>
        <item x="13"/>
        <item x="22"/>
        <item x="28"/>
        <item x="1"/>
        <item x="11"/>
        <item x="19"/>
        <item x="29"/>
        <item x="24"/>
        <item x="15"/>
        <item x="4"/>
        <item x="3"/>
        <item x="7"/>
        <item t="default"/>
      </items>
    </pivotField>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11">
    <i>
      <x/>
    </i>
    <i>
      <x v="1"/>
    </i>
    <i>
      <x v="7"/>
    </i>
    <i>
      <x v="12"/>
    </i>
    <i>
      <x v="13"/>
    </i>
    <i>
      <x v="15"/>
    </i>
    <i>
      <x v="20"/>
    </i>
    <i>
      <x v="21"/>
    </i>
    <i>
      <x v="25"/>
    </i>
    <i>
      <x v="26"/>
    </i>
    <i t="grand">
      <x/>
    </i>
  </rowItems>
  <colFields count="1">
    <field x="-2"/>
  </colFields>
  <colItems count="2">
    <i>
      <x/>
    </i>
    <i i="1">
      <x v="1"/>
    </i>
  </colItems>
  <dataFields count="2">
    <dataField name="Average of Temperature Min" fld="3" subtotal="average" baseField="0" baseItem="9"/>
    <dataField name="Average of Temperature Max" fld="4" subtotal="average" baseField="2" baseItem="21"/>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FC3601-F136-4475-AFF2-295B29572C2B}" name="PivotTable4"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41:D42" firstHeaderRow="1" firstDataRow="1" firstDataCol="0"/>
  <pivotFields count="2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Average of Avg Bod " fld="21" subtotal="average" baseField="0" baseItem="9" numFmtId="2"/>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A287DC-ECFB-44C4-9527-E6D2DA7D21CC}" name="PivotTable9"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7:D8" firstHeaderRow="1" firstDataRow="1" firstDataCol="0"/>
  <pivotFields count="1">
    <pivotField dataField="1" showAll="0"/>
  </pivotFields>
  <rowItems count="1">
    <i/>
  </rowItems>
  <colItems count="1">
    <i/>
  </colItems>
  <dataFields count="1">
    <dataField name="Average of Avg ph " fld="0" subtotal="average" baseField="0" baseItem="9" numFmtId="2"/>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C60DA8A-1C04-4548-95AB-7036316354F1}" name="PivotTable3"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39:D40" firstHeaderRow="1" firstDataRow="1" firstDataCol="0"/>
  <pivotFields count="2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Average of Avg Bod " fld="21" subtotal="average" baseField="0" baseItem="67" numFmtId="2"/>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1D5AA13-C628-4C0E-8ABC-C35AEE7AB65C}" name="PivotTable8"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5:D6" firstHeaderRow="1" firstDataRow="1" firstDataCol="0"/>
  <pivotFields count="1">
    <pivotField dataField="1" showAll="0"/>
  </pivotFields>
  <rowItems count="1">
    <i/>
  </rowItems>
  <colItems count="1">
    <i/>
  </colItems>
  <dataFields count="1">
    <dataField name="Average of Avg Bo" fld="0" subtotal="average" baseField="0" baseItem="9" numFmtId="2"/>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0450062-AF48-400D-8D68-7B1EC83037EC}" name="PivotTable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fieldListSortAscending="1">
  <location ref="A39" firstHeaderRow="0" firstDataRow="0" firstDataCol="0" rowPageCount="1" colPageCount="1"/>
  <pivotFields count="21">
    <pivotField showAll="0"/>
    <pivotField showAll="0"/>
    <pivotField axis="axisPage" showAll="0">
      <items count="32">
        <item x="27"/>
        <item x="25"/>
        <item x="16"/>
        <item x="12"/>
        <item x="5"/>
        <item x="23"/>
        <item x="9"/>
        <item x="20"/>
        <item x="8"/>
        <item x="0"/>
        <item x="2"/>
        <item x="6"/>
        <item x="26"/>
        <item x="30"/>
        <item x="10"/>
        <item x="21"/>
        <item x="14"/>
        <item x="17"/>
        <item x="18"/>
        <item x="13"/>
        <item x="22"/>
        <item x="28"/>
        <item x="1"/>
        <item x="11"/>
        <item x="19"/>
        <item x="29"/>
        <item x="24"/>
        <item x="15"/>
        <item x="4"/>
        <item x="3"/>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ageFields count="1">
    <pageField fld="2"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1BAD724-2F25-4904-B51E-60F7C1AD1081}" name="PivotTable7"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3:D4" firstHeaderRow="1" firstDataRow="1" firstDataCol="0"/>
  <pivotFields count="1">
    <pivotField dataField="1" showAll="0"/>
  </pivotFields>
  <rowItems count="1">
    <i/>
  </rowItems>
  <colItems count="1">
    <i/>
  </colItems>
  <dataFields count="1">
    <dataField name="Average of Avegare BOD " fld="0" subtotal="average" baseField="0" baseItem="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BA75816-5FE4-41CF-85E9-99839F28B482}" name="PivotTable13"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C60:D66" firstHeaderRow="1" firstDataRow="1" firstDataCol="1"/>
  <pivotFields count="22">
    <pivotField showAll="0"/>
    <pivotField showAll="0"/>
    <pivotField axis="axisRow" showAll="0" measureFilter="1">
      <items count="32">
        <item x="27"/>
        <item x="25"/>
        <item x="16"/>
        <item x="12"/>
        <item x="5"/>
        <item x="23"/>
        <item x="9"/>
        <item x="20"/>
        <item x="8"/>
        <item x="0"/>
        <item x="2"/>
        <item x="6"/>
        <item x="26"/>
        <item x="30"/>
        <item x="10"/>
        <item x="21"/>
        <item x="14"/>
        <item x="17"/>
        <item x="18"/>
        <item x="13"/>
        <item x="22"/>
        <item x="28"/>
        <item x="1"/>
        <item x="11"/>
        <item x="19"/>
        <item x="29"/>
        <item x="24"/>
        <item x="15"/>
        <item x="4"/>
        <item x="3"/>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2"/>
  </rowFields>
  <rowItems count="6">
    <i>
      <x v="9"/>
    </i>
    <i>
      <x v="12"/>
    </i>
    <i>
      <x v="14"/>
    </i>
    <i>
      <x v="15"/>
    </i>
    <i>
      <x v="20"/>
    </i>
    <i t="grand">
      <x/>
    </i>
  </rowItems>
  <colItems count="1">
    <i/>
  </colItems>
  <dataFields count="1">
    <dataField name="Count of Fecal Coliform Min" fld="15" subtotal="count" baseField="2" baseItem="22"/>
  </dataFields>
  <chartFormats count="21">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2" count="1" selected="0">
            <x v="4"/>
          </reference>
        </references>
      </pivotArea>
    </chartFormat>
    <chartFormat chart="1" format="3">
      <pivotArea type="data" outline="0" fieldPosition="0">
        <references count="2">
          <reference field="4294967294" count="1" selected="0">
            <x v="0"/>
          </reference>
          <reference field="2" count="1" selected="0">
            <x v="12"/>
          </reference>
        </references>
      </pivotArea>
    </chartFormat>
    <chartFormat chart="1" format="4">
      <pivotArea type="data" outline="0" fieldPosition="0">
        <references count="2">
          <reference field="4294967294" count="1" selected="0">
            <x v="0"/>
          </reference>
          <reference field="2" count="1" selected="0">
            <x v="22"/>
          </reference>
        </references>
      </pivotArea>
    </chartFormat>
    <chartFormat chart="1" format="5">
      <pivotArea type="data" outline="0" fieldPosition="0">
        <references count="2">
          <reference field="4294967294" count="1" selected="0">
            <x v="0"/>
          </reference>
          <reference field="2" count="1" selected="0">
            <x v="28"/>
          </reference>
        </references>
      </pivotArea>
    </chartFormat>
    <chartFormat chart="1" format="6">
      <pivotArea type="data" outline="0" fieldPosition="0">
        <references count="2">
          <reference field="4294967294" count="1" selected="0">
            <x v="0"/>
          </reference>
          <reference field="2" count="1" selected="0">
            <x v="3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2" count="1" selected="0">
            <x v="4"/>
          </reference>
        </references>
      </pivotArea>
    </chartFormat>
    <chartFormat chart="2" format="9">
      <pivotArea type="data" outline="0" fieldPosition="0">
        <references count="2">
          <reference field="4294967294" count="1" selected="0">
            <x v="0"/>
          </reference>
          <reference field="2" count="1" selected="0">
            <x v="12"/>
          </reference>
        </references>
      </pivotArea>
    </chartFormat>
    <chartFormat chart="2" format="10">
      <pivotArea type="data" outline="0" fieldPosition="0">
        <references count="2">
          <reference field="4294967294" count="1" selected="0">
            <x v="0"/>
          </reference>
          <reference field="2" count="1" selected="0">
            <x v="22"/>
          </reference>
        </references>
      </pivotArea>
    </chartFormat>
    <chartFormat chart="2" format="11">
      <pivotArea type="data" outline="0" fieldPosition="0">
        <references count="2">
          <reference field="4294967294" count="1" selected="0">
            <x v="0"/>
          </reference>
          <reference field="2" count="1" selected="0">
            <x v="28"/>
          </reference>
        </references>
      </pivotArea>
    </chartFormat>
    <chartFormat chart="2" format="12">
      <pivotArea type="data" outline="0" fieldPosition="0">
        <references count="2">
          <reference field="4294967294" count="1" selected="0">
            <x v="0"/>
          </reference>
          <reference field="2" count="1" selected="0">
            <x v="3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2" count="1" selected="0">
            <x v="4"/>
          </reference>
        </references>
      </pivotArea>
    </chartFormat>
    <chartFormat chart="3" format="9">
      <pivotArea type="data" outline="0" fieldPosition="0">
        <references count="2">
          <reference field="4294967294" count="1" selected="0">
            <x v="0"/>
          </reference>
          <reference field="2" count="1" selected="0">
            <x v="12"/>
          </reference>
        </references>
      </pivotArea>
    </chartFormat>
    <chartFormat chart="3" format="10">
      <pivotArea type="data" outline="0" fieldPosition="0">
        <references count="2">
          <reference field="4294967294" count="1" selected="0">
            <x v="0"/>
          </reference>
          <reference field="2" count="1" selected="0">
            <x v="22"/>
          </reference>
        </references>
      </pivotArea>
    </chartFormat>
    <chartFormat chart="3" format="11">
      <pivotArea type="data" outline="0" fieldPosition="0">
        <references count="2">
          <reference field="4294967294" count="1" selected="0">
            <x v="0"/>
          </reference>
          <reference field="2" count="1" selected="0">
            <x v="28"/>
          </reference>
        </references>
      </pivotArea>
    </chartFormat>
    <chartFormat chart="3" format="12">
      <pivotArea type="data" outline="0" fieldPosition="0">
        <references count="2">
          <reference field="4294967294" count="1" selected="0">
            <x v="0"/>
          </reference>
          <reference field="2" count="1" selected="0">
            <x v="30"/>
          </reference>
        </references>
      </pivotArea>
    </chartFormat>
    <chartFormat chart="4" format="0"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DD7AD4D-C51D-4069-B7D7-D53ECDE46500}" name="PivotTable12"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11:F28" firstHeaderRow="1" firstDataRow="1" firstDataCol="0"/>
  <pivotFields count="2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742901A-354F-4634-B405-CE9814F55EA3}"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fieldListSortAscending="1">
  <location ref="A3:C35" firstHeaderRow="0" firstDataRow="1" firstDataCol="1"/>
  <pivotFields count="21">
    <pivotField showAll="0"/>
    <pivotField showAll="0"/>
    <pivotField axis="axisRow" showAll="0">
      <items count="32">
        <item x="27"/>
        <item x="25"/>
        <item x="16"/>
        <item x="12"/>
        <item x="5"/>
        <item x="23"/>
        <item x="9"/>
        <item x="20"/>
        <item x="8"/>
        <item x="0"/>
        <item x="2"/>
        <item x="6"/>
        <item x="26"/>
        <item x="30"/>
        <item x="10"/>
        <item x="21"/>
        <item x="14"/>
        <item x="17"/>
        <item x="18"/>
        <item x="13"/>
        <item x="22"/>
        <item x="28"/>
        <item x="1"/>
        <item x="11"/>
        <item x="19"/>
        <item x="29"/>
        <item x="24"/>
        <item x="15"/>
        <item x="4"/>
        <item x="3"/>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s>
  <rowFields count="1">
    <field x="2"/>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1">
    <field x="-2"/>
  </colFields>
  <colItems count="2">
    <i>
      <x/>
    </i>
    <i i="1">
      <x v="1"/>
    </i>
  </colItems>
  <dataFields count="2">
    <dataField name="Average of Total Coliform Max" fld="18" subtotal="average" baseField="0" baseItem="1"/>
    <dataField name="Average of Total Coliform Min" fld="17"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5588BD3-1C6F-4236-BCAD-BA4D4C46BFA2}" name="PivotTable6"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39:I56" firstHeaderRow="1" firstDataRow="1" firstDataCol="0"/>
  <pivotFields count="2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CBCE569-F08D-4DF9-9C9C-651AAEA9FA95}" name="PivotTable11"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F3:H9" firstHeaderRow="0" firstDataRow="1" firstDataCol="1"/>
  <pivotFields count="22">
    <pivotField showAll="0"/>
    <pivotField showAll="0"/>
    <pivotField axis="axisRow" showAll="0" measureFilter="1">
      <items count="32">
        <item x="27"/>
        <item x="25"/>
        <item x="16"/>
        <item x="12"/>
        <item x="5"/>
        <item x="23"/>
        <item x="9"/>
        <item x="20"/>
        <item x="8"/>
        <item x="0"/>
        <item x="2"/>
        <item x="6"/>
        <item x="26"/>
        <item x="30"/>
        <item x="10"/>
        <item x="21"/>
        <item x="14"/>
        <item x="17"/>
        <item x="18"/>
        <item x="13"/>
        <item x="22"/>
        <item x="28"/>
        <item x="1"/>
        <item x="11"/>
        <item x="19"/>
        <item x="29"/>
        <item x="24"/>
        <item x="15"/>
        <item x="4"/>
        <item x="3"/>
        <item x="7"/>
        <item t="default"/>
      </items>
    </pivotField>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v="9"/>
    </i>
    <i>
      <x v="12"/>
    </i>
    <i>
      <x v="14"/>
    </i>
    <i>
      <x v="15"/>
    </i>
    <i>
      <x v="20"/>
    </i>
    <i t="grand">
      <x/>
    </i>
  </rowItems>
  <colFields count="1">
    <field x="-2"/>
  </colFields>
  <colItems count="2">
    <i>
      <x/>
    </i>
    <i i="1">
      <x v="1"/>
    </i>
  </colItems>
  <dataFields count="2">
    <dataField name="Sum of Dissolved Oxygen Min" fld="5" baseField="0" baseItem="0"/>
    <dataField name="Sum of Dissolved Oxygen Max" fld="6"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2"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2D39263-B7DA-4809-AB13-BD2ED2D148C3}" name="PivotTable5"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43:E54" firstHeaderRow="1" firstDataRow="1" firstDataCol="1"/>
  <pivotFields count="22">
    <pivotField showAll="0"/>
    <pivotField showAll="0"/>
    <pivotField axis="axisRow" showAll="0" measureFilter="1">
      <items count="32">
        <item x="27"/>
        <item x="25"/>
        <item x="16"/>
        <item x="12"/>
        <item x="5"/>
        <item x="23"/>
        <item x="9"/>
        <item x="20"/>
        <item x="8"/>
        <item x="0"/>
        <item x="2"/>
        <item x="6"/>
        <item x="26"/>
        <item x="30"/>
        <item x="10"/>
        <item x="21"/>
        <item x="14"/>
        <item x="17"/>
        <item x="18"/>
        <item x="13"/>
        <item x="22"/>
        <item x="28"/>
        <item x="1"/>
        <item x="11"/>
        <item x="19"/>
        <item x="29"/>
        <item x="24"/>
        <item x="15"/>
        <item x="4"/>
        <item x="3"/>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2"/>
  </rowFields>
  <rowItems count="11">
    <i>
      <x v="3"/>
    </i>
    <i>
      <x v="7"/>
    </i>
    <i>
      <x v="8"/>
    </i>
    <i>
      <x v="12"/>
    </i>
    <i>
      <x v="14"/>
    </i>
    <i>
      <x v="15"/>
    </i>
    <i>
      <x v="22"/>
    </i>
    <i>
      <x v="25"/>
    </i>
    <i>
      <x v="28"/>
    </i>
    <i>
      <x v="29"/>
    </i>
    <i t="grand">
      <x/>
    </i>
  </rowItems>
  <colItems count="1">
    <i/>
  </colItems>
  <dataFields count="1">
    <dataField name="Sum of Avg Bod " fld="21" baseField="0" baseItem="0"/>
  </dataField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740ED4F-9AD5-4568-AC64-3932B11C28F1}" autoFormatId="16" applyNumberFormats="0" applyBorderFormats="0" applyFontFormats="0" applyPatternFormats="0" applyAlignmentFormats="0" applyWidthHeightFormats="0">
  <queryTableRefresh nextId="43" unboundColumnsRight="3">
    <queryTableFields count="24">
      <queryTableField id="1" name="Station_x000a_Code" tableColumnId="1"/>
      <queryTableField id="2" name="Monitoring Location" tableColumnId="2"/>
      <queryTableField id="3" name="State" tableColumnId="3"/>
      <queryTableField id="22" name="Temperature Min" tableColumnId="22"/>
      <queryTableField id="23" name="Temperature Max" tableColumnId="23"/>
      <queryTableField id="24" name="Dissolved Oxygen Min" tableColumnId="24"/>
      <queryTableField id="25" name="Dissolved Oxygen Max" tableColumnId="25"/>
      <queryTableField id="26" name="pH Min" tableColumnId="26"/>
      <queryTableField id="27" name="pH Max" tableColumnId="27"/>
      <queryTableField id="28" name="Conductivity Min" tableColumnId="28"/>
      <queryTableField id="29" name="Conductivity Max" tableColumnId="29"/>
      <queryTableField id="30" name="BOD Min" tableColumnId="30"/>
      <queryTableField id="31" name="BOD Max" tableColumnId="31"/>
      <queryTableField id="32" name="Nitrate Min" tableColumnId="32"/>
      <queryTableField id="33" name="Nitrate Max" tableColumnId="33"/>
      <queryTableField id="34" name="Fecal Coliform Min" tableColumnId="34"/>
      <queryTableField id="35" name="Fecal Coliform Max" tableColumnId="35"/>
      <queryTableField id="36" name="Total Coliform Min" tableColumnId="36"/>
      <queryTableField id="37" name="Total Coliform Max" tableColumnId="37"/>
      <queryTableField id="38" name="Fecal Streptococci Min" tableColumnId="38"/>
      <queryTableField id="39" name="Fecal Streptococci Max" tableColumnId="39"/>
      <queryTableField id="40" dataBound="0" tableColumnId="4"/>
      <queryTableField id="41" dataBound="0" tableColumnId="5"/>
      <queryTableField id="42" dataBound="0"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F75A8B79-CDAF-4C3A-9416-40A9C057695A}" sourceName="State">
  <pivotTables>
    <pivotTable tabId="54" name="PivotTable2"/>
  </pivotTables>
  <data>
    <tabular pivotCacheId="432577668">
      <items count="31">
        <i x="27" s="1"/>
        <i x="25" s="1"/>
        <i x="16" s="1"/>
        <i x="12" s="1"/>
        <i x="5" s="1"/>
        <i x="23" s="1"/>
        <i x="9" s="1"/>
        <i x="20" s="1"/>
        <i x="8" s="1"/>
        <i x="0" s="1"/>
        <i x="2" s="1"/>
        <i x="6" s="1"/>
        <i x="26" s="1"/>
        <i x="30" s="1"/>
        <i x="10" s="1"/>
        <i x="21" s="1"/>
        <i x="14" s="1"/>
        <i x="17" s="1"/>
        <i x="18" s="1"/>
        <i x="13" s="1"/>
        <i x="22" s="1"/>
        <i x="28" s="1"/>
        <i x="1" s="1"/>
        <i x="11" s="1"/>
        <i x="19" s="1"/>
        <i x="29" s="1"/>
        <i x="24" s="1"/>
        <i x="15" s="1"/>
        <i x="4" s="1"/>
        <i x="3"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B23989B2-2269-4D8A-B8DF-611E11135FC2}" cache="Slicer_State" caption="Stat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C71E145-D718-47C3-98DC-3335F73F37E2}" name="River_data" displayName="River_data" ref="A1:X1429" tableType="queryTable" totalsRowShown="0">
  <autoFilter ref="A1:X1429" xr:uid="{2C71E145-D718-47C3-98DC-3335F73F37E2}"/>
  <tableColumns count="24">
    <tableColumn id="1" xr3:uid="{A9226561-10F6-4886-82F9-2038979421E7}" uniqueName="1" name="Station_x000a_Code" queryTableFieldId="1"/>
    <tableColumn id="2" xr3:uid="{3A419B4D-32DF-41C6-892C-57BB9B27F185}" uniqueName="2" name="Monitoring Location" queryTableFieldId="2" dataDxfId="8"/>
    <tableColumn id="3" xr3:uid="{F892EDA4-F54F-4B34-9310-82AB20E93D73}" uniqueName="3" name="State" queryTableFieldId="3" dataDxfId="7"/>
    <tableColumn id="22" xr3:uid="{4DED59E7-B631-47DD-96B7-2B2677DDA351}" uniqueName="22" name="Temperature Min" queryTableFieldId="22"/>
    <tableColumn id="23" xr3:uid="{0589961C-8DEA-4405-B884-50F0CA67F78E}" uniqueName="23" name="Temperature Max" queryTableFieldId="23"/>
    <tableColumn id="24" xr3:uid="{69ADBBCA-3F5C-435D-BFFF-9E653219A76F}" uniqueName="24" name="Dissolved Oxygen Min" queryTableFieldId="24"/>
    <tableColumn id="25" xr3:uid="{CA0F28A9-6057-4532-8013-A90112F81A0A}" uniqueName="25" name="Dissolved Oxygen Max" queryTableFieldId="25"/>
    <tableColumn id="26" xr3:uid="{52C9E60F-0CDB-40A0-BCF1-FF0718609680}" uniqueName="26" name="pH Min" queryTableFieldId="26"/>
    <tableColumn id="27" xr3:uid="{08F5EAC6-D584-4888-BFA9-4459B5710F18}" uniqueName="27" name="pH Max" queryTableFieldId="27"/>
    <tableColumn id="28" xr3:uid="{4D439CC4-FC0E-4FE9-A2F6-8FA9E6A3BE4E}" uniqueName="28" name="Conductivity Min" queryTableFieldId="28"/>
    <tableColumn id="29" xr3:uid="{D75BBEB9-C3BF-456B-9C7B-9AFFEE1B1F7F}" uniqueName="29" name="Conductivity Max" queryTableFieldId="29"/>
    <tableColumn id="30" xr3:uid="{F8B80CCF-61FF-47CE-AF44-EF37E908F2DC}" uniqueName="30" name="BOD Min" queryTableFieldId="30"/>
    <tableColumn id="31" xr3:uid="{E61E887A-48D8-43E7-8A12-3D74E2C3973D}" uniqueName="31" name="BOD Max" queryTableFieldId="31"/>
    <tableColumn id="32" xr3:uid="{7DF7B102-3D81-4035-9209-BA7BFD8834D3}" uniqueName="32" name="Nitrate Min" queryTableFieldId="32"/>
    <tableColumn id="33" xr3:uid="{9F349A64-5AE2-4997-B670-721BEFBF227B}" uniqueName="33" name="Nitrate Max" queryTableFieldId="33"/>
    <tableColumn id="34" xr3:uid="{CDA8A462-F276-4FF4-9201-6C23F218D604}" uniqueName="34" name="Fecal Coliform Min" queryTableFieldId="34"/>
    <tableColumn id="35" xr3:uid="{A364766E-ABE2-4685-8EE5-ED3FB64334BE}" uniqueName="35" name="Fecal Coliform Max" queryTableFieldId="35"/>
    <tableColumn id="36" xr3:uid="{114565AB-8E98-4693-A199-10A1E99C7A90}" uniqueName="36" name="Total Coliform Min" queryTableFieldId="36"/>
    <tableColumn id="37" xr3:uid="{BA05A75E-6A70-47B8-9238-C8F048837C67}" uniqueName="37" name="Total Coliform Max" queryTableFieldId="37"/>
    <tableColumn id="38" xr3:uid="{2F933A72-6003-4BE3-A04C-1B0DB9508CAE}" uniqueName="38" name="Fecal Streptococci Min" queryTableFieldId="38"/>
    <tableColumn id="39" xr3:uid="{8A1A18BF-0103-4DE4-AF73-1A8931C9249B}" uniqueName="39" name="Fecal Streptococci Max" queryTableFieldId="39"/>
    <tableColumn id="4" xr3:uid="{6518FE56-1495-4AED-87C8-2984C9AAB3F2}" uniqueName="4" name="Avg Bo" queryTableFieldId="40" dataDxfId="6">
      <calculatedColumnFormula>River_data[[#This Row],[Dissolved Oxygen Min]]*River_data[[#This Row],[Dissolved Oxygen Max]]/2</calculatedColumnFormula>
    </tableColumn>
    <tableColumn id="5" xr3:uid="{F61967C1-5DB5-4D61-8772-A3D31161E6E3}" uniqueName="5" name="Avegare BOD " queryTableFieldId="41" dataDxfId="5">
      <calculatedColumnFormula>River_data[[#This Row],[BOD Min]]*River_data[[#This Row],[BOD Max]]/2</calculatedColumnFormula>
    </tableColumn>
    <tableColumn id="6" xr3:uid="{8DF09870-A134-4CE9-85A9-4D88F8564DBC}" uniqueName="6" name="Avg ph " queryTableFieldId="42" dataDxfId="4">
      <calculatedColumnFormula>AVERAGE(River_data[[#This Row],[pH Max]]-River_data[[#This Row],[pH Min]])</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val="1E3660"/>
        </a:solidFill>
        <a:effectLst>
          <a:glow rad="228600">
            <a:schemeClr val="accent3">
              <a:satMod val="175000"/>
              <a:alpha val="40000"/>
            </a:schemeClr>
          </a:glow>
        </a:effectLst>
      </a:spPr>
      <a:bodyPr vertOverflow="clip" horzOverflow="clip" rtlCol="0" anchor="t"/>
      <a:lstStyle>
        <a:defPPr algn="l">
          <a:defRPr sz="1100"/>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17673-162A-46B1-85C4-AF819A2B882C}">
  <dimension ref="A1:X1429"/>
  <sheetViews>
    <sheetView topLeftCell="M137" workbookViewId="0">
      <selection activeCell="X3" sqref="X3"/>
    </sheetView>
  </sheetViews>
  <sheetFormatPr defaultRowHeight="14.4" x14ac:dyDescent="0.3"/>
  <cols>
    <col min="1" max="1" width="14.5546875" bestFit="1" customWidth="1"/>
    <col min="2" max="2" width="80.88671875" bestFit="1" customWidth="1"/>
    <col min="3" max="3" width="20.109375" bestFit="1" customWidth="1"/>
    <col min="4" max="4" width="18" bestFit="1" customWidth="1"/>
    <col min="5" max="5" width="18.33203125" bestFit="1" customWidth="1"/>
    <col min="6" max="6" width="21.88671875" bestFit="1" customWidth="1"/>
    <col min="7" max="7" width="22.21875" bestFit="1" customWidth="1"/>
    <col min="8" max="8" width="9.33203125" bestFit="1" customWidth="1"/>
    <col min="9" max="9" width="9.6640625" bestFit="1" customWidth="1"/>
    <col min="10" max="10" width="17.77734375" bestFit="1" customWidth="1"/>
    <col min="11" max="11" width="18.109375" bestFit="1" customWidth="1"/>
    <col min="12" max="12" width="10.6640625" bestFit="1" customWidth="1"/>
    <col min="13" max="13" width="11" bestFit="1" customWidth="1"/>
    <col min="14" max="14" width="12.77734375" bestFit="1" customWidth="1"/>
    <col min="15" max="15" width="13.109375" bestFit="1" customWidth="1"/>
    <col min="16" max="16" width="19" bestFit="1" customWidth="1"/>
    <col min="17" max="17" width="19.44140625" bestFit="1" customWidth="1"/>
    <col min="18" max="18" width="19" bestFit="1" customWidth="1"/>
    <col min="19" max="19" width="19.44140625" bestFit="1" customWidth="1"/>
    <col min="20" max="20" width="22.33203125" bestFit="1" customWidth="1"/>
    <col min="21" max="21" width="22.6640625" bestFit="1" customWidth="1"/>
    <col min="22" max="22" width="10.6640625" bestFit="1" customWidth="1"/>
    <col min="23" max="23" width="14.6640625" bestFit="1" customWidth="1"/>
    <col min="24" max="24" width="8.5546875" bestFit="1" customWidth="1"/>
    <col min="26" max="26" width="8.5546875" bestFit="1" customWidth="1"/>
    <col min="28" max="28" width="8.5546875" bestFit="1" customWidth="1"/>
    <col min="30" max="30" width="8.5546875" bestFit="1" customWidth="1"/>
    <col min="32" max="32" width="8.5546875" bestFit="1" customWidth="1"/>
    <col min="33" max="33" width="9.88671875" bestFit="1" customWidth="1"/>
    <col min="34" max="34" width="9.5546875" bestFit="1" customWidth="1"/>
    <col min="35" max="35" width="9.88671875" bestFit="1" customWidth="1"/>
    <col min="36" max="36" width="9.5546875" bestFit="1" customWidth="1"/>
    <col min="37" max="37" width="10" bestFit="1" customWidth="1"/>
    <col min="38" max="38" width="9.5546875" bestFit="1" customWidth="1"/>
    <col min="39" max="39" width="9.88671875" bestFit="1" customWidth="1"/>
  </cols>
  <sheetData>
    <row r="1" spans="1:24" x14ac:dyDescent="0.3">
      <c r="A1" t="s">
        <v>262</v>
      </c>
      <c r="B1" t="s">
        <v>263</v>
      </c>
      <c r="C1" t="s">
        <v>264</v>
      </c>
      <c r="D1" t="s">
        <v>1457</v>
      </c>
      <c r="E1" t="s">
        <v>1458</v>
      </c>
      <c r="F1" t="s">
        <v>1459</v>
      </c>
      <c r="G1" t="s">
        <v>1460</v>
      </c>
      <c r="H1" t="s">
        <v>1461</v>
      </c>
      <c r="I1" t="s">
        <v>1462</v>
      </c>
      <c r="J1" t="s">
        <v>1463</v>
      </c>
      <c r="K1" t="s">
        <v>1464</v>
      </c>
      <c r="L1" t="s">
        <v>1465</v>
      </c>
      <c r="M1" t="s">
        <v>1466</v>
      </c>
      <c r="N1" t="s">
        <v>1467</v>
      </c>
      <c r="O1" t="s">
        <v>1468</v>
      </c>
      <c r="P1" t="s">
        <v>1469</v>
      </c>
      <c r="Q1" t="s">
        <v>1470</v>
      </c>
      <c r="R1" t="s">
        <v>1471</v>
      </c>
      <c r="S1" t="s">
        <v>1472</v>
      </c>
      <c r="T1" t="s">
        <v>1473</v>
      </c>
      <c r="U1" t="s">
        <v>1474</v>
      </c>
      <c r="V1" t="s">
        <v>1481</v>
      </c>
      <c r="W1" t="s">
        <v>1482</v>
      </c>
      <c r="X1" t="s">
        <v>1485</v>
      </c>
    </row>
    <row r="2" spans="1:24" x14ac:dyDescent="0.3">
      <c r="A2">
        <v>1001</v>
      </c>
      <c r="B2" s="1" t="s">
        <v>265</v>
      </c>
      <c r="C2" s="1" t="s">
        <v>0</v>
      </c>
      <c r="D2">
        <v>2</v>
      </c>
      <c r="E2">
        <v>24</v>
      </c>
      <c r="F2">
        <v>7.8</v>
      </c>
      <c r="G2">
        <v>9.1999999999999993</v>
      </c>
      <c r="H2">
        <v>7.2</v>
      </c>
      <c r="I2">
        <v>8.1999999999999993</v>
      </c>
      <c r="J2">
        <v>68</v>
      </c>
      <c r="K2">
        <v>380</v>
      </c>
      <c r="L2">
        <v>1</v>
      </c>
      <c r="M2">
        <v>2.8</v>
      </c>
      <c r="N2">
        <v>0.32</v>
      </c>
      <c r="O2">
        <v>1.1499999999999999</v>
      </c>
      <c r="P2">
        <v>2</v>
      </c>
      <c r="Q2">
        <v>170</v>
      </c>
      <c r="R2">
        <v>63</v>
      </c>
      <c r="S2">
        <v>540</v>
      </c>
      <c r="T2">
        <v>2</v>
      </c>
      <c r="U2">
        <v>2</v>
      </c>
      <c r="V2">
        <f>River_data[[#This Row],[Dissolved Oxygen Min]]*River_data[[#This Row],[Dissolved Oxygen Max]]/2</f>
        <v>35.879999999999995</v>
      </c>
      <c r="W2">
        <f>River_data[[#This Row],[BOD Min]]*River_data[[#This Row],[BOD Max]]/2</f>
        <v>1.4</v>
      </c>
      <c r="X2">
        <f>AVERAGE(River_data[[#This Row],[pH Max]]-River_data[[#This Row],[pH Min]])</f>
        <v>0.99999999999999911</v>
      </c>
    </row>
    <row r="3" spans="1:24" x14ac:dyDescent="0.3">
      <c r="A3">
        <v>4444</v>
      </c>
      <c r="B3" s="1" t="s">
        <v>266</v>
      </c>
      <c r="C3" s="1" t="s">
        <v>0</v>
      </c>
      <c r="D3">
        <v>2</v>
      </c>
      <c r="E3">
        <v>13</v>
      </c>
      <c r="F3">
        <v>7.8</v>
      </c>
      <c r="G3">
        <v>8.8000000000000007</v>
      </c>
      <c r="H3">
        <v>6.7</v>
      </c>
      <c r="I3">
        <v>7.8</v>
      </c>
      <c r="J3">
        <v>62</v>
      </c>
      <c r="K3">
        <v>113</v>
      </c>
      <c r="L3">
        <v>1</v>
      </c>
      <c r="M3">
        <v>2.8</v>
      </c>
      <c r="N3">
        <v>0.32</v>
      </c>
      <c r="O3">
        <v>1.08</v>
      </c>
      <c r="P3">
        <v>110</v>
      </c>
      <c r="Q3">
        <v>1600</v>
      </c>
      <c r="R3">
        <v>350</v>
      </c>
      <c r="S3">
        <v>1600</v>
      </c>
      <c r="T3">
        <v>2</v>
      </c>
      <c r="U3">
        <v>2</v>
      </c>
      <c r="V3">
        <f>River_data[[#This Row],[Dissolved Oxygen Min]]*River_data[[#This Row],[Dissolved Oxygen Max]]/2</f>
        <v>34.32</v>
      </c>
      <c r="W3">
        <f>River_data[[#This Row],[BOD Min]]*River_data[[#This Row],[BOD Max]]/2</f>
        <v>1.4</v>
      </c>
      <c r="X3">
        <f>AVERAGE(River_data[[#This Row],[pH Max]]-River_data[[#This Row],[pH Min]])</f>
        <v>1.0999999999999996</v>
      </c>
    </row>
    <row r="4" spans="1:24" x14ac:dyDescent="0.3">
      <c r="A4">
        <v>3866</v>
      </c>
      <c r="B4" s="1" t="s">
        <v>267</v>
      </c>
      <c r="C4" s="1" t="s">
        <v>0</v>
      </c>
      <c r="D4">
        <v>2</v>
      </c>
      <c r="E4">
        <v>13</v>
      </c>
      <c r="F4">
        <v>7.8</v>
      </c>
      <c r="G4">
        <v>9.1</v>
      </c>
      <c r="H4">
        <v>7</v>
      </c>
      <c r="I4">
        <v>7.8</v>
      </c>
      <c r="J4">
        <v>51</v>
      </c>
      <c r="K4">
        <v>113</v>
      </c>
      <c r="L4">
        <v>1</v>
      </c>
      <c r="M4">
        <v>1</v>
      </c>
      <c r="N4">
        <v>0.32</v>
      </c>
      <c r="O4">
        <v>0.97</v>
      </c>
      <c r="P4">
        <v>23</v>
      </c>
      <c r="Q4">
        <v>120</v>
      </c>
      <c r="R4">
        <v>110</v>
      </c>
      <c r="S4">
        <v>430</v>
      </c>
      <c r="T4">
        <v>2</v>
      </c>
      <c r="U4">
        <v>2</v>
      </c>
      <c r="V4">
        <f>River_data[[#This Row],[Dissolved Oxygen Min]]*River_data[[#This Row],[Dissolved Oxygen Max]]/2</f>
        <v>35.489999999999995</v>
      </c>
      <c r="W4">
        <f>River_data[[#This Row],[BOD Min]]*River_data[[#This Row],[BOD Max]]/2</f>
        <v>0.5</v>
      </c>
      <c r="X4">
        <f>AVERAGE(River_data[[#This Row],[pH Max]]-River_data[[#This Row],[pH Min]])</f>
        <v>0.79999999999999982</v>
      </c>
    </row>
    <row r="5" spans="1:24" x14ac:dyDescent="0.3">
      <c r="A5">
        <v>4445</v>
      </c>
      <c r="B5" s="1" t="s">
        <v>268</v>
      </c>
      <c r="C5" s="1" t="s">
        <v>0</v>
      </c>
      <c r="D5">
        <v>4</v>
      </c>
      <c r="E5">
        <v>16</v>
      </c>
      <c r="F5">
        <v>7.6</v>
      </c>
      <c r="G5">
        <v>8.4</v>
      </c>
      <c r="H5">
        <v>6.6</v>
      </c>
      <c r="I5">
        <v>7.7</v>
      </c>
      <c r="J5">
        <v>73</v>
      </c>
      <c r="K5">
        <v>170</v>
      </c>
      <c r="L5">
        <v>1</v>
      </c>
      <c r="M5">
        <v>1.6</v>
      </c>
      <c r="N5">
        <v>0.32</v>
      </c>
      <c r="O5">
        <v>0.96</v>
      </c>
      <c r="P5">
        <v>47</v>
      </c>
      <c r="Q5">
        <v>150</v>
      </c>
      <c r="R5">
        <v>280</v>
      </c>
      <c r="S5">
        <v>920</v>
      </c>
      <c r="T5">
        <v>2</v>
      </c>
      <c r="U5">
        <v>2</v>
      </c>
      <c r="V5">
        <f>River_data[[#This Row],[Dissolved Oxygen Min]]*River_data[[#This Row],[Dissolved Oxygen Max]]/2</f>
        <v>31.919999999999998</v>
      </c>
      <c r="W5">
        <f>River_data[[#This Row],[BOD Min]]*River_data[[#This Row],[BOD Max]]/2</f>
        <v>0.8</v>
      </c>
      <c r="X5">
        <f>AVERAGE(River_data[[#This Row],[pH Max]]-River_data[[#This Row],[pH Min]])</f>
        <v>1.1000000000000005</v>
      </c>
    </row>
    <row r="6" spans="1:24" x14ac:dyDescent="0.3">
      <c r="A6">
        <v>1003</v>
      </c>
      <c r="B6" s="1" t="s">
        <v>269</v>
      </c>
      <c r="C6" s="1" t="s">
        <v>0</v>
      </c>
      <c r="D6">
        <v>5</v>
      </c>
      <c r="E6">
        <v>16</v>
      </c>
      <c r="F6">
        <v>7.5</v>
      </c>
      <c r="G6">
        <v>8.1</v>
      </c>
      <c r="H6">
        <v>7.2</v>
      </c>
      <c r="I6">
        <v>8.1999999999999993</v>
      </c>
      <c r="J6">
        <v>61</v>
      </c>
      <c r="K6">
        <v>129</v>
      </c>
      <c r="L6">
        <v>1</v>
      </c>
      <c r="M6">
        <v>1</v>
      </c>
      <c r="N6">
        <v>0.32</v>
      </c>
      <c r="O6">
        <v>0.77</v>
      </c>
      <c r="P6">
        <v>34</v>
      </c>
      <c r="Q6">
        <v>280</v>
      </c>
      <c r="R6">
        <v>170</v>
      </c>
      <c r="S6">
        <v>1600</v>
      </c>
      <c r="T6">
        <v>2</v>
      </c>
      <c r="U6">
        <v>2</v>
      </c>
      <c r="V6">
        <f>River_data[[#This Row],[Dissolved Oxygen Min]]*River_data[[#This Row],[Dissolved Oxygen Max]]/2</f>
        <v>30.375</v>
      </c>
      <c r="W6">
        <f>River_data[[#This Row],[BOD Min]]*River_data[[#This Row],[BOD Max]]/2</f>
        <v>0.5</v>
      </c>
      <c r="X6">
        <f>AVERAGE(River_data[[#This Row],[pH Max]]-River_data[[#This Row],[pH Min]])</f>
        <v>0.99999999999999911</v>
      </c>
    </row>
    <row r="7" spans="1:24" x14ac:dyDescent="0.3">
      <c r="A7">
        <v>2603</v>
      </c>
      <c r="B7" s="1" t="s">
        <v>270</v>
      </c>
      <c r="C7" s="1" t="s">
        <v>0</v>
      </c>
      <c r="D7">
        <v>8</v>
      </c>
      <c r="E7">
        <v>26</v>
      </c>
      <c r="F7">
        <v>8</v>
      </c>
      <c r="G7">
        <v>9.3000000000000007</v>
      </c>
      <c r="H7">
        <v>7.1</v>
      </c>
      <c r="I7">
        <v>8.1999999999999993</v>
      </c>
      <c r="J7">
        <v>61</v>
      </c>
      <c r="K7">
        <v>202</v>
      </c>
      <c r="L7">
        <v>1</v>
      </c>
      <c r="M7">
        <v>1</v>
      </c>
      <c r="N7">
        <v>0.32</v>
      </c>
      <c r="O7">
        <v>1.1499999999999999</v>
      </c>
      <c r="P7">
        <v>41</v>
      </c>
      <c r="Q7">
        <v>110</v>
      </c>
      <c r="R7">
        <v>210</v>
      </c>
      <c r="S7">
        <v>920</v>
      </c>
      <c r="T7">
        <v>2</v>
      </c>
      <c r="U7">
        <v>2</v>
      </c>
      <c r="V7">
        <f>River_data[[#This Row],[Dissolved Oxygen Min]]*River_data[[#This Row],[Dissolved Oxygen Max]]/2</f>
        <v>37.200000000000003</v>
      </c>
      <c r="W7">
        <f>River_data[[#This Row],[BOD Min]]*River_data[[#This Row],[BOD Max]]/2</f>
        <v>0.5</v>
      </c>
      <c r="X7">
        <f>AVERAGE(River_data[[#This Row],[pH Max]]-River_data[[#This Row],[pH Min]])</f>
        <v>1.0999999999999996</v>
      </c>
    </row>
    <row r="8" spans="1:24" x14ac:dyDescent="0.3">
      <c r="A8">
        <v>1550</v>
      </c>
      <c r="B8" s="1" t="s">
        <v>271</v>
      </c>
      <c r="C8" s="1" t="s">
        <v>0</v>
      </c>
      <c r="D8">
        <v>6</v>
      </c>
      <c r="E8">
        <v>25</v>
      </c>
      <c r="F8">
        <v>7.8</v>
      </c>
      <c r="G8">
        <v>9.1999999999999993</v>
      </c>
      <c r="H8">
        <v>7.2</v>
      </c>
      <c r="I8">
        <v>8</v>
      </c>
      <c r="J8">
        <v>80</v>
      </c>
      <c r="K8">
        <v>190</v>
      </c>
      <c r="L8">
        <v>1</v>
      </c>
      <c r="M8">
        <v>1</v>
      </c>
      <c r="N8">
        <v>0.32</v>
      </c>
      <c r="O8">
        <v>0.98</v>
      </c>
      <c r="P8">
        <v>23</v>
      </c>
      <c r="Q8">
        <v>94</v>
      </c>
      <c r="R8">
        <v>120</v>
      </c>
      <c r="S8">
        <v>430</v>
      </c>
      <c r="T8">
        <v>2</v>
      </c>
      <c r="U8">
        <v>2</v>
      </c>
      <c r="V8">
        <f>River_data[[#This Row],[Dissolved Oxygen Min]]*River_data[[#This Row],[Dissolved Oxygen Max]]/2</f>
        <v>35.879999999999995</v>
      </c>
      <c r="W8">
        <f>River_data[[#This Row],[BOD Min]]*River_data[[#This Row],[BOD Max]]/2</f>
        <v>0.5</v>
      </c>
      <c r="X8">
        <f>AVERAGE(River_data[[#This Row],[pH Max]]-River_data[[#This Row],[pH Min]])</f>
        <v>0.79999999999999982</v>
      </c>
    </row>
    <row r="9" spans="1:24" x14ac:dyDescent="0.3">
      <c r="A9">
        <v>2604</v>
      </c>
      <c r="B9" s="1" t="s">
        <v>272</v>
      </c>
      <c r="C9" s="1" t="s">
        <v>0</v>
      </c>
      <c r="D9">
        <v>13</v>
      </c>
      <c r="E9">
        <v>22</v>
      </c>
      <c r="F9">
        <v>8.6</v>
      </c>
      <c r="G9">
        <v>9.4</v>
      </c>
      <c r="H9">
        <v>7.2</v>
      </c>
      <c r="I9">
        <v>8.1999999999999993</v>
      </c>
      <c r="J9">
        <v>115</v>
      </c>
      <c r="K9">
        <v>362</v>
      </c>
      <c r="L9">
        <v>1</v>
      </c>
      <c r="M9">
        <v>1</v>
      </c>
      <c r="N9">
        <v>1.2</v>
      </c>
      <c r="O9">
        <v>4.83</v>
      </c>
      <c r="P9">
        <v>2</v>
      </c>
      <c r="Q9">
        <v>68</v>
      </c>
      <c r="R9">
        <v>110</v>
      </c>
      <c r="S9">
        <v>16000</v>
      </c>
      <c r="T9">
        <v>2</v>
      </c>
      <c r="U9">
        <v>2</v>
      </c>
      <c r="V9">
        <f>River_data[[#This Row],[Dissolved Oxygen Min]]*River_data[[#This Row],[Dissolved Oxygen Max]]/2</f>
        <v>40.42</v>
      </c>
      <c r="W9">
        <f>River_data[[#This Row],[BOD Min]]*River_data[[#This Row],[BOD Max]]/2</f>
        <v>0.5</v>
      </c>
      <c r="X9">
        <f>AVERAGE(River_data[[#This Row],[pH Max]]-River_data[[#This Row],[pH Min]])</f>
        <v>0.99999999999999911</v>
      </c>
    </row>
    <row r="10" spans="1:24" x14ac:dyDescent="0.3">
      <c r="A10">
        <v>3855</v>
      </c>
      <c r="B10" s="1" t="s">
        <v>273</v>
      </c>
      <c r="C10" s="1" t="s">
        <v>0</v>
      </c>
      <c r="D10">
        <v>14</v>
      </c>
      <c r="E10">
        <v>22</v>
      </c>
      <c r="F10">
        <v>6.8</v>
      </c>
      <c r="G10">
        <v>9.3000000000000007</v>
      </c>
      <c r="H10">
        <v>7.5</v>
      </c>
      <c r="I10">
        <v>8.5</v>
      </c>
      <c r="J10">
        <v>81</v>
      </c>
      <c r="K10">
        <v>404</v>
      </c>
      <c r="L10">
        <v>1</v>
      </c>
      <c r="M10">
        <v>1.2</v>
      </c>
      <c r="N10">
        <v>0.3</v>
      </c>
      <c r="O10">
        <v>2.5299999999999998</v>
      </c>
      <c r="P10">
        <v>2</v>
      </c>
      <c r="Q10">
        <v>93</v>
      </c>
      <c r="R10">
        <v>39</v>
      </c>
      <c r="S10">
        <v>5400</v>
      </c>
      <c r="T10">
        <v>2</v>
      </c>
      <c r="U10">
        <v>2</v>
      </c>
      <c r="V10">
        <f>River_data[[#This Row],[Dissolved Oxygen Min]]*River_data[[#This Row],[Dissolved Oxygen Max]]/2</f>
        <v>31.62</v>
      </c>
      <c r="W10">
        <f>River_data[[#This Row],[BOD Min]]*River_data[[#This Row],[BOD Max]]/2</f>
        <v>0.6</v>
      </c>
      <c r="X10">
        <f>AVERAGE(River_data[[#This Row],[pH Max]]-River_data[[#This Row],[pH Min]])</f>
        <v>1</v>
      </c>
    </row>
    <row r="11" spans="1:24" x14ac:dyDescent="0.3">
      <c r="A11">
        <v>1867</v>
      </c>
      <c r="B11" s="1" t="s">
        <v>2</v>
      </c>
      <c r="C11" s="1" t="s">
        <v>0</v>
      </c>
      <c r="D11">
        <v>7</v>
      </c>
      <c r="E11">
        <v>11.5</v>
      </c>
      <c r="F11">
        <v>9.1</v>
      </c>
      <c r="G11">
        <v>9.4</v>
      </c>
      <c r="H11">
        <v>7.5</v>
      </c>
      <c r="I11">
        <v>8.3000000000000007</v>
      </c>
      <c r="J11">
        <v>141</v>
      </c>
      <c r="K11">
        <v>534</v>
      </c>
      <c r="L11">
        <v>1</v>
      </c>
      <c r="M11">
        <v>1</v>
      </c>
      <c r="N11">
        <v>0.32</v>
      </c>
      <c r="O11">
        <v>1.49</v>
      </c>
      <c r="P11">
        <v>2</v>
      </c>
      <c r="Q11">
        <v>33</v>
      </c>
      <c r="R11">
        <v>9</v>
      </c>
      <c r="S11">
        <v>280</v>
      </c>
      <c r="T11">
        <v>2</v>
      </c>
      <c r="U11">
        <v>2</v>
      </c>
      <c r="V11">
        <f>River_data[[#This Row],[Dissolved Oxygen Min]]*River_data[[#This Row],[Dissolved Oxygen Max]]/2</f>
        <v>42.77</v>
      </c>
      <c r="W11">
        <f>River_data[[#This Row],[BOD Min]]*River_data[[#This Row],[BOD Max]]/2</f>
        <v>0.5</v>
      </c>
      <c r="X11">
        <f>AVERAGE(River_data[[#This Row],[pH Max]]-River_data[[#This Row],[pH Min]])</f>
        <v>0.80000000000000071</v>
      </c>
    </row>
    <row r="12" spans="1:24" x14ac:dyDescent="0.3">
      <c r="A12">
        <v>2611</v>
      </c>
      <c r="B12" s="1" t="s">
        <v>3</v>
      </c>
      <c r="C12" s="1" t="s">
        <v>0</v>
      </c>
      <c r="D12">
        <v>7</v>
      </c>
      <c r="E12">
        <v>11.5</v>
      </c>
      <c r="F12">
        <v>9.1999999999999993</v>
      </c>
      <c r="G12">
        <v>9.5</v>
      </c>
      <c r="H12">
        <v>7.8</v>
      </c>
      <c r="I12">
        <v>8.4</v>
      </c>
      <c r="J12">
        <v>127</v>
      </c>
      <c r="K12">
        <v>531</v>
      </c>
      <c r="L12">
        <v>1</v>
      </c>
      <c r="M12">
        <v>1</v>
      </c>
      <c r="N12">
        <v>0.32</v>
      </c>
      <c r="O12">
        <v>1.5</v>
      </c>
      <c r="P12">
        <v>2</v>
      </c>
      <c r="Q12">
        <v>49</v>
      </c>
      <c r="R12">
        <v>7</v>
      </c>
      <c r="S12">
        <v>1600</v>
      </c>
      <c r="T12">
        <v>2</v>
      </c>
      <c r="U12">
        <v>2</v>
      </c>
      <c r="V12">
        <f>River_data[[#This Row],[Dissolved Oxygen Min]]*River_data[[#This Row],[Dissolved Oxygen Max]]/2</f>
        <v>43.699999999999996</v>
      </c>
      <c r="W12">
        <f>River_data[[#This Row],[BOD Min]]*River_data[[#This Row],[BOD Max]]/2</f>
        <v>0.5</v>
      </c>
      <c r="X12">
        <f>AVERAGE(River_data[[#This Row],[pH Max]]-River_data[[#This Row],[pH Min]])</f>
        <v>0.60000000000000053</v>
      </c>
    </row>
    <row r="13" spans="1:24" x14ac:dyDescent="0.3">
      <c r="A13">
        <v>3872</v>
      </c>
      <c r="B13" s="1" t="s">
        <v>4</v>
      </c>
      <c r="C13" s="1" t="s">
        <v>0</v>
      </c>
      <c r="D13">
        <v>7</v>
      </c>
      <c r="E13">
        <v>11.5</v>
      </c>
      <c r="F13">
        <v>9</v>
      </c>
      <c r="G13">
        <v>9.3000000000000007</v>
      </c>
      <c r="H13">
        <v>7.6</v>
      </c>
      <c r="I13">
        <v>8.4</v>
      </c>
      <c r="J13">
        <v>118</v>
      </c>
      <c r="K13">
        <v>505</v>
      </c>
      <c r="L13">
        <v>1</v>
      </c>
      <c r="M13">
        <v>1</v>
      </c>
      <c r="N13">
        <v>0.32</v>
      </c>
      <c r="O13">
        <v>1.19</v>
      </c>
      <c r="P13">
        <v>2</v>
      </c>
      <c r="Q13">
        <v>350</v>
      </c>
      <c r="R13">
        <v>4</v>
      </c>
      <c r="S13">
        <v>1600</v>
      </c>
      <c r="T13">
        <v>2</v>
      </c>
      <c r="U13">
        <v>2</v>
      </c>
      <c r="V13">
        <f>River_data[[#This Row],[Dissolved Oxygen Min]]*River_data[[#This Row],[Dissolved Oxygen Max]]/2</f>
        <v>41.85</v>
      </c>
      <c r="W13">
        <f>River_data[[#This Row],[BOD Min]]*River_data[[#This Row],[BOD Max]]/2</f>
        <v>0.5</v>
      </c>
      <c r="X13">
        <f>AVERAGE(River_data[[#This Row],[pH Max]]-River_data[[#This Row],[pH Min]])</f>
        <v>0.80000000000000071</v>
      </c>
    </row>
    <row r="14" spans="1:24" x14ac:dyDescent="0.3">
      <c r="A14">
        <v>4448</v>
      </c>
      <c r="B14" s="1" t="s">
        <v>5</v>
      </c>
      <c r="C14" s="1" t="s">
        <v>0</v>
      </c>
      <c r="D14">
        <v>7.5</v>
      </c>
      <c r="E14">
        <v>11.5</v>
      </c>
      <c r="F14">
        <v>9</v>
      </c>
      <c r="G14">
        <v>9.3000000000000007</v>
      </c>
      <c r="H14">
        <v>7.6</v>
      </c>
      <c r="I14">
        <v>8.4</v>
      </c>
      <c r="J14">
        <v>118</v>
      </c>
      <c r="K14">
        <v>490</v>
      </c>
      <c r="L14">
        <v>1</v>
      </c>
      <c r="M14">
        <v>1</v>
      </c>
      <c r="N14">
        <v>0.32</v>
      </c>
      <c r="O14">
        <v>1.4</v>
      </c>
      <c r="P14">
        <v>7</v>
      </c>
      <c r="Q14">
        <v>33</v>
      </c>
      <c r="R14">
        <v>17</v>
      </c>
      <c r="S14">
        <v>350</v>
      </c>
      <c r="T14">
        <v>2</v>
      </c>
      <c r="U14">
        <v>2</v>
      </c>
      <c r="V14">
        <f>River_data[[#This Row],[Dissolved Oxygen Min]]*River_data[[#This Row],[Dissolved Oxygen Max]]/2</f>
        <v>41.85</v>
      </c>
      <c r="W14">
        <f>River_data[[#This Row],[BOD Min]]*River_data[[#This Row],[BOD Max]]/2</f>
        <v>0.5</v>
      </c>
      <c r="X14">
        <f>AVERAGE(River_data[[#This Row],[pH Max]]-River_data[[#This Row],[pH Min]])</f>
        <v>0.80000000000000071</v>
      </c>
    </row>
    <row r="15" spans="1:24" x14ac:dyDescent="0.3">
      <c r="A15">
        <v>4449</v>
      </c>
      <c r="B15" s="1" t="s">
        <v>6</v>
      </c>
      <c r="C15" s="1" t="s">
        <v>0</v>
      </c>
      <c r="D15">
        <v>7</v>
      </c>
      <c r="E15">
        <v>11.5</v>
      </c>
      <c r="F15">
        <v>9</v>
      </c>
      <c r="G15">
        <v>9.3000000000000007</v>
      </c>
      <c r="H15">
        <v>7.8</v>
      </c>
      <c r="I15">
        <v>8.4</v>
      </c>
      <c r="J15">
        <v>122</v>
      </c>
      <c r="K15">
        <v>481</v>
      </c>
      <c r="L15">
        <v>1</v>
      </c>
      <c r="M15">
        <v>1</v>
      </c>
      <c r="N15">
        <v>0.32</v>
      </c>
      <c r="O15">
        <v>1.23</v>
      </c>
      <c r="P15">
        <v>5</v>
      </c>
      <c r="Q15">
        <v>140</v>
      </c>
      <c r="R15">
        <v>17</v>
      </c>
      <c r="S15">
        <v>350</v>
      </c>
      <c r="T15">
        <v>2</v>
      </c>
      <c r="U15">
        <v>2</v>
      </c>
      <c r="V15">
        <f>River_data[[#This Row],[Dissolved Oxygen Min]]*River_data[[#This Row],[Dissolved Oxygen Max]]/2</f>
        <v>41.85</v>
      </c>
      <c r="W15">
        <f>River_data[[#This Row],[BOD Min]]*River_data[[#This Row],[BOD Max]]/2</f>
        <v>0.5</v>
      </c>
      <c r="X15">
        <f>AVERAGE(River_data[[#This Row],[pH Max]]-River_data[[#This Row],[pH Min]])</f>
        <v>0.60000000000000053</v>
      </c>
    </row>
    <row r="16" spans="1:24" x14ac:dyDescent="0.3">
      <c r="A16">
        <v>4452</v>
      </c>
      <c r="B16" s="1" t="s">
        <v>7</v>
      </c>
      <c r="C16" s="1" t="s">
        <v>0</v>
      </c>
      <c r="D16">
        <v>7.5</v>
      </c>
      <c r="E16">
        <v>12</v>
      </c>
      <c r="F16">
        <v>8.6999999999999993</v>
      </c>
      <c r="G16">
        <v>9.3000000000000007</v>
      </c>
      <c r="H16">
        <v>7.5</v>
      </c>
      <c r="I16">
        <v>8.3000000000000007</v>
      </c>
      <c r="J16">
        <v>119</v>
      </c>
      <c r="K16">
        <v>517</v>
      </c>
      <c r="L16">
        <v>1</v>
      </c>
      <c r="M16">
        <v>1</v>
      </c>
      <c r="N16">
        <v>0.32</v>
      </c>
      <c r="O16">
        <v>1.44</v>
      </c>
      <c r="P16">
        <v>2</v>
      </c>
      <c r="Q16">
        <v>33</v>
      </c>
      <c r="R16">
        <v>11</v>
      </c>
      <c r="S16">
        <v>350</v>
      </c>
      <c r="T16">
        <v>2</v>
      </c>
      <c r="U16">
        <v>2</v>
      </c>
      <c r="V16">
        <f>River_data[[#This Row],[Dissolved Oxygen Min]]*River_data[[#This Row],[Dissolved Oxygen Max]]/2</f>
        <v>40.454999999999998</v>
      </c>
      <c r="W16">
        <f>River_data[[#This Row],[BOD Min]]*River_data[[#This Row],[BOD Max]]/2</f>
        <v>0.5</v>
      </c>
      <c r="X16">
        <f>AVERAGE(River_data[[#This Row],[pH Max]]-River_data[[#This Row],[pH Min]])</f>
        <v>0.80000000000000071</v>
      </c>
    </row>
    <row r="17" spans="1:24" x14ac:dyDescent="0.3">
      <c r="A17">
        <v>3871</v>
      </c>
      <c r="B17" s="1" t="s">
        <v>8</v>
      </c>
      <c r="C17" s="1" t="s">
        <v>0</v>
      </c>
      <c r="D17">
        <v>7</v>
      </c>
      <c r="E17">
        <v>12</v>
      </c>
      <c r="F17">
        <v>8.9</v>
      </c>
      <c r="G17">
        <v>9.4</v>
      </c>
      <c r="H17">
        <v>7.5</v>
      </c>
      <c r="I17">
        <v>8.5</v>
      </c>
      <c r="J17">
        <v>117</v>
      </c>
      <c r="K17">
        <v>491</v>
      </c>
      <c r="L17">
        <v>1</v>
      </c>
      <c r="M17">
        <v>1</v>
      </c>
      <c r="N17">
        <v>0.32</v>
      </c>
      <c r="O17">
        <v>1.39</v>
      </c>
      <c r="P17">
        <v>2</v>
      </c>
      <c r="Q17">
        <v>110</v>
      </c>
      <c r="R17">
        <v>7</v>
      </c>
      <c r="S17">
        <v>540</v>
      </c>
      <c r="T17">
        <v>2</v>
      </c>
      <c r="U17">
        <v>2</v>
      </c>
      <c r="V17">
        <f>River_data[[#This Row],[Dissolved Oxygen Min]]*River_data[[#This Row],[Dissolved Oxygen Max]]/2</f>
        <v>41.830000000000005</v>
      </c>
      <c r="W17">
        <f>River_data[[#This Row],[BOD Min]]*River_data[[#This Row],[BOD Max]]/2</f>
        <v>0.5</v>
      </c>
      <c r="X17">
        <f>AVERAGE(River_data[[#This Row],[pH Max]]-River_data[[#This Row],[pH Min]])</f>
        <v>1</v>
      </c>
    </row>
    <row r="18" spans="1:24" x14ac:dyDescent="0.3">
      <c r="A18">
        <v>3870</v>
      </c>
      <c r="B18" s="1" t="s">
        <v>9</v>
      </c>
      <c r="C18" s="1" t="s">
        <v>0</v>
      </c>
      <c r="D18">
        <v>7</v>
      </c>
      <c r="E18">
        <v>12</v>
      </c>
      <c r="F18">
        <v>8.8000000000000007</v>
      </c>
      <c r="G18">
        <v>9.3000000000000007</v>
      </c>
      <c r="H18">
        <v>7.8</v>
      </c>
      <c r="I18">
        <v>8.4</v>
      </c>
      <c r="J18">
        <v>121</v>
      </c>
      <c r="K18">
        <v>460</v>
      </c>
      <c r="L18">
        <v>1</v>
      </c>
      <c r="M18">
        <v>1</v>
      </c>
      <c r="N18">
        <v>0.32</v>
      </c>
      <c r="O18">
        <v>1.39</v>
      </c>
      <c r="P18">
        <v>2</v>
      </c>
      <c r="Q18">
        <v>27</v>
      </c>
      <c r="R18">
        <v>8</v>
      </c>
      <c r="S18">
        <v>540</v>
      </c>
      <c r="T18">
        <v>2</v>
      </c>
      <c r="U18">
        <v>2</v>
      </c>
      <c r="V18">
        <f>River_data[[#This Row],[Dissolved Oxygen Min]]*River_data[[#This Row],[Dissolved Oxygen Max]]/2</f>
        <v>40.920000000000009</v>
      </c>
      <c r="W18">
        <f>River_data[[#This Row],[BOD Min]]*River_data[[#This Row],[BOD Max]]/2</f>
        <v>0.5</v>
      </c>
      <c r="X18">
        <f>AVERAGE(River_data[[#This Row],[pH Max]]-River_data[[#This Row],[pH Min]])</f>
        <v>0.60000000000000053</v>
      </c>
    </row>
    <row r="19" spans="1:24" x14ac:dyDescent="0.3">
      <c r="A19">
        <v>1389</v>
      </c>
      <c r="B19" s="1" t="s">
        <v>10</v>
      </c>
      <c r="C19" s="1" t="s">
        <v>0</v>
      </c>
      <c r="D19">
        <v>7.5</v>
      </c>
      <c r="E19">
        <v>12</v>
      </c>
      <c r="F19">
        <v>8.6999999999999993</v>
      </c>
      <c r="G19">
        <v>9.3000000000000007</v>
      </c>
      <c r="H19">
        <v>7.7</v>
      </c>
      <c r="I19">
        <v>8.4</v>
      </c>
      <c r="J19">
        <v>108</v>
      </c>
      <c r="K19">
        <v>468</v>
      </c>
      <c r="L19">
        <v>1</v>
      </c>
      <c r="M19">
        <v>1</v>
      </c>
      <c r="N19">
        <v>0.32</v>
      </c>
      <c r="O19">
        <v>1.4</v>
      </c>
      <c r="P19">
        <v>2</v>
      </c>
      <c r="Q19">
        <v>46</v>
      </c>
      <c r="R19">
        <v>9</v>
      </c>
      <c r="S19">
        <v>1600</v>
      </c>
      <c r="T19">
        <v>2</v>
      </c>
      <c r="U19">
        <v>2</v>
      </c>
      <c r="V19">
        <f>River_data[[#This Row],[Dissolved Oxygen Min]]*River_data[[#This Row],[Dissolved Oxygen Max]]/2</f>
        <v>40.454999999999998</v>
      </c>
      <c r="W19">
        <f>River_data[[#This Row],[BOD Min]]*River_data[[#This Row],[BOD Max]]/2</f>
        <v>0.5</v>
      </c>
      <c r="X19">
        <f>AVERAGE(River_data[[#This Row],[pH Max]]-River_data[[#This Row],[pH Min]])</f>
        <v>0.70000000000000018</v>
      </c>
    </row>
    <row r="20" spans="1:24" x14ac:dyDescent="0.3">
      <c r="A20">
        <v>4453</v>
      </c>
      <c r="B20" s="1" t="s">
        <v>11</v>
      </c>
      <c r="C20" s="1" t="s">
        <v>0</v>
      </c>
      <c r="D20">
        <v>7</v>
      </c>
      <c r="E20">
        <v>12</v>
      </c>
      <c r="F20">
        <v>8.6999999999999993</v>
      </c>
      <c r="G20">
        <v>9.3000000000000007</v>
      </c>
      <c r="H20">
        <v>7.5</v>
      </c>
      <c r="I20">
        <v>8.4</v>
      </c>
      <c r="J20">
        <v>115</v>
      </c>
      <c r="K20">
        <v>437</v>
      </c>
      <c r="L20">
        <v>1</v>
      </c>
      <c r="M20">
        <v>1</v>
      </c>
      <c r="N20">
        <v>0.32</v>
      </c>
      <c r="O20">
        <v>1.43</v>
      </c>
      <c r="P20">
        <v>5</v>
      </c>
      <c r="Q20">
        <v>22</v>
      </c>
      <c r="R20">
        <v>17</v>
      </c>
      <c r="S20">
        <v>350</v>
      </c>
      <c r="T20">
        <v>2</v>
      </c>
      <c r="U20">
        <v>2</v>
      </c>
      <c r="V20">
        <f>River_data[[#This Row],[Dissolved Oxygen Min]]*River_data[[#This Row],[Dissolved Oxygen Max]]/2</f>
        <v>40.454999999999998</v>
      </c>
      <c r="W20">
        <f>River_data[[#This Row],[BOD Min]]*River_data[[#This Row],[BOD Max]]/2</f>
        <v>0.5</v>
      </c>
      <c r="X20">
        <f>AVERAGE(River_data[[#This Row],[pH Max]]-River_data[[#This Row],[pH Min]])</f>
        <v>0.90000000000000036</v>
      </c>
    </row>
    <row r="21" spans="1:24" x14ac:dyDescent="0.3">
      <c r="A21">
        <v>3869</v>
      </c>
      <c r="B21" s="1" t="s">
        <v>12</v>
      </c>
      <c r="C21" s="1" t="s">
        <v>0</v>
      </c>
      <c r="D21">
        <v>7.5</v>
      </c>
      <c r="E21">
        <v>13.5</v>
      </c>
      <c r="F21">
        <v>8.6999999999999993</v>
      </c>
      <c r="G21">
        <v>9.1999999999999993</v>
      </c>
      <c r="H21">
        <v>7.5</v>
      </c>
      <c r="I21">
        <v>8.3000000000000007</v>
      </c>
      <c r="J21">
        <v>105</v>
      </c>
      <c r="K21">
        <v>254</v>
      </c>
      <c r="L21">
        <v>1</v>
      </c>
      <c r="M21">
        <v>1</v>
      </c>
      <c r="N21">
        <v>0.32</v>
      </c>
      <c r="O21">
        <v>1.42</v>
      </c>
      <c r="P21">
        <v>7</v>
      </c>
      <c r="Q21">
        <v>170</v>
      </c>
      <c r="R21">
        <v>17</v>
      </c>
      <c r="S21">
        <v>1600</v>
      </c>
      <c r="T21">
        <v>2</v>
      </c>
      <c r="U21">
        <v>2</v>
      </c>
      <c r="V21">
        <f>River_data[[#This Row],[Dissolved Oxygen Min]]*River_data[[#This Row],[Dissolved Oxygen Max]]/2</f>
        <v>40.019999999999996</v>
      </c>
      <c r="W21">
        <f>River_data[[#This Row],[BOD Min]]*River_data[[#This Row],[BOD Max]]/2</f>
        <v>0.5</v>
      </c>
      <c r="X21">
        <f>AVERAGE(River_data[[#This Row],[pH Max]]-River_data[[#This Row],[pH Min]])</f>
        <v>0.80000000000000071</v>
      </c>
    </row>
    <row r="22" spans="1:24" x14ac:dyDescent="0.3">
      <c r="A22">
        <v>1086</v>
      </c>
      <c r="B22" s="1" t="s">
        <v>13</v>
      </c>
      <c r="C22" s="1" t="s">
        <v>0</v>
      </c>
      <c r="D22">
        <v>7.5</v>
      </c>
      <c r="E22">
        <v>13</v>
      </c>
      <c r="F22">
        <v>8.5</v>
      </c>
      <c r="G22">
        <v>9.3000000000000007</v>
      </c>
      <c r="H22">
        <v>7.7</v>
      </c>
      <c r="I22">
        <v>8.3000000000000007</v>
      </c>
      <c r="J22">
        <v>107</v>
      </c>
      <c r="K22">
        <v>251</v>
      </c>
      <c r="L22">
        <v>1</v>
      </c>
      <c r="M22">
        <v>1</v>
      </c>
      <c r="N22">
        <v>0.32</v>
      </c>
      <c r="O22">
        <v>0.95</v>
      </c>
      <c r="P22">
        <v>2</v>
      </c>
      <c r="Q22">
        <v>39</v>
      </c>
      <c r="R22">
        <v>17</v>
      </c>
      <c r="S22">
        <v>350</v>
      </c>
      <c r="T22">
        <v>2</v>
      </c>
      <c r="U22">
        <v>2</v>
      </c>
      <c r="V22">
        <f>River_data[[#This Row],[Dissolved Oxygen Min]]*River_data[[#This Row],[Dissolved Oxygen Max]]/2</f>
        <v>39.525000000000006</v>
      </c>
      <c r="W22">
        <f>River_data[[#This Row],[BOD Min]]*River_data[[#This Row],[BOD Max]]/2</f>
        <v>0.5</v>
      </c>
      <c r="X22">
        <f>AVERAGE(River_data[[#This Row],[pH Max]]-River_data[[#This Row],[pH Min]])</f>
        <v>0.60000000000000053</v>
      </c>
    </row>
    <row r="23" spans="1:24" x14ac:dyDescent="0.3">
      <c r="A23">
        <v>1087</v>
      </c>
      <c r="B23" s="1" t="s">
        <v>14</v>
      </c>
      <c r="C23" s="1" t="s">
        <v>0</v>
      </c>
      <c r="D23">
        <v>8</v>
      </c>
      <c r="E23">
        <v>13.5</v>
      </c>
      <c r="F23">
        <v>8.6</v>
      </c>
      <c r="G23">
        <v>9.1999999999999993</v>
      </c>
      <c r="H23">
        <v>7.6</v>
      </c>
      <c r="I23">
        <v>8.3000000000000007</v>
      </c>
      <c r="J23">
        <v>100</v>
      </c>
      <c r="K23">
        <v>249</v>
      </c>
      <c r="L23">
        <v>1</v>
      </c>
      <c r="M23">
        <v>1</v>
      </c>
      <c r="N23">
        <v>0.32</v>
      </c>
      <c r="O23">
        <v>0.95</v>
      </c>
      <c r="P23">
        <v>2</v>
      </c>
      <c r="Q23">
        <v>280</v>
      </c>
      <c r="R23">
        <v>5</v>
      </c>
      <c r="S23">
        <v>1600</v>
      </c>
      <c r="T23">
        <v>2</v>
      </c>
      <c r="U23">
        <v>2</v>
      </c>
      <c r="V23">
        <f>River_data[[#This Row],[Dissolved Oxygen Min]]*River_data[[#This Row],[Dissolved Oxygen Max]]/2</f>
        <v>39.559999999999995</v>
      </c>
      <c r="W23">
        <f>River_data[[#This Row],[BOD Min]]*River_data[[#This Row],[BOD Max]]/2</f>
        <v>0.5</v>
      </c>
      <c r="X23">
        <f>AVERAGE(River_data[[#This Row],[pH Max]]-River_data[[#This Row],[pH Min]])</f>
        <v>0.70000000000000107</v>
      </c>
    </row>
    <row r="24" spans="1:24" x14ac:dyDescent="0.3">
      <c r="A24">
        <v>1013</v>
      </c>
      <c r="B24" s="1" t="s">
        <v>15</v>
      </c>
      <c r="C24" s="1" t="s">
        <v>0</v>
      </c>
      <c r="D24">
        <v>7.5</v>
      </c>
      <c r="E24">
        <v>14</v>
      </c>
      <c r="F24">
        <v>8.6</v>
      </c>
      <c r="G24">
        <v>9.3000000000000007</v>
      </c>
      <c r="H24">
        <v>6.5</v>
      </c>
      <c r="I24">
        <v>8.1999999999999993</v>
      </c>
      <c r="J24">
        <v>117</v>
      </c>
      <c r="K24">
        <v>447</v>
      </c>
      <c r="L24">
        <v>1</v>
      </c>
      <c r="M24">
        <v>1</v>
      </c>
      <c r="N24">
        <v>0.32</v>
      </c>
      <c r="O24">
        <v>3.95</v>
      </c>
      <c r="P24">
        <v>4</v>
      </c>
      <c r="Q24">
        <v>26</v>
      </c>
      <c r="R24">
        <v>17</v>
      </c>
      <c r="S24">
        <v>1600</v>
      </c>
      <c r="T24">
        <v>2</v>
      </c>
      <c r="U24">
        <v>2</v>
      </c>
      <c r="V24">
        <f>River_data[[#This Row],[Dissolved Oxygen Min]]*River_data[[#This Row],[Dissolved Oxygen Max]]/2</f>
        <v>39.99</v>
      </c>
      <c r="W24">
        <f>River_data[[#This Row],[BOD Min]]*River_data[[#This Row],[BOD Max]]/2</f>
        <v>0.5</v>
      </c>
      <c r="X24">
        <f>AVERAGE(River_data[[#This Row],[pH Max]]-River_data[[#This Row],[pH Min]])</f>
        <v>1.6999999999999993</v>
      </c>
    </row>
    <row r="25" spans="1:24" x14ac:dyDescent="0.3">
      <c r="A25">
        <v>4446</v>
      </c>
      <c r="B25" s="1" t="s">
        <v>16</v>
      </c>
      <c r="C25" s="1" t="s">
        <v>0</v>
      </c>
      <c r="D25">
        <v>7</v>
      </c>
      <c r="E25">
        <v>13</v>
      </c>
      <c r="F25">
        <v>8.5</v>
      </c>
      <c r="G25">
        <v>9.3000000000000007</v>
      </c>
      <c r="H25">
        <v>7.5</v>
      </c>
      <c r="I25">
        <v>8.3000000000000007</v>
      </c>
      <c r="J25">
        <v>97</v>
      </c>
      <c r="K25">
        <v>245</v>
      </c>
      <c r="L25">
        <v>1</v>
      </c>
      <c r="M25">
        <v>1</v>
      </c>
      <c r="N25">
        <v>0.32</v>
      </c>
      <c r="O25">
        <v>0.77</v>
      </c>
      <c r="P25">
        <v>7</v>
      </c>
      <c r="Q25">
        <v>39</v>
      </c>
      <c r="R25">
        <v>32</v>
      </c>
      <c r="S25">
        <v>920</v>
      </c>
      <c r="T25">
        <v>2</v>
      </c>
      <c r="U25">
        <v>2</v>
      </c>
      <c r="V25">
        <f>River_data[[#This Row],[Dissolved Oxygen Min]]*River_data[[#This Row],[Dissolved Oxygen Max]]/2</f>
        <v>39.525000000000006</v>
      </c>
      <c r="W25">
        <f>River_data[[#This Row],[BOD Min]]*River_data[[#This Row],[BOD Max]]/2</f>
        <v>0.5</v>
      </c>
      <c r="X25">
        <f>AVERAGE(River_data[[#This Row],[pH Max]]-River_data[[#This Row],[pH Min]])</f>
        <v>0.80000000000000071</v>
      </c>
    </row>
    <row r="26" spans="1:24" x14ac:dyDescent="0.3">
      <c r="A26">
        <v>4447</v>
      </c>
      <c r="B26" s="1" t="s">
        <v>17</v>
      </c>
      <c r="C26" s="1" t="s">
        <v>0</v>
      </c>
      <c r="D26">
        <v>7.5</v>
      </c>
      <c r="E26">
        <v>13</v>
      </c>
      <c r="F26">
        <v>8.6</v>
      </c>
      <c r="G26">
        <v>9.1999999999999993</v>
      </c>
      <c r="H26">
        <v>7.5</v>
      </c>
      <c r="I26">
        <v>8.1999999999999993</v>
      </c>
      <c r="J26">
        <v>104</v>
      </c>
      <c r="K26">
        <v>253</v>
      </c>
      <c r="L26">
        <v>1</v>
      </c>
      <c r="M26">
        <v>1</v>
      </c>
      <c r="N26">
        <v>0.32</v>
      </c>
      <c r="O26">
        <v>0.89</v>
      </c>
      <c r="P26">
        <v>2</v>
      </c>
      <c r="Q26">
        <v>79</v>
      </c>
      <c r="R26">
        <v>7</v>
      </c>
      <c r="S26">
        <v>1600</v>
      </c>
      <c r="T26">
        <v>2</v>
      </c>
      <c r="U26">
        <v>2</v>
      </c>
      <c r="V26">
        <f>River_data[[#This Row],[Dissolved Oxygen Min]]*River_data[[#This Row],[Dissolved Oxygen Max]]/2</f>
        <v>39.559999999999995</v>
      </c>
      <c r="W26">
        <f>River_data[[#This Row],[BOD Min]]*River_data[[#This Row],[BOD Max]]/2</f>
        <v>0.5</v>
      </c>
      <c r="X26">
        <f>AVERAGE(River_data[[#This Row],[pH Max]]-River_data[[#This Row],[pH Min]])</f>
        <v>0.69999999999999929</v>
      </c>
    </row>
    <row r="27" spans="1:24" x14ac:dyDescent="0.3">
      <c r="A27">
        <v>4032</v>
      </c>
      <c r="B27" s="1" t="s">
        <v>18</v>
      </c>
      <c r="C27" s="1" t="s">
        <v>0</v>
      </c>
      <c r="D27">
        <v>9</v>
      </c>
      <c r="E27">
        <v>26</v>
      </c>
      <c r="F27">
        <v>8.3000000000000007</v>
      </c>
      <c r="G27">
        <v>9.1999999999999993</v>
      </c>
      <c r="H27">
        <v>7.4</v>
      </c>
      <c r="I27">
        <v>8</v>
      </c>
      <c r="J27">
        <v>102</v>
      </c>
      <c r="K27">
        <v>235</v>
      </c>
      <c r="L27">
        <v>1</v>
      </c>
      <c r="M27">
        <v>1</v>
      </c>
      <c r="N27">
        <v>0.32</v>
      </c>
      <c r="O27">
        <v>2.21</v>
      </c>
      <c r="P27">
        <v>23</v>
      </c>
      <c r="Q27">
        <v>84</v>
      </c>
      <c r="R27">
        <v>110</v>
      </c>
      <c r="S27">
        <v>280</v>
      </c>
      <c r="T27">
        <v>2</v>
      </c>
      <c r="U27">
        <v>2</v>
      </c>
      <c r="V27">
        <f>River_data[[#This Row],[Dissolved Oxygen Min]]*River_data[[#This Row],[Dissolved Oxygen Max]]/2</f>
        <v>38.18</v>
      </c>
      <c r="W27">
        <f>River_data[[#This Row],[BOD Min]]*River_data[[#This Row],[BOD Max]]/2</f>
        <v>0.5</v>
      </c>
      <c r="X27">
        <f>AVERAGE(River_data[[#This Row],[pH Max]]-River_data[[#This Row],[pH Min]])</f>
        <v>0.59999999999999964</v>
      </c>
    </row>
    <row r="28" spans="1:24" x14ac:dyDescent="0.3">
      <c r="A28">
        <v>4033</v>
      </c>
      <c r="B28" s="1" t="s">
        <v>19</v>
      </c>
      <c r="C28" s="1" t="s">
        <v>0</v>
      </c>
      <c r="D28">
        <v>10</v>
      </c>
      <c r="E28">
        <v>33</v>
      </c>
      <c r="F28">
        <v>8.1</v>
      </c>
      <c r="G28">
        <v>8.9</v>
      </c>
      <c r="H28">
        <v>6.8</v>
      </c>
      <c r="I28">
        <v>8.3000000000000007</v>
      </c>
      <c r="J28">
        <v>150</v>
      </c>
      <c r="K28">
        <v>335</v>
      </c>
      <c r="L28">
        <v>1</v>
      </c>
      <c r="M28">
        <v>2.8</v>
      </c>
      <c r="N28">
        <v>0.39</v>
      </c>
      <c r="O28">
        <v>3.5</v>
      </c>
      <c r="P28">
        <v>33</v>
      </c>
      <c r="Q28">
        <v>1600</v>
      </c>
      <c r="R28">
        <v>240</v>
      </c>
      <c r="S28">
        <v>1600</v>
      </c>
      <c r="T28">
        <v>2</v>
      </c>
      <c r="U28">
        <v>2</v>
      </c>
      <c r="V28">
        <f>River_data[[#This Row],[Dissolved Oxygen Min]]*River_data[[#This Row],[Dissolved Oxygen Max]]/2</f>
        <v>36.045000000000002</v>
      </c>
      <c r="W28">
        <f>River_data[[#This Row],[BOD Min]]*River_data[[#This Row],[BOD Max]]/2</f>
        <v>1.4</v>
      </c>
      <c r="X28">
        <f>AVERAGE(River_data[[#This Row],[pH Max]]-River_data[[#This Row],[pH Min]])</f>
        <v>1.5000000000000009</v>
      </c>
    </row>
    <row r="29" spans="1:24" x14ac:dyDescent="0.3">
      <c r="A29">
        <v>4450</v>
      </c>
      <c r="B29" s="1" t="s">
        <v>20</v>
      </c>
      <c r="C29" s="1" t="s">
        <v>0</v>
      </c>
      <c r="D29">
        <v>7</v>
      </c>
      <c r="E29">
        <v>13</v>
      </c>
      <c r="F29">
        <v>8.9</v>
      </c>
      <c r="G29">
        <v>9.4</v>
      </c>
      <c r="H29">
        <v>7.5</v>
      </c>
      <c r="I29">
        <v>8.3000000000000007</v>
      </c>
      <c r="J29">
        <v>117</v>
      </c>
      <c r="K29">
        <v>258</v>
      </c>
      <c r="L29">
        <v>1</v>
      </c>
      <c r="M29">
        <v>1</v>
      </c>
      <c r="N29">
        <v>0.32</v>
      </c>
      <c r="O29">
        <v>1.01</v>
      </c>
      <c r="P29">
        <v>5</v>
      </c>
      <c r="Q29">
        <v>26</v>
      </c>
      <c r="R29">
        <v>17</v>
      </c>
      <c r="S29">
        <v>350</v>
      </c>
      <c r="T29">
        <v>2</v>
      </c>
      <c r="U29">
        <v>2</v>
      </c>
      <c r="V29">
        <f>River_data[[#This Row],[Dissolved Oxygen Min]]*River_data[[#This Row],[Dissolved Oxygen Max]]/2</f>
        <v>41.830000000000005</v>
      </c>
      <c r="W29">
        <f>River_data[[#This Row],[BOD Min]]*River_data[[#This Row],[BOD Max]]/2</f>
        <v>0.5</v>
      </c>
      <c r="X29">
        <f>AVERAGE(River_data[[#This Row],[pH Max]]-River_data[[#This Row],[pH Min]])</f>
        <v>0.80000000000000071</v>
      </c>
    </row>
    <row r="30" spans="1:24" x14ac:dyDescent="0.3">
      <c r="A30">
        <v>4451</v>
      </c>
      <c r="B30" s="1" t="s">
        <v>21</v>
      </c>
      <c r="C30" s="1" t="s">
        <v>0</v>
      </c>
      <c r="D30">
        <v>7.5</v>
      </c>
      <c r="E30">
        <v>13</v>
      </c>
      <c r="F30">
        <v>8.9</v>
      </c>
      <c r="G30">
        <v>9.4</v>
      </c>
      <c r="H30">
        <v>7.6</v>
      </c>
      <c r="I30">
        <v>8.1999999999999993</v>
      </c>
      <c r="J30">
        <v>100</v>
      </c>
      <c r="K30">
        <v>248</v>
      </c>
      <c r="L30">
        <v>1</v>
      </c>
      <c r="M30">
        <v>1</v>
      </c>
      <c r="N30">
        <v>0.32</v>
      </c>
      <c r="O30">
        <v>0.82</v>
      </c>
      <c r="P30">
        <v>7</v>
      </c>
      <c r="Q30">
        <v>110</v>
      </c>
      <c r="R30">
        <v>17</v>
      </c>
      <c r="S30">
        <v>1600</v>
      </c>
      <c r="T30">
        <v>2</v>
      </c>
      <c r="U30">
        <v>2</v>
      </c>
      <c r="V30">
        <f>River_data[[#This Row],[Dissolved Oxygen Min]]*River_data[[#This Row],[Dissolved Oxygen Max]]/2</f>
        <v>41.830000000000005</v>
      </c>
      <c r="W30">
        <f>River_data[[#This Row],[BOD Min]]*River_data[[#This Row],[BOD Max]]/2</f>
        <v>0.5</v>
      </c>
      <c r="X30">
        <f>AVERAGE(River_data[[#This Row],[pH Max]]-River_data[[#This Row],[pH Min]])</f>
        <v>0.59999999999999964</v>
      </c>
    </row>
    <row r="31" spans="1:24" x14ac:dyDescent="0.3">
      <c r="A31">
        <v>30009</v>
      </c>
      <c r="B31" s="1" t="s">
        <v>22</v>
      </c>
      <c r="C31" s="1" t="s">
        <v>0</v>
      </c>
      <c r="D31">
        <v>16.5</v>
      </c>
      <c r="E31">
        <v>23</v>
      </c>
      <c r="F31">
        <v>7</v>
      </c>
      <c r="G31">
        <v>9.8000000000000007</v>
      </c>
      <c r="H31">
        <v>7.9</v>
      </c>
      <c r="I31">
        <v>8.3000000000000007</v>
      </c>
      <c r="J31">
        <v>230</v>
      </c>
      <c r="K31">
        <v>356</v>
      </c>
      <c r="L31">
        <v>1</v>
      </c>
      <c r="M31">
        <v>1</v>
      </c>
      <c r="N31">
        <v>0.42</v>
      </c>
      <c r="O31">
        <v>0.71</v>
      </c>
      <c r="P31">
        <v>20</v>
      </c>
      <c r="Q31">
        <v>4500</v>
      </c>
      <c r="R31">
        <v>460</v>
      </c>
      <c r="S31">
        <v>33000</v>
      </c>
      <c r="T31">
        <v>17</v>
      </c>
      <c r="U31">
        <v>130</v>
      </c>
      <c r="V31">
        <f>River_data[[#This Row],[Dissolved Oxygen Min]]*River_data[[#This Row],[Dissolved Oxygen Max]]/2</f>
        <v>34.300000000000004</v>
      </c>
      <c r="W31">
        <f>River_data[[#This Row],[BOD Min]]*River_data[[#This Row],[BOD Max]]/2</f>
        <v>0.5</v>
      </c>
      <c r="X31">
        <f>AVERAGE(River_data[[#This Row],[pH Max]]-River_data[[#This Row],[pH Min]])</f>
        <v>0.40000000000000036</v>
      </c>
    </row>
    <row r="32" spans="1:24" x14ac:dyDescent="0.3">
      <c r="A32">
        <v>1014</v>
      </c>
      <c r="B32" s="1" t="s">
        <v>23</v>
      </c>
      <c r="C32" s="1" t="s">
        <v>0</v>
      </c>
      <c r="D32">
        <v>9</v>
      </c>
      <c r="E32">
        <v>26</v>
      </c>
      <c r="F32">
        <v>8.5</v>
      </c>
      <c r="G32">
        <v>9.6</v>
      </c>
      <c r="H32">
        <v>5.7</v>
      </c>
      <c r="I32">
        <v>8</v>
      </c>
      <c r="J32">
        <v>96</v>
      </c>
      <c r="K32">
        <v>286</v>
      </c>
      <c r="L32">
        <v>1</v>
      </c>
      <c r="M32">
        <v>1</v>
      </c>
      <c r="N32">
        <v>0.32</v>
      </c>
      <c r="O32">
        <v>0.98</v>
      </c>
      <c r="P32">
        <v>22</v>
      </c>
      <c r="Q32">
        <v>49</v>
      </c>
      <c r="R32">
        <v>70</v>
      </c>
      <c r="S32">
        <v>240</v>
      </c>
      <c r="T32">
        <v>2</v>
      </c>
      <c r="U32">
        <v>2</v>
      </c>
      <c r="V32">
        <f>River_data[[#This Row],[Dissolved Oxygen Min]]*River_data[[#This Row],[Dissolved Oxygen Max]]/2</f>
        <v>40.799999999999997</v>
      </c>
      <c r="W32">
        <f>River_data[[#This Row],[BOD Min]]*River_data[[#This Row],[BOD Max]]/2</f>
        <v>0.5</v>
      </c>
      <c r="X32">
        <f>AVERAGE(River_data[[#This Row],[pH Max]]-River_data[[#This Row],[pH Min]])</f>
        <v>2.2999999999999998</v>
      </c>
    </row>
    <row r="33" spans="1:24" x14ac:dyDescent="0.3">
      <c r="A33">
        <v>1015</v>
      </c>
      <c r="B33" s="1" t="s">
        <v>24</v>
      </c>
      <c r="C33" s="1" t="s">
        <v>0</v>
      </c>
      <c r="D33">
        <v>9</v>
      </c>
      <c r="E33">
        <v>26</v>
      </c>
      <c r="F33">
        <v>8.1</v>
      </c>
      <c r="G33">
        <v>9.1</v>
      </c>
      <c r="H33">
        <v>7.3</v>
      </c>
      <c r="I33">
        <v>8.1</v>
      </c>
      <c r="J33">
        <v>94</v>
      </c>
      <c r="K33">
        <v>240</v>
      </c>
      <c r="L33">
        <v>1</v>
      </c>
      <c r="M33">
        <v>1</v>
      </c>
      <c r="N33">
        <v>0.32</v>
      </c>
      <c r="O33">
        <v>2.08</v>
      </c>
      <c r="P33">
        <v>32</v>
      </c>
      <c r="Q33">
        <v>84</v>
      </c>
      <c r="R33">
        <v>110</v>
      </c>
      <c r="S33">
        <v>430</v>
      </c>
      <c r="T33">
        <v>2</v>
      </c>
      <c r="U33">
        <v>2</v>
      </c>
      <c r="V33">
        <f>River_data[[#This Row],[Dissolved Oxygen Min]]*River_data[[#This Row],[Dissolved Oxygen Max]]/2</f>
        <v>36.854999999999997</v>
      </c>
      <c r="W33">
        <f>River_data[[#This Row],[BOD Min]]*River_data[[#This Row],[BOD Max]]/2</f>
        <v>0.5</v>
      </c>
      <c r="X33">
        <f>AVERAGE(River_data[[#This Row],[pH Max]]-River_data[[#This Row],[pH Min]])</f>
        <v>0.79999999999999982</v>
      </c>
    </row>
    <row r="34" spans="1:24" x14ac:dyDescent="0.3">
      <c r="A34">
        <v>1016</v>
      </c>
      <c r="B34" s="1" t="s">
        <v>25</v>
      </c>
      <c r="C34" s="1" t="s">
        <v>0</v>
      </c>
      <c r="D34">
        <v>16</v>
      </c>
      <c r="E34">
        <v>26</v>
      </c>
      <c r="F34">
        <v>8.1999999999999993</v>
      </c>
      <c r="G34">
        <v>9.3000000000000007</v>
      </c>
      <c r="H34">
        <v>6.9</v>
      </c>
      <c r="I34">
        <v>8.3000000000000007</v>
      </c>
      <c r="J34">
        <v>203</v>
      </c>
      <c r="K34">
        <v>354</v>
      </c>
      <c r="L34">
        <v>1</v>
      </c>
      <c r="M34">
        <v>2.2999999999999998</v>
      </c>
      <c r="N34">
        <v>0.32</v>
      </c>
      <c r="O34">
        <v>0.93</v>
      </c>
      <c r="P34">
        <v>2</v>
      </c>
      <c r="Q34">
        <v>6</v>
      </c>
      <c r="R34">
        <v>13</v>
      </c>
      <c r="S34">
        <v>80</v>
      </c>
      <c r="T34">
        <v>2</v>
      </c>
      <c r="U34">
        <v>2</v>
      </c>
      <c r="V34">
        <f>River_data[[#This Row],[Dissolved Oxygen Min]]*River_data[[#This Row],[Dissolved Oxygen Max]]/2</f>
        <v>38.130000000000003</v>
      </c>
      <c r="W34">
        <f>River_data[[#This Row],[BOD Min]]*River_data[[#This Row],[BOD Max]]/2</f>
        <v>1.1499999999999999</v>
      </c>
      <c r="X34">
        <f>AVERAGE(River_data[[#This Row],[pH Max]]-River_data[[#This Row],[pH Min]])</f>
        <v>1.4000000000000004</v>
      </c>
    </row>
    <row r="35" spans="1:24" x14ac:dyDescent="0.3">
      <c r="A35">
        <v>30087</v>
      </c>
      <c r="B35" s="1" t="s">
        <v>26</v>
      </c>
      <c r="C35" s="1" t="s">
        <v>0</v>
      </c>
      <c r="D35">
        <v>19</v>
      </c>
      <c r="E35">
        <v>23</v>
      </c>
      <c r="F35">
        <v>7</v>
      </c>
      <c r="G35">
        <v>10.7</v>
      </c>
      <c r="H35">
        <v>7.9</v>
      </c>
      <c r="I35">
        <v>8.4</v>
      </c>
      <c r="J35">
        <v>223</v>
      </c>
      <c r="K35">
        <v>273</v>
      </c>
      <c r="L35">
        <v>1</v>
      </c>
      <c r="M35">
        <v>1</v>
      </c>
      <c r="N35">
        <v>0.42</v>
      </c>
      <c r="O35">
        <v>2.4700000000000002</v>
      </c>
      <c r="P35">
        <v>2</v>
      </c>
      <c r="Q35">
        <v>2600</v>
      </c>
      <c r="R35">
        <v>13</v>
      </c>
      <c r="S35">
        <v>54000</v>
      </c>
      <c r="T35">
        <v>2</v>
      </c>
      <c r="U35">
        <v>17</v>
      </c>
      <c r="V35">
        <f>River_data[[#This Row],[Dissolved Oxygen Min]]*River_data[[#This Row],[Dissolved Oxygen Max]]/2</f>
        <v>37.449999999999996</v>
      </c>
      <c r="W35">
        <f>River_data[[#This Row],[BOD Min]]*River_data[[#This Row],[BOD Max]]/2</f>
        <v>0.5</v>
      </c>
      <c r="X35">
        <f>AVERAGE(River_data[[#This Row],[pH Max]]-River_data[[#This Row],[pH Min]])</f>
        <v>0.5</v>
      </c>
    </row>
    <row r="36" spans="1:24" x14ac:dyDescent="0.3">
      <c r="A36">
        <v>30088</v>
      </c>
      <c r="B36" s="1" t="s">
        <v>27</v>
      </c>
      <c r="C36" s="1" t="s">
        <v>0</v>
      </c>
      <c r="D36">
        <v>18.5</v>
      </c>
      <c r="E36">
        <v>23</v>
      </c>
      <c r="F36">
        <v>7.1</v>
      </c>
      <c r="G36">
        <v>10.4</v>
      </c>
      <c r="H36">
        <v>8</v>
      </c>
      <c r="I36">
        <v>8.3000000000000007</v>
      </c>
      <c r="J36">
        <v>217</v>
      </c>
      <c r="K36">
        <v>272</v>
      </c>
      <c r="L36">
        <v>1</v>
      </c>
      <c r="M36">
        <v>1</v>
      </c>
      <c r="N36">
        <v>0.47</v>
      </c>
      <c r="O36">
        <v>1.1299999999999999</v>
      </c>
      <c r="P36">
        <v>4</v>
      </c>
      <c r="Q36">
        <v>2200</v>
      </c>
      <c r="R36">
        <v>14</v>
      </c>
      <c r="S36">
        <v>92000</v>
      </c>
      <c r="T36">
        <v>2</v>
      </c>
      <c r="U36">
        <v>490</v>
      </c>
      <c r="V36">
        <f>River_data[[#This Row],[Dissolved Oxygen Min]]*River_data[[#This Row],[Dissolved Oxygen Max]]/2</f>
        <v>36.92</v>
      </c>
      <c r="W36">
        <f>River_data[[#This Row],[BOD Min]]*River_data[[#This Row],[BOD Max]]/2</f>
        <v>0.5</v>
      </c>
      <c r="X36">
        <f>AVERAGE(River_data[[#This Row],[pH Max]]-River_data[[#This Row],[pH Min]])</f>
        <v>0.30000000000000071</v>
      </c>
    </row>
    <row r="37" spans="1:24" x14ac:dyDescent="0.3">
      <c r="A37">
        <v>30010</v>
      </c>
      <c r="B37" s="1" t="s">
        <v>28</v>
      </c>
      <c r="C37" s="1" t="s">
        <v>1</v>
      </c>
      <c r="D37">
        <v>19.5</v>
      </c>
      <c r="E37">
        <v>24</v>
      </c>
      <c r="F37">
        <v>7.1</v>
      </c>
      <c r="G37">
        <v>9.8000000000000007</v>
      </c>
      <c r="H37">
        <v>7.7</v>
      </c>
      <c r="I37">
        <v>8.3000000000000007</v>
      </c>
      <c r="J37">
        <v>257</v>
      </c>
      <c r="K37">
        <v>333</v>
      </c>
      <c r="L37">
        <v>1</v>
      </c>
      <c r="M37">
        <v>5</v>
      </c>
      <c r="N37">
        <v>0.32</v>
      </c>
      <c r="O37">
        <v>1.1000000000000001</v>
      </c>
      <c r="P37">
        <v>200</v>
      </c>
      <c r="Q37">
        <v>13000</v>
      </c>
      <c r="R37">
        <v>1700</v>
      </c>
      <c r="S37">
        <v>350000</v>
      </c>
      <c r="T37">
        <v>130</v>
      </c>
      <c r="U37">
        <v>700</v>
      </c>
      <c r="V37">
        <f>River_data[[#This Row],[Dissolved Oxygen Min]]*River_data[[#This Row],[Dissolved Oxygen Max]]/2</f>
        <v>34.79</v>
      </c>
      <c r="W37">
        <f>River_data[[#This Row],[BOD Min]]*River_data[[#This Row],[BOD Max]]/2</f>
        <v>2.5</v>
      </c>
      <c r="X37">
        <f>AVERAGE(River_data[[#This Row],[pH Max]]-River_data[[#This Row],[pH Min]])</f>
        <v>0.60000000000000053</v>
      </c>
    </row>
    <row r="38" spans="1:24" x14ac:dyDescent="0.3">
      <c r="A38">
        <v>1814</v>
      </c>
      <c r="B38" s="1" t="s">
        <v>29</v>
      </c>
      <c r="C38" s="1" t="s">
        <v>1</v>
      </c>
      <c r="D38">
        <v>14</v>
      </c>
      <c r="E38">
        <v>28</v>
      </c>
      <c r="F38">
        <v>7.2</v>
      </c>
      <c r="G38">
        <v>9.4</v>
      </c>
      <c r="H38">
        <v>7</v>
      </c>
      <c r="I38">
        <v>8.3000000000000007</v>
      </c>
      <c r="J38">
        <v>227</v>
      </c>
      <c r="K38">
        <v>290</v>
      </c>
      <c r="L38">
        <v>1</v>
      </c>
      <c r="M38">
        <v>1</v>
      </c>
      <c r="N38">
        <v>0.7</v>
      </c>
      <c r="O38">
        <v>5.9</v>
      </c>
      <c r="P38">
        <v>33</v>
      </c>
      <c r="Q38">
        <v>250</v>
      </c>
      <c r="R38">
        <v>120</v>
      </c>
      <c r="S38">
        <v>580</v>
      </c>
      <c r="V38">
        <f>River_data[[#This Row],[Dissolved Oxygen Min]]*River_data[[#This Row],[Dissolved Oxygen Max]]/2</f>
        <v>33.840000000000003</v>
      </c>
      <c r="W38">
        <f>River_data[[#This Row],[BOD Min]]*River_data[[#This Row],[BOD Max]]/2</f>
        <v>0.5</v>
      </c>
      <c r="X38">
        <f>AVERAGE(River_data[[#This Row],[pH Max]]-River_data[[#This Row],[pH Min]])</f>
        <v>1.3000000000000007</v>
      </c>
    </row>
    <row r="39" spans="1:24" x14ac:dyDescent="0.3">
      <c r="A39">
        <v>1380</v>
      </c>
      <c r="B39" s="1" t="s">
        <v>30</v>
      </c>
      <c r="C39" s="1" t="s">
        <v>1</v>
      </c>
      <c r="D39">
        <v>16</v>
      </c>
      <c r="E39">
        <v>22</v>
      </c>
      <c r="F39">
        <v>7</v>
      </c>
      <c r="G39">
        <v>12.1</v>
      </c>
      <c r="H39">
        <v>7.4</v>
      </c>
      <c r="I39">
        <v>8.3000000000000007</v>
      </c>
      <c r="J39">
        <v>206</v>
      </c>
      <c r="K39">
        <v>274</v>
      </c>
      <c r="L39">
        <v>1</v>
      </c>
      <c r="M39">
        <v>1</v>
      </c>
      <c r="N39">
        <v>0.8</v>
      </c>
      <c r="O39">
        <v>3.1</v>
      </c>
      <c r="P39">
        <v>17</v>
      </c>
      <c r="Q39">
        <v>100</v>
      </c>
      <c r="R39">
        <v>70</v>
      </c>
      <c r="S39">
        <v>330</v>
      </c>
      <c r="V39">
        <f>River_data[[#This Row],[Dissolved Oxygen Min]]*River_data[[#This Row],[Dissolved Oxygen Max]]/2</f>
        <v>42.35</v>
      </c>
      <c r="W39">
        <f>River_data[[#This Row],[BOD Min]]*River_data[[#This Row],[BOD Max]]/2</f>
        <v>0.5</v>
      </c>
      <c r="X39">
        <f>AVERAGE(River_data[[#This Row],[pH Max]]-River_data[[#This Row],[pH Min]])</f>
        <v>0.90000000000000036</v>
      </c>
    </row>
    <row r="40" spans="1:24" x14ac:dyDescent="0.3">
      <c r="A40">
        <v>2915</v>
      </c>
      <c r="B40" s="1" t="s">
        <v>31</v>
      </c>
      <c r="C40" s="1" t="s">
        <v>1</v>
      </c>
      <c r="D40">
        <v>16</v>
      </c>
      <c r="E40">
        <v>22</v>
      </c>
      <c r="F40">
        <v>7</v>
      </c>
      <c r="G40">
        <v>12.2</v>
      </c>
      <c r="H40">
        <v>7.6</v>
      </c>
      <c r="I40">
        <v>8.4</v>
      </c>
      <c r="J40">
        <v>207</v>
      </c>
      <c r="K40">
        <v>275</v>
      </c>
      <c r="L40">
        <v>1</v>
      </c>
      <c r="M40">
        <v>1</v>
      </c>
      <c r="N40">
        <v>0.8</v>
      </c>
      <c r="O40">
        <v>3.1</v>
      </c>
      <c r="P40">
        <v>20</v>
      </c>
      <c r="Q40">
        <v>110</v>
      </c>
      <c r="R40">
        <v>79</v>
      </c>
      <c r="S40">
        <v>330</v>
      </c>
      <c r="V40">
        <f>River_data[[#This Row],[Dissolved Oxygen Min]]*River_data[[#This Row],[Dissolved Oxygen Max]]/2</f>
        <v>42.699999999999996</v>
      </c>
      <c r="W40">
        <f>River_data[[#This Row],[BOD Min]]*River_data[[#This Row],[BOD Max]]/2</f>
        <v>0.5</v>
      </c>
      <c r="X40">
        <f>AVERAGE(River_data[[#This Row],[pH Max]]-River_data[[#This Row],[pH Min]])</f>
        <v>0.80000000000000071</v>
      </c>
    </row>
    <row r="41" spans="1:24" x14ac:dyDescent="0.3">
      <c r="A41">
        <v>10020</v>
      </c>
      <c r="B41" s="1" t="s">
        <v>32</v>
      </c>
      <c r="C41" s="1" t="s">
        <v>1</v>
      </c>
      <c r="D41">
        <v>15</v>
      </c>
      <c r="E41">
        <v>23</v>
      </c>
      <c r="F41">
        <v>7.4</v>
      </c>
      <c r="G41">
        <v>12.3</v>
      </c>
      <c r="H41">
        <v>7.1</v>
      </c>
      <c r="I41">
        <v>8.5</v>
      </c>
      <c r="J41">
        <v>202</v>
      </c>
      <c r="K41">
        <v>298</v>
      </c>
      <c r="L41">
        <v>1</v>
      </c>
      <c r="M41">
        <v>1</v>
      </c>
      <c r="N41">
        <v>0.9</v>
      </c>
      <c r="O41">
        <v>6</v>
      </c>
      <c r="P41">
        <v>22</v>
      </c>
      <c r="Q41">
        <v>210</v>
      </c>
      <c r="R41">
        <v>110</v>
      </c>
      <c r="S41">
        <v>470</v>
      </c>
      <c r="V41">
        <f>River_data[[#This Row],[Dissolved Oxygen Min]]*River_data[[#This Row],[Dissolved Oxygen Max]]/2</f>
        <v>45.510000000000005</v>
      </c>
      <c r="W41">
        <f>River_data[[#This Row],[BOD Min]]*River_data[[#This Row],[BOD Max]]/2</f>
        <v>0.5</v>
      </c>
      <c r="X41">
        <f>AVERAGE(River_data[[#This Row],[pH Max]]-River_data[[#This Row],[pH Min]])</f>
        <v>1.4000000000000004</v>
      </c>
    </row>
    <row r="42" spans="1:24" x14ac:dyDescent="0.3">
      <c r="A42">
        <v>10021</v>
      </c>
      <c r="B42" s="1" t="s">
        <v>33</v>
      </c>
      <c r="C42" s="1" t="s">
        <v>1</v>
      </c>
      <c r="D42">
        <v>13</v>
      </c>
      <c r="E42">
        <v>28</v>
      </c>
      <c r="F42">
        <v>7.5</v>
      </c>
      <c r="G42">
        <v>10</v>
      </c>
      <c r="H42">
        <v>7</v>
      </c>
      <c r="I42">
        <v>8.3000000000000007</v>
      </c>
      <c r="J42">
        <v>210</v>
      </c>
      <c r="K42">
        <v>302</v>
      </c>
      <c r="L42">
        <v>1</v>
      </c>
      <c r="M42">
        <v>1</v>
      </c>
      <c r="N42">
        <v>0.9</v>
      </c>
      <c r="O42">
        <v>2.4</v>
      </c>
      <c r="P42">
        <v>38</v>
      </c>
      <c r="Q42">
        <v>380</v>
      </c>
      <c r="R42">
        <v>140</v>
      </c>
      <c r="S42">
        <v>840</v>
      </c>
      <c r="V42">
        <f>River_data[[#This Row],[Dissolved Oxygen Min]]*River_data[[#This Row],[Dissolved Oxygen Max]]/2</f>
        <v>37.5</v>
      </c>
      <c r="W42">
        <f>River_data[[#This Row],[BOD Min]]*River_data[[#This Row],[BOD Max]]/2</f>
        <v>0.5</v>
      </c>
      <c r="X42">
        <f>AVERAGE(River_data[[#This Row],[pH Max]]-River_data[[#This Row],[pH Min]])</f>
        <v>1.3000000000000007</v>
      </c>
    </row>
    <row r="43" spans="1:24" x14ac:dyDescent="0.3">
      <c r="A43">
        <v>10022</v>
      </c>
      <c r="B43" s="1" t="s">
        <v>34</v>
      </c>
      <c r="C43" s="1" t="s">
        <v>1</v>
      </c>
      <c r="D43">
        <v>15</v>
      </c>
      <c r="E43">
        <v>35</v>
      </c>
      <c r="F43">
        <v>4.5999999999999996</v>
      </c>
      <c r="G43">
        <v>8.4</v>
      </c>
      <c r="H43">
        <v>7.6</v>
      </c>
      <c r="I43">
        <v>8.1</v>
      </c>
      <c r="J43">
        <v>248</v>
      </c>
      <c r="K43">
        <v>574</v>
      </c>
      <c r="L43">
        <v>1</v>
      </c>
      <c r="M43">
        <v>3</v>
      </c>
      <c r="N43">
        <v>0.3</v>
      </c>
      <c r="O43">
        <v>1.4</v>
      </c>
      <c r="P43">
        <v>200</v>
      </c>
      <c r="Q43">
        <v>1700</v>
      </c>
      <c r="R43">
        <v>700</v>
      </c>
      <c r="S43">
        <v>3900</v>
      </c>
      <c r="V43">
        <f>River_data[[#This Row],[Dissolved Oxygen Min]]*River_data[[#This Row],[Dissolved Oxygen Max]]/2</f>
        <v>19.32</v>
      </c>
      <c r="W43">
        <f>River_data[[#This Row],[BOD Min]]*River_data[[#This Row],[BOD Max]]/2</f>
        <v>1.5</v>
      </c>
      <c r="X43">
        <f>AVERAGE(River_data[[#This Row],[pH Max]]-River_data[[#This Row],[pH Min]])</f>
        <v>0.5</v>
      </c>
    </row>
    <row r="44" spans="1:24" x14ac:dyDescent="0.3">
      <c r="A44">
        <v>10023</v>
      </c>
      <c r="B44" s="1" t="s">
        <v>35</v>
      </c>
      <c r="C44" s="1" t="s">
        <v>1</v>
      </c>
      <c r="D44">
        <v>15</v>
      </c>
      <c r="E44">
        <v>35</v>
      </c>
      <c r="F44">
        <v>0.3</v>
      </c>
      <c r="G44">
        <v>5.8</v>
      </c>
      <c r="H44">
        <v>7.2</v>
      </c>
      <c r="I44">
        <v>8.1</v>
      </c>
      <c r="J44">
        <v>518</v>
      </c>
      <c r="K44">
        <v>1144</v>
      </c>
      <c r="L44">
        <v>4.5</v>
      </c>
      <c r="M44">
        <v>14</v>
      </c>
      <c r="N44">
        <v>0.4</v>
      </c>
      <c r="O44">
        <v>2.8</v>
      </c>
      <c r="P44">
        <v>330</v>
      </c>
      <c r="Q44">
        <v>2300</v>
      </c>
      <c r="R44">
        <v>1400</v>
      </c>
      <c r="S44">
        <v>4300</v>
      </c>
      <c r="V44">
        <f>River_data[[#This Row],[Dissolved Oxygen Min]]*River_data[[#This Row],[Dissolved Oxygen Max]]/2</f>
        <v>0.87</v>
      </c>
      <c r="W44">
        <f>River_data[[#This Row],[BOD Min]]*River_data[[#This Row],[BOD Max]]/2</f>
        <v>31.5</v>
      </c>
      <c r="X44">
        <f>AVERAGE(River_data[[#This Row],[pH Max]]-River_data[[#This Row],[pH Min]])</f>
        <v>0.89999999999999947</v>
      </c>
    </row>
    <row r="45" spans="1:24" x14ac:dyDescent="0.3">
      <c r="A45">
        <v>10024</v>
      </c>
      <c r="B45" s="1" t="s">
        <v>36</v>
      </c>
      <c r="C45" s="1" t="s">
        <v>1</v>
      </c>
      <c r="D45">
        <v>15</v>
      </c>
      <c r="E45">
        <v>32</v>
      </c>
      <c r="F45">
        <v>0.3</v>
      </c>
      <c r="G45">
        <v>1.9</v>
      </c>
      <c r="H45">
        <v>7.3</v>
      </c>
      <c r="I45">
        <v>7.8</v>
      </c>
      <c r="J45">
        <v>538</v>
      </c>
      <c r="K45">
        <v>1248</v>
      </c>
      <c r="L45">
        <v>4.8</v>
      </c>
      <c r="M45">
        <v>21</v>
      </c>
      <c r="N45">
        <v>0.4</v>
      </c>
      <c r="O45">
        <v>2</v>
      </c>
      <c r="P45">
        <v>1100</v>
      </c>
      <c r="Q45">
        <v>110000</v>
      </c>
      <c r="R45">
        <v>6300</v>
      </c>
      <c r="S45">
        <v>340000</v>
      </c>
      <c r="V45">
        <f>River_data[[#This Row],[Dissolved Oxygen Min]]*River_data[[#This Row],[Dissolved Oxygen Max]]/2</f>
        <v>0.28499999999999998</v>
      </c>
      <c r="W45">
        <f>River_data[[#This Row],[BOD Min]]*River_data[[#This Row],[BOD Max]]/2</f>
        <v>50.4</v>
      </c>
      <c r="X45">
        <f>AVERAGE(River_data[[#This Row],[pH Max]]-River_data[[#This Row],[pH Min]])</f>
        <v>0.5</v>
      </c>
    </row>
    <row r="46" spans="1:24" x14ac:dyDescent="0.3">
      <c r="A46">
        <v>10027</v>
      </c>
      <c r="B46" s="1" t="s">
        <v>37</v>
      </c>
      <c r="C46" s="1" t="s">
        <v>1</v>
      </c>
      <c r="D46">
        <v>10</v>
      </c>
      <c r="E46">
        <v>29</v>
      </c>
      <c r="F46">
        <v>6.3</v>
      </c>
      <c r="G46">
        <v>8.8000000000000007</v>
      </c>
      <c r="H46">
        <v>7.6</v>
      </c>
      <c r="I46">
        <v>8.3000000000000007</v>
      </c>
      <c r="J46">
        <v>257</v>
      </c>
      <c r="K46">
        <v>320</v>
      </c>
      <c r="L46">
        <v>1</v>
      </c>
      <c r="M46">
        <v>1.8</v>
      </c>
      <c r="N46">
        <v>0.8</v>
      </c>
      <c r="O46">
        <v>3.1</v>
      </c>
      <c r="P46">
        <v>130</v>
      </c>
      <c r="Q46">
        <v>780</v>
      </c>
      <c r="R46">
        <v>700</v>
      </c>
      <c r="S46">
        <v>2600</v>
      </c>
      <c r="V46">
        <f>River_data[[#This Row],[Dissolved Oxygen Min]]*River_data[[#This Row],[Dissolved Oxygen Max]]/2</f>
        <v>27.720000000000002</v>
      </c>
      <c r="W46">
        <f>River_data[[#This Row],[BOD Min]]*River_data[[#This Row],[BOD Max]]/2</f>
        <v>0.9</v>
      </c>
      <c r="X46">
        <f>AVERAGE(River_data[[#This Row],[pH Max]]-River_data[[#This Row],[pH Min]])</f>
        <v>0.70000000000000107</v>
      </c>
    </row>
    <row r="47" spans="1:24" x14ac:dyDescent="0.3">
      <c r="A47">
        <v>10028</v>
      </c>
      <c r="B47" s="1" t="s">
        <v>38</v>
      </c>
      <c r="C47" s="1" t="s">
        <v>1</v>
      </c>
      <c r="D47">
        <v>13</v>
      </c>
      <c r="E47">
        <v>30</v>
      </c>
      <c r="F47">
        <v>0.3</v>
      </c>
      <c r="G47">
        <v>6.6</v>
      </c>
      <c r="H47">
        <v>7.2</v>
      </c>
      <c r="I47">
        <v>7.9</v>
      </c>
      <c r="J47">
        <v>247</v>
      </c>
      <c r="K47">
        <v>1245</v>
      </c>
      <c r="L47">
        <v>2.2999999999999998</v>
      </c>
      <c r="M47">
        <v>75</v>
      </c>
      <c r="N47">
        <v>1.4</v>
      </c>
      <c r="O47">
        <v>3.8</v>
      </c>
      <c r="P47">
        <v>17000</v>
      </c>
      <c r="Q47">
        <v>1700000</v>
      </c>
      <c r="R47">
        <v>54000</v>
      </c>
      <c r="S47">
        <v>6300000</v>
      </c>
      <c r="V47">
        <f>River_data[[#This Row],[Dissolved Oxygen Min]]*River_data[[#This Row],[Dissolved Oxygen Max]]/2</f>
        <v>0.98999999999999988</v>
      </c>
      <c r="W47">
        <f>River_data[[#This Row],[BOD Min]]*River_data[[#This Row],[BOD Max]]/2</f>
        <v>86.25</v>
      </c>
      <c r="X47">
        <f>AVERAGE(River_data[[#This Row],[pH Max]]-River_data[[#This Row],[pH Min]])</f>
        <v>0.70000000000000018</v>
      </c>
    </row>
    <row r="48" spans="1:24" x14ac:dyDescent="0.3">
      <c r="A48">
        <v>1017</v>
      </c>
      <c r="B48" s="1" t="s">
        <v>39</v>
      </c>
      <c r="C48" s="1" t="s">
        <v>1</v>
      </c>
      <c r="D48">
        <v>16</v>
      </c>
      <c r="E48">
        <v>21</v>
      </c>
      <c r="F48">
        <v>6.7</v>
      </c>
      <c r="G48">
        <v>9.6</v>
      </c>
      <c r="H48">
        <v>7.5</v>
      </c>
      <c r="I48">
        <v>8.1</v>
      </c>
      <c r="J48">
        <v>196</v>
      </c>
      <c r="K48">
        <v>264</v>
      </c>
      <c r="L48">
        <v>1</v>
      </c>
      <c r="M48">
        <v>1</v>
      </c>
      <c r="N48">
        <v>0.4</v>
      </c>
      <c r="O48">
        <v>1.8</v>
      </c>
      <c r="P48">
        <v>17</v>
      </c>
      <c r="Q48">
        <v>78</v>
      </c>
      <c r="R48">
        <v>68</v>
      </c>
      <c r="S48">
        <v>270</v>
      </c>
      <c r="V48">
        <f>River_data[[#This Row],[Dissolved Oxygen Min]]*River_data[[#This Row],[Dissolved Oxygen Max]]/2</f>
        <v>32.159999999999997</v>
      </c>
      <c r="W48">
        <f>River_data[[#This Row],[BOD Min]]*River_data[[#This Row],[BOD Max]]/2</f>
        <v>0.5</v>
      </c>
      <c r="X48">
        <f>AVERAGE(River_data[[#This Row],[pH Max]]-River_data[[#This Row],[pH Min]])</f>
        <v>0.59999999999999964</v>
      </c>
    </row>
    <row r="49" spans="1:24" x14ac:dyDescent="0.3">
      <c r="A49">
        <v>1018</v>
      </c>
      <c r="B49" s="1" t="s">
        <v>40</v>
      </c>
      <c r="C49" s="1" t="s">
        <v>1</v>
      </c>
      <c r="D49">
        <v>17</v>
      </c>
      <c r="E49">
        <v>24</v>
      </c>
      <c r="F49">
        <v>7.6</v>
      </c>
      <c r="G49">
        <v>11.4</v>
      </c>
      <c r="H49">
        <v>7.6</v>
      </c>
      <c r="I49">
        <v>8.5</v>
      </c>
      <c r="J49">
        <v>200</v>
      </c>
      <c r="K49">
        <v>270</v>
      </c>
      <c r="L49">
        <v>1</v>
      </c>
      <c r="M49">
        <v>1</v>
      </c>
      <c r="N49">
        <v>0.8</v>
      </c>
      <c r="O49">
        <v>2.2000000000000002</v>
      </c>
      <c r="P49">
        <v>20</v>
      </c>
      <c r="Q49">
        <v>170</v>
      </c>
      <c r="R49">
        <v>70</v>
      </c>
      <c r="S49">
        <v>390</v>
      </c>
      <c r="V49">
        <f>River_data[[#This Row],[Dissolved Oxygen Min]]*River_data[[#This Row],[Dissolved Oxygen Max]]/2</f>
        <v>43.32</v>
      </c>
      <c r="W49">
        <f>River_data[[#This Row],[BOD Min]]*River_data[[#This Row],[BOD Max]]/2</f>
        <v>0.5</v>
      </c>
      <c r="X49">
        <f>AVERAGE(River_data[[#This Row],[pH Max]]-River_data[[#This Row],[pH Min]])</f>
        <v>0.90000000000000036</v>
      </c>
    </row>
    <row r="50" spans="1:24" x14ac:dyDescent="0.3">
      <c r="A50">
        <v>1293</v>
      </c>
      <c r="B50" s="1" t="s">
        <v>41</v>
      </c>
      <c r="C50" s="1" t="s">
        <v>1</v>
      </c>
      <c r="D50">
        <v>14</v>
      </c>
      <c r="E50">
        <v>29</v>
      </c>
      <c r="F50">
        <v>7</v>
      </c>
      <c r="G50">
        <v>9.8000000000000007</v>
      </c>
      <c r="H50">
        <v>7.3</v>
      </c>
      <c r="I50">
        <v>8.5</v>
      </c>
      <c r="J50">
        <v>243</v>
      </c>
      <c r="K50">
        <v>363</v>
      </c>
      <c r="L50">
        <v>1</v>
      </c>
      <c r="M50">
        <v>1</v>
      </c>
      <c r="N50">
        <v>0.7</v>
      </c>
      <c r="O50">
        <v>2.7</v>
      </c>
      <c r="P50">
        <v>78</v>
      </c>
      <c r="Q50">
        <v>700</v>
      </c>
      <c r="R50">
        <v>490</v>
      </c>
      <c r="S50">
        <v>1700</v>
      </c>
      <c r="V50">
        <f>River_data[[#This Row],[Dissolved Oxygen Min]]*River_data[[#This Row],[Dissolved Oxygen Max]]/2</f>
        <v>34.300000000000004</v>
      </c>
      <c r="W50">
        <f>River_data[[#This Row],[BOD Min]]*River_data[[#This Row],[BOD Max]]/2</f>
        <v>0.5</v>
      </c>
      <c r="X50">
        <f>AVERAGE(River_data[[#This Row],[pH Max]]-River_data[[#This Row],[pH Min]])</f>
        <v>1.2000000000000002</v>
      </c>
    </row>
    <row r="51" spans="1:24" x14ac:dyDescent="0.3">
      <c r="A51">
        <v>1019</v>
      </c>
      <c r="B51" s="1" t="s">
        <v>42</v>
      </c>
      <c r="C51" s="1" t="s">
        <v>1</v>
      </c>
      <c r="D51">
        <v>14</v>
      </c>
      <c r="E51">
        <v>27</v>
      </c>
      <c r="F51">
        <v>6.4</v>
      </c>
      <c r="G51">
        <v>9</v>
      </c>
      <c r="H51">
        <v>7.5</v>
      </c>
      <c r="I51">
        <v>8.1999999999999993</v>
      </c>
      <c r="J51">
        <v>240</v>
      </c>
      <c r="K51">
        <v>348</v>
      </c>
      <c r="L51">
        <v>1</v>
      </c>
      <c r="M51">
        <v>1.2</v>
      </c>
      <c r="N51">
        <v>1.1000000000000001</v>
      </c>
      <c r="O51">
        <v>2.6</v>
      </c>
      <c r="P51">
        <v>61</v>
      </c>
      <c r="Q51">
        <v>460</v>
      </c>
      <c r="R51">
        <v>330</v>
      </c>
      <c r="S51">
        <v>1300</v>
      </c>
      <c r="V51">
        <f>River_data[[#This Row],[Dissolved Oxygen Min]]*River_data[[#This Row],[Dissolved Oxygen Max]]/2</f>
        <v>28.8</v>
      </c>
      <c r="W51">
        <f>River_data[[#This Row],[BOD Min]]*River_data[[#This Row],[BOD Max]]/2</f>
        <v>0.6</v>
      </c>
      <c r="X51">
        <f>AVERAGE(River_data[[#This Row],[pH Max]]-River_data[[#This Row],[pH Min]])</f>
        <v>0.69999999999999929</v>
      </c>
    </row>
    <row r="52" spans="1:24" x14ac:dyDescent="0.3">
      <c r="A52">
        <v>1690</v>
      </c>
      <c r="B52" s="1" t="s">
        <v>43</v>
      </c>
      <c r="C52" s="1" t="s">
        <v>1</v>
      </c>
      <c r="D52">
        <v>12</v>
      </c>
      <c r="E52">
        <v>28</v>
      </c>
      <c r="F52">
        <v>6.5</v>
      </c>
      <c r="G52">
        <v>8.1</v>
      </c>
      <c r="H52">
        <v>7.4</v>
      </c>
      <c r="I52">
        <v>8.1999999999999993</v>
      </c>
      <c r="J52">
        <v>259</v>
      </c>
      <c r="K52">
        <v>394</v>
      </c>
      <c r="L52">
        <v>1</v>
      </c>
      <c r="M52">
        <v>2.8</v>
      </c>
      <c r="N52">
        <v>1.1000000000000001</v>
      </c>
      <c r="O52">
        <v>3.3</v>
      </c>
      <c r="P52">
        <v>210</v>
      </c>
      <c r="Q52">
        <v>1300</v>
      </c>
      <c r="R52">
        <v>790</v>
      </c>
      <c r="S52">
        <v>3900</v>
      </c>
      <c r="V52">
        <f>River_data[[#This Row],[Dissolved Oxygen Min]]*River_data[[#This Row],[Dissolved Oxygen Max]]/2</f>
        <v>26.324999999999999</v>
      </c>
      <c r="W52">
        <f>River_data[[#This Row],[BOD Min]]*River_data[[#This Row],[BOD Max]]/2</f>
        <v>1.4</v>
      </c>
      <c r="X52">
        <f>AVERAGE(River_data[[#This Row],[pH Max]]-River_data[[#This Row],[pH Min]])</f>
        <v>0.79999999999999893</v>
      </c>
    </row>
    <row r="53" spans="1:24" x14ac:dyDescent="0.3">
      <c r="A53">
        <v>1020</v>
      </c>
      <c r="B53" s="1" t="s">
        <v>44</v>
      </c>
      <c r="C53" s="1" t="s">
        <v>1</v>
      </c>
      <c r="D53">
        <v>12</v>
      </c>
      <c r="E53">
        <v>30</v>
      </c>
      <c r="F53">
        <v>0.3</v>
      </c>
      <c r="G53">
        <v>2.1</v>
      </c>
      <c r="H53">
        <v>7.2</v>
      </c>
      <c r="I53">
        <v>7.8</v>
      </c>
      <c r="J53">
        <v>505</v>
      </c>
      <c r="K53">
        <v>1250</v>
      </c>
      <c r="L53">
        <v>17</v>
      </c>
      <c r="M53">
        <v>105</v>
      </c>
      <c r="N53">
        <v>1.1000000000000001</v>
      </c>
      <c r="O53">
        <v>8</v>
      </c>
      <c r="P53">
        <v>79000</v>
      </c>
      <c r="Q53">
        <v>2200000</v>
      </c>
      <c r="R53">
        <v>220000</v>
      </c>
      <c r="S53">
        <v>7900000</v>
      </c>
      <c r="V53">
        <f>River_data[[#This Row],[Dissolved Oxygen Min]]*River_data[[#This Row],[Dissolved Oxygen Max]]/2</f>
        <v>0.315</v>
      </c>
      <c r="W53">
        <f>River_data[[#This Row],[BOD Min]]*River_data[[#This Row],[BOD Max]]/2</f>
        <v>892.5</v>
      </c>
      <c r="X53">
        <f>AVERAGE(River_data[[#This Row],[pH Max]]-River_data[[#This Row],[pH Min]])</f>
        <v>0.59999999999999964</v>
      </c>
    </row>
    <row r="54" spans="1:24" x14ac:dyDescent="0.3">
      <c r="A54">
        <v>1022</v>
      </c>
      <c r="B54" s="1" t="s">
        <v>45</v>
      </c>
      <c r="C54" s="1" t="s">
        <v>1</v>
      </c>
      <c r="D54">
        <v>11</v>
      </c>
      <c r="E54">
        <v>30</v>
      </c>
      <c r="F54">
        <v>4.2</v>
      </c>
      <c r="G54">
        <v>7.5</v>
      </c>
      <c r="H54">
        <v>7.2</v>
      </c>
      <c r="I54">
        <v>7.9</v>
      </c>
      <c r="J54">
        <v>271</v>
      </c>
      <c r="K54">
        <v>442</v>
      </c>
      <c r="L54">
        <v>1</v>
      </c>
      <c r="M54">
        <v>3.6</v>
      </c>
      <c r="N54">
        <v>1.1000000000000001</v>
      </c>
      <c r="O54">
        <v>3.2</v>
      </c>
      <c r="P54">
        <v>270</v>
      </c>
      <c r="Q54">
        <v>2200</v>
      </c>
      <c r="R54">
        <v>700</v>
      </c>
      <c r="S54">
        <v>5400</v>
      </c>
      <c r="V54">
        <f>River_data[[#This Row],[Dissolved Oxygen Min]]*River_data[[#This Row],[Dissolved Oxygen Max]]/2</f>
        <v>15.75</v>
      </c>
      <c r="W54">
        <f>River_data[[#This Row],[BOD Min]]*River_data[[#This Row],[BOD Max]]/2</f>
        <v>1.8</v>
      </c>
      <c r="X54">
        <f>AVERAGE(River_data[[#This Row],[pH Max]]-River_data[[#This Row],[pH Min]])</f>
        <v>0.70000000000000018</v>
      </c>
    </row>
    <row r="55" spans="1:24" x14ac:dyDescent="0.3">
      <c r="A55">
        <v>10025</v>
      </c>
      <c r="B55" s="1" t="s">
        <v>46</v>
      </c>
      <c r="C55" s="1" t="s">
        <v>1</v>
      </c>
      <c r="D55">
        <v>15</v>
      </c>
      <c r="E55">
        <v>34</v>
      </c>
      <c r="F55">
        <v>0.3</v>
      </c>
      <c r="G55">
        <v>0.3</v>
      </c>
      <c r="H55">
        <v>6.9</v>
      </c>
      <c r="I55">
        <v>7.8</v>
      </c>
      <c r="J55">
        <v>937</v>
      </c>
      <c r="K55">
        <v>1165</v>
      </c>
      <c r="L55">
        <v>42</v>
      </c>
      <c r="M55">
        <v>100</v>
      </c>
      <c r="N55">
        <v>1.1000000000000001</v>
      </c>
      <c r="O55">
        <v>2.8</v>
      </c>
      <c r="P55">
        <v>63000</v>
      </c>
      <c r="Q55">
        <v>490000</v>
      </c>
      <c r="R55">
        <v>220000</v>
      </c>
      <c r="S55">
        <v>790000</v>
      </c>
      <c r="V55">
        <f>River_data[[#This Row],[Dissolved Oxygen Min]]*River_data[[#This Row],[Dissolved Oxygen Max]]/2</f>
        <v>4.4999999999999998E-2</v>
      </c>
      <c r="W55">
        <f>River_data[[#This Row],[BOD Min]]*River_data[[#This Row],[BOD Max]]/2</f>
        <v>2100</v>
      </c>
      <c r="X55">
        <f>AVERAGE(River_data[[#This Row],[pH Max]]-River_data[[#This Row],[pH Min]])</f>
        <v>0.89999999999999947</v>
      </c>
    </row>
    <row r="56" spans="1:24" x14ac:dyDescent="0.3">
      <c r="A56">
        <v>10026</v>
      </c>
      <c r="B56" s="1" t="s">
        <v>47</v>
      </c>
      <c r="C56" s="1" t="s">
        <v>1</v>
      </c>
      <c r="D56">
        <v>16</v>
      </c>
      <c r="E56">
        <v>31</v>
      </c>
      <c r="F56">
        <v>0.3</v>
      </c>
      <c r="G56">
        <v>0.3</v>
      </c>
      <c r="H56">
        <v>6.7</v>
      </c>
      <c r="I56">
        <v>7.7</v>
      </c>
      <c r="J56">
        <v>849</v>
      </c>
      <c r="K56">
        <v>1309</v>
      </c>
      <c r="L56">
        <v>35</v>
      </c>
      <c r="M56">
        <v>79</v>
      </c>
      <c r="N56">
        <v>0.82</v>
      </c>
      <c r="O56">
        <v>5</v>
      </c>
      <c r="P56">
        <v>63000</v>
      </c>
      <c r="Q56">
        <v>460000</v>
      </c>
      <c r="R56">
        <v>210000</v>
      </c>
      <c r="S56">
        <v>700000</v>
      </c>
      <c r="V56">
        <f>River_data[[#This Row],[Dissolved Oxygen Min]]*River_data[[#This Row],[Dissolved Oxygen Max]]/2</f>
        <v>4.4999999999999998E-2</v>
      </c>
      <c r="W56">
        <f>River_data[[#This Row],[BOD Min]]*River_data[[#This Row],[BOD Max]]/2</f>
        <v>1382.5</v>
      </c>
      <c r="X56">
        <f>AVERAGE(River_data[[#This Row],[pH Max]]-River_data[[#This Row],[pH Min]])</f>
        <v>1</v>
      </c>
    </row>
    <row r="57" spans="1:24" x14ac:dyDescent="0.3">
      <c r="A57">
        <v>1021</v>
      </c>
      <c r="B57" s="1" t="s">
        <v>48</v>
      </c>
      <c r="C57" s="1" t="s">
        <v>1</v>
      </c>
      <c r="D57">
        <v>11</v>
      </c>
      <c r="E57">
        <v>28</v>
      </c>
      <c r="F57">
        <v>0.3</v>
      </c>
      <c r="G57">
        <v>7.6</v>
      </c>
      <c r="H57">
        <v>7.1</v>
      </c>
      <c r="I57">
        <v>7.8</v>
      </c>
      <c r="J57">
        <v>305</v>
      </c>
      <c r="K57">
        <v>733</v>
      </c>
      <c r="L57">
        <v>2.2000000000000002</v>
      </c>
      <c r="M57">
        <v>41</v>
      </c>
      <c r="N57">
        <v>1.3</v>
      </c>
      <c r="O57">
        <v>4.5999999999999996</v>
      </c>
      <c r="P57">
        <v>4900</v>
      </c>
      <c r="Q57">
        <v>1200000</v>
      </c>
      <c r="R57">
        <v>17000</v>
      </c>
      <c r="S57">
        <v>2800000</v>
      </c>
      <c r="V57">
        <f>River_data[[#This Row],[Dissolved Oxygen Min]]*River_data[[#This Row],[Dissolved Oxygen Max]]/2</f>
        <v>1.1399999999999999</v>
      </c>
      <c r="W57">
        <f>River_data[[#This Row],[BOD Min]]*River_data[[#This Row],[BOD Max]]/2</f>
        <v>45.1</v>
      </c>
      <c r="X57">
        <f>AVERAGE(River_data[[#This Row],[pH Max]]-River_data[[#This Row],[pH Min]])</f>
        <v>0.70000000000000018</v>
      </c>
    </row>
    <row r="58" spans="1:24" x14ac:dyDescent="0.3">
      <c r="A58">
        <v>1381</v>
      </c>
      <c r="B58" s="1" t="s">
        <v>49</v>
      </c>
      <c r="C58" s="1" t="s">
        <v>1</v>
      </c>
      <c r="D58">
        <v>12</v>
      </c>
      <c r="E58">
        <v>29</v>
      </c>
      <c r="F58">
        <v>0.3</v>
      </c>
      <c r="G58">
        <v>7.8</v>
      </c>
      <c r="H58">
        <v>7.1</v>
      </c>
      <c r="I58">
        <v>7.8</v>
      </c>
      <c r="J58">
        <v>300</v>
      </c>
      <c r="K58">
        <v>808</v>
      </c>
      <c r="L58">
        <v>2</v>
      </c>
      <c r="M58">
        <v>50</v>
      </c>
      <c r="N58">
        <v>1.7</v>
      </c>
      <c r="O58">
        <v>6.3</v>
      </c>
      <c r="P58">
        <v>7900</v>
      </c>
      <c r="Q58">
        <v>1700000</v>
      </c>
      <c r="R58">
        <v>17000</v>
      </c>
      <c r="S58">
        <v>3500000</v>
      </c>
      <c r="V58">
        <f>River_data[[#This Row],[Dissolved Oxygen Min]]*River_data[[#This Row],[Dissolved Oxygen Max]]/2</f>
        <v>1.17</v>
      </c>
      <c r="W58">
        <f>River_data[[#This Row],[BOD Min]]*River_data[[#This Row],[BOD Max]]/2</f>
        <v>50</v>
      </c>
      <c r="X58">
        <f>AVERAGE(River_data[[#This Row],[pH Max]]-River_data[[#This Row],[pH Min]])</f>
        <v>0.70000000000000018</v>
      </c>
    </row>
    <row r="59" spans="1:24" x14ac:dyDescent="0.3">
      <c r="A59">
        <v>1691</v>
      </c>
      <c r="B59" s="1" t="s">
        <v>50</v>
      </c>
      <c r="C59" s="1" t="s">
        <v>1</v>
      </c>
      <c r="D59">
        <v>12</v>
      </c>
      <c r="E59">
        <v>30</v>
      </c>
      <c r="F59">
        <v>4.8</v>
      </c>
      <c r="G59">
        <v>9.1</v>
      </c>
      <c r="H59">
        <v>7</v>
      </c>
      <c r="I59">
        <v>8.1</v>
      </c>
      <c r="J59">
        <v>248</v>
      </c>
      <c r="K59">
        <v>422</v>
      </c>
      <c r="L59">
        <v>1</v>
      </c>
      <c r="M59">
        <v>2</v>
      </c>
      <c r="N59">
        <v>1.1000000000000001</v>
      </c>
      <c r="O59">
        <v>2.6</v>
      </c>
      <c r="P59">
        <v>110</v>
      </c>
      <c r="Q59">
        <v>780</v>
      </c>
      <c r="R59">
        <v>540</v>
      </c>
      <c r="S59">
        <v>2600</v>
      </c>
      <c r="V59">
        <f>River_data[[#This Row],[Dissolved Oxygen Min]]*River_data[[#This Row],[Dissolved Oxygen Max]]/2</f>
        <v>21.84</v>
      </c>
      <c r="W59">
        <f>River_data[[#This Row],[BOD Min]]*River_data[[#This Row],[BOD Max]]/2</f>
        <v>1</v>
      </c>
      <c r="X59">
        <f>AVERAGE(River_data[[#This Row],[pH Max]]-River_data[[#This Row],[pH Min]])</f>
        <v>1.0999999999999996</v>
      </c>
    </row>
    <row r="60" spans="1:24" x14ac:dyDescent="0.3">
      <c r="A60">
        <v>1692</v>
      </c>
      <c r="B60" s="1" t="s">
        <v>51</v>
      </c>
      <c r="C60" s="1" t="s">
        <v>1</v>
      </c>
      <c r="D60">
        <v>12</v>
      </c>
      <c r="E60">
        <v>30</v>
      </c>
      <c r="F60">
        <v>4.7</v>
      </c>
      <c r="G60">
        <v>8.9</v>
      </c>
      <c r="H60">
        <v>6.9</v>
      </c>
      <c r="I60">
        <v>8</v>
      </c>
      <c r="J60">
        <v>251</v>
      </c>
      <c r="K60">
        <v>420</v>
      </c>
      <c r="L60">
        <v>1</v>
      </c>
      <c r="M60">
        <v>2.4</v>
      </c>
      <c r="N60">
        <v>1.2</v>
      </c>
      <c r="O60">
        <v>2.8</v>
      </c>
      <c r="P60">
        <v>170</v>
      </c>
      <c r="Q60">
        <v>1100</v>
      </c>
      <c r="R60">
        <v>540</v>
      </c>
      <c r="S60">
        <v>2700</v>
      </c>
      <c r="V60">
        <f>River_data[[#This Row],[Dissolved Oxygen Min]]*River_data[[#This Row],[Dissolved Oxygen Max]]/2</f>
        <v>20.915000000000003</v>
      </c>
      <c r="W60">
        <f>River_data[[#This Row],[BOD Min]]*River_data[[#This Row],[BOD Max]]/2</f>
        <v>1.2</v>
      </c>
      <c r="X60">
        <f>AVERAGE(River_data[[#This Row],[pH Max]]-River_data[[#This Row],[pH Min]])</f>
        <v>1.0999999999999996</v>
      </c>
    </row>
    <row r="61" spans="1:24" x14ac:dyDescent="0.3">
      <c r="A61">
        <v>4059</v>
      </c>
      <c r="B61" s="1" t="s">
        <v>52</v>
      </c>
      <c r="C61" s="1" t="s">
        <v>53</v>
      </c>
      <c r="D61">
        <v>12</v>
      </c>
      <c r="E61">
        <v>26</v>
      </c>
      <c r="F61">
        <v>7.4</v>
      </c>
      <c r="G61">
        <v>7.5</v>
      </c>
      <c r="H61">
        <v>7.5</v>
      </c>
      <c r="I61">
        <v>8.1999999999999993</v>
      </c>
      <c r="J61">
        <v>109</v>
      </c>
      <c r="K61">
        <v>230</v>
      </c>
      <c r="L61">
        <v>1</v>
      </c>
      <c r="M61">
        <v>1</v>
      </c>
      <c r="N61">
        <v>0</v>
      </c>
      <c r="O61">
        <v>0</v>
      </c>
      <c r="V61">
        <f>River_data[[#This Row],[Dissolved Oxygen Min]]*River_data[[#This Row],[Dissolved Oxygen Max]]/2</f>
        <v>27.75</v>
      </c>
      <c r="W61">
        <f>River_data[[#This Row],[BOD Min]]*River_data[[#This Row],[BOD Max]]/2</f>
        <v>0.5</v>
      </c>
      <c r="X61">
        <f>AVERAGE(River_data[[#This Row],[pH Max]]-River_data[[#This Row],[pH Min]])</f>
        <v>0.69999999999999929</v>
      </c>
    </row>
    <row r="62" spans="1:24" x14ac:dyDescent="0.3">
      <c r="A62">
        <v>4060</v>
      </c>
      <c r="B62" s="1" t="s">
        <v>54</v>
      </c>
      <c r="C62" s="1" t="s">
        <v>53</v>
      </c>
      <c r="D62">
        <v>12</v>
      </c>
      <c r="E62">
        <v>26</v>
      </c>
      <c r="F62">
        <v>7.4</v>
      </c>
      <c r="G62">
        <v>7.4</v>
      </c>
      <c r="H62">
        <v>7.4</v>
      </c>
      <c r="I62">
        <v>8.1999999999999993</v>
      </c>
      <c r="J62">
        <v>107</v>
      </c>
      <c r="K62">
        <v>185</v>
      </c>
      <c r="L62">
        <v>1</v>
      </c>
      <c r="M62">
        <v>1</v>
      </c>
      <c r="N62">
        <v>0</v>
      </c>
      <c r="O62">
        <v>0</v>
      </c>
      <c r="V62">
        <f>River_data[[#This Row],[Dissolved Oxygen Min]]*River_data[[#This Row],[Dissolved Oxygen Max]]/2</f>
        <v>27.380000000000003</v>
      </c>
      <c r="W62">
        <f>River_data[[#This Row],[BOD Min]]*River_data[[#This Row],[BOD Max]]/2</f>
        <v>0.5</v>
      </c>
      <c r="X62">
        <f>AVERAGE(River_data[[#This Row],[pH Max]]-River_data[[#This Row],[pH Min]])</f>
        <v>0.79999999999999893</v>
      </c>
    </row>
    <row r="63" spans="1:24" x14ac:dyDescent="0.3">
      <c r="A63">
        <v>4061</v>
      </c>
      <c r="B63" s="1" t="s">
        <v>55</v>
      </c>
      <c r="C63" s="1" t="s">
        <v>53</v>
      </c>
      <c r="D63">
        <v>12</v>
      </c>
      <c r="E63">
        <v>26</v>
      </c>
      <c r="F63">
        <v>6.3</v>
      </c>
      <c r="G63">
        <v>6.5</v>
      </c>
      <c r="H63">
        <v>7.6</v>
      </c>
      <c r="I63">
        <v>8.6</v>
      </c>
      <c r="J63">
        <v>108</v>
      </c>
      <c r="K63">
        <v>560</v>
      </c>
      <c r="L63">
        <v>1</v>
      </c>
      <c r="M63">
        <v>1.3</v>
      </c>
      <c r="N63">
        <v>0</v>
      </c>
      <c r="O63">
        <v>0</v>
      </c>
      <c r="V63">
        <f>River_data[[#This Row],[Dissolved Oxygen Min]]*River_data[[#This Row],[Dissolved Oxygen Max]]/2</f>
        <v>20.474999999999998</v>
      </c>
      <c r="W63">
        <f>River_data[[#This Row],[BOD Min]]*River_data[[#This Row],[BOD Max]]/2</f>
        <v>0.65</v>
      </c>
      <c r="X63">
        <f>AVERAGE(River_data[[#This Row],[pH Max]]-River_data[[#This Row],[pH Min]])</f>
        <v>1</v>
      </c>
    </row>
    <row r="64" spans="1:24" x14ac:dyDescent="0.3">
      <c r="A64">
        <v>1089</v>
      </c>
      <c r="B64" s="1" t="s">
        <v>56</v>
      </c>
      <c r="C64" s="1" t="s">
        <v>0</v>
      </c>
      <c r="D64">
        <v>10</v>
      </c>
      <c r="E64">
        <v>18</v>
      </c>
      <c r="F64">
        <v>8.6999999999999993</v>
      </c>
      <c r="G64">
        <v>9.1</v>
      </c>
      <c r="H64">
        <v>7.5</v>
      </c>
      <c r="I64">
        <v>8.4</v>
      </c>
      <c r="J64">
        <v>141</v>
      </c>
      <c r="K64">
        <v>276</v>
      </c>
      <c r="L64">
        <v>1</v>
      </c>
      <c r="M64">
        <v>1</v>
      </c>
      <c r="N64">
        <v>0.3</v>
      </c>
      <c r="O64">
        <v>6.43</v>
      </c>
      <c r="P64">
        <v>2</v>
      </c>
      <c r="Q64">
        <v>68</v>
      </c>
      <c r="R64">
        <v>21</v>
      </c>
      <c r="S64">
        <v>16000</v>
      </c>
      <c r="T64">
        <v>2</v>
      </c>
      <c r="U64">
        <v>2</v>
      </c>
      <c r="V64">
        <f>River_data[[#This Row],[Dissolved Oxygen Min]]*River_data[[#This Row],[Dissolved Oxygen Max]]/2</f>
        <v>39.584999999999994</v>
      </c>
      <c r="W64">
        <f>River_data[[#This Row],[BOD Min]]*River_data[[#This Row],[BOD Max]]/2</f>
        <v>0.5</v>
      </c>
      <c r="X64">
        <f>AVERAGE(River_data[[#This Row],[pH Max]]-River_data[[#This Row],[pH Min]])</f>
        <v>0.90000000000000036</v>
      </c>
    </row>
    <row r="65" spans="1:24" x14ac:dyDescent="0.3">
      <c r="A65">
        <v>1088</v>
      </c>
      <c r="B65" s="1" t="s">
        <v>57</v>
      </c>
      <c r="C65" s="1" t="s">
        <v>0</v>
      </c>
      <c r="D65">
        <v>9</v>
      </c>
      <c r="E65">
        <v>22</v>
      </c>
      <c r="F65">
        <v>8.1</v>
      </c>
      <c r="G65">
        <v>9</v>
      </c>
      <c r="H65">
        <v>7.4</v>
      </c>
      <c r="I65">
        <v>8.1999999999999993</v>
      </c>
      <c r="J65">
        <v>164</v>
      </c>
      <c r="K65">
        <v>467</v>
      </c>
      <c r="L65">
        <v>1</v>
      </c>
      <c r="M65">
        <v>1</v>
      </c>
      <c r="N65">
        <v>0.3</v>
      </c>
      <c r="O65">
        <v>4.58</v>
      </c>
      <c r="P65">
        <v>2</v>
      </c>
      <c r="Q65">
        <v>20</v>
      </c>
      <c r="R65">
        <v>130</v>
      </c>
      <c r="S65">
        <v>1400</v>
      </c>
      <c r="T65">
        <v>2</v>
      </c>
      <c r="U65">
        <v>2</v>
      </c>
      <c r="V65">
        <f>River_data[[#This Row],[Dissolved Oxygen Min]]*River_data[[#This Row],[Dissolved Oxygen Max]]/2</f>
        <v>36.449999999999996</v>
      </c>
      <c r="W65">
        <f>River_data[[#This Row],[BOD Min]]*River_data[[#This Row],[BOD Max]]/2</f>
        <v>0.5</v>
      </c>
      <c r="X65">
        <f>AVERAGE(River_data[[#This Row],[pH Max]]-River_data[[#This Row],[pH Min]])</f>
        <v>0.79999999999999893</v>
      </c>
    </row>
    <row r="66" spans="1:24" x14ac:dyDescent="0.3">
      <c r="A66">
        <v>2614</v>
      </c>
      <c r="B66" s="1" t="s">
        <v>58</v>
      </c>
      <c r="C66" s="1" t="s">
        <v>0</v>
      </c>
      <c r="D66">
        <v>11</v>
      </c>
      <c r="E66">
        <v>17.5</v>
      </c>
      <c r="F66">
        <v>8.5</v>
      </c>
      <c r="G66">
        <v>9.1999999999999993</v>
      </c>
      <c r="H66">
        <v>6.9</v>
      </c>
      <c r="I66">
        <v>8.1999999999999993</v>
      </c>
      <c r="J66">
        <v>158</v>
      </c>
      <c r="K66">
        <v>286</v>
      </c>
      <c r="L66">
        <v>1</v>
      </c>
      <c r="M66">
        <v>1</v>
      </c>
      <c r="N66">
        <v>0.31</v>
      </c>
      <c r="O66">
        <v>2.1800000000000002</v>
      </c>
      <c r="P66">
        <v>2</v>
      </c>
      <c r="Q66">
        <v>27</v>
      </c>
      <c r="R66">
        <v>110</v>
      </c>
      <c r="S66">
        <v>5400</v>
      </c>
      <c r="T66">
        <v>2</v>
      </c>
      <c r="U66">
        <v>2</v>
      </c>
      <c r="V66">
        <f>River_data[[#This Row],[Dissolved Oxygen Min]]*River_data[[#This Row],[Dissolved Oxygen Max]]/2</f>
        <v>39.099999999999994</v>
      </c>
      <c r="W66">
        <f>River_data[[#This Row],[BOD Min]]*River_data[[#This Row],[BOD Max]]/2</f>
        <v>0.5</v>
      </c>
      <c r="X66">
        <f>AVERAGE(River_data[[#This Row],[pH Max]]-River_data[[#This Row],[pH Min]])</f>
        <v>1.2999999999999989</v>
      </c>
    </row>
    <row r="67" spans="1:24" x14ac:dyDescent="0.3">
      <c r="A67">
        <v>2615</v>
      </c>
      <c r="B67" s="1" t="s">
        <v>59</v>
      </c>
      <c r="C67" s="1" t="s">
        <v>0</v>
      </c>
      <c r="D67">
        <v>9</v>
      </c>
      <c r="E67">
        <v>17</v>
      </c>
      <c r="F67">
        <v>8.9</v>
      </c>
      <c r="G67">
        <v>9.1999999999999993</v>
      </c>
      <c r="H67">
        <v>7.1</v>
      </c>
      <c r="I67">
        <v>8.3000000000000007</v>
      </c>
      <c r="J67">
        <v>136</v>
      </c>
      <c r="K67">
        <v>274</v>
      </c>
      <c r="L67">
        <v>1</v>
      </c>
      <c r="M67">
        <v>1</v>
      </c>
      <c r="N67">
        <v>0.41</v>
      </c>
      <c r="O67">
        <v>3.61</v>
      </c>
      <c r="P67">
        <v>2</v>
      </c>
      <c r="Q67">
        <v>40</v>
      </c>
      <c r="R67">
        <v>27</v>
      </c>
      <c r="S67">
        <v>3500</v>
      </c>
      <c r="T67">
        <v>2</v>
      </c>
      <c r="U67">
        <v>2</v>
      </c>
      <c r="V67">
        <f>River_data[[#This Row],[Dissolved Oxygen Min]]*River_data[[#This Row],[Dissolved Oxygen Max]]/2</f>
        <v>40.94</v>
      </c>
      <c r="W67">
        <f>River_data[[#This Row],[BOD Min]]*River_data[[#This Row],[BOD Max]]/2</f>
        <v>0.5</v>
      </c>
      <c r="X67">
        <f>AVERAGE(River_data[[#This Row],[pH Max]]-River_data[[#This Row],[pH Min]])</f>
        <v>1.2000000000000011</v>
      </c>
    </row>
    <row r="68" spans="1:24" x14ac:dyDescent="0.3">
      <c r="A68">
        <v>2613</v>
      </c>
      <c r="B68" s="1" t="s">
        <v>60</v>
      </c>
      <c r="C68" s="1" t="s">
        <v>0</v>
      </c>
      <c r="D68">
        <v>10</v>
      </c>
      <c r="E68">
        <v>17</v>
      </c>
      <c r="F68">
        <v>8</v>
      </c>
      <c r="G68">
        <v>9</v>
      </c>
      <c r="H68">
        <v>7.5</v>
      </c>
      <c r="I68">
        <v>8.1</v>
      </c>
      <c r="J68">
        <v>130</v>
      </c>
      <c r="K68">
        <v>266</v>
      </c>
      <c r="L68">
        <v>1</v>
      </c>
      <c r="M68">
        <v>1</v>
      </c>
      <c r="N68">
        <v>0.3</v>
      </c>
      <c r="O68">
        <v>3.23</v>
      </c>
      <c r="P68">
        <v>2</v>
      </c>
      <c r="Q68">
        <v>78</v>
      </c>
      <c r="R68">
        <v>26</v>
      </c>
      <c r="S68">
        <v>16000</v>
      </c>
      <c r="T68">
        <v>2</v>
      </c>
      <c r="U68">
        <v>2</v>
      </c>
      <c r="V68">
        <f>River_data[[#This Row],[Dissolved Oxygen Min]]*River_data[[#This Row],[Dissolved Oxygen Max]]/2</f>
        <v>36</v>
      </c>
      <c r="W68">
        <f>River_data[[#This Row],[BOD Min]]*River_data[[#This Row],[BOD Max]]/2</f>
        <v>0.5</v>
      </c>
      <c r="X68">
        <f>AVERAGE(River_data[[#This Row],[pH Max]]-River_data[[#This Row],[pH Min]])</f>
        <v>0.59999999999999964</v>
      </c>
    </row>
    <row r="69" spans="1:24" x14ac:dyDescent="0.3">
      <c r="A69">
        <v>3873</v>
      </c>
      <c r="B69" s="1" t="s">
        <v>61</v>
      </c>
      <c r="C69" s="1" t="s">
        <v>0</v>
      </c>
      <c r="D69">
        <v>10</v>
      </c>
      <c r="E69">
        <v>17.5</v>
      </c>
      <c r="F69">
        <v>8.8000000000000007</v>
      </c>
      <c r="G69">
        <v>9.1</v>
      </c>
      <c r="H69">
        <v>7.5</v>
      </c>
      <c r="I69">
        <v>8.4</v>
      </c>
      <c r="J69">
        <v>142</v>
      </c>
      <c r="K69">
        <v>281</v>
      </c>
      <c r="L69">
        <v>1</v>
      </c>
      <c r="M69">
        <v>1</v>
      </c>
      <c r="N69">
        <v>0.59</v>
      </c>
      <c r="O69">
        <v>4.71</v>
      </c>
      <c r="P69">
        <v>2</v>
      </c>
      <c r="Q69">
        <v>40</v>
      </c>
      <c r="R69">
        <v>21</v>
      </c>
      <c r="S69">
        <v>9200</v>
      </c>
      <c r="T69">
        <v>2</v>
      </c>
      <c r="U69">
        <v>2</v>
      </c>
      <c r="V69">
        <f>River_data[[#This Row],[Dissolved Oxygen Min]]*River_data[[#This Row],[Dissolved Oxygen Max]]/2</f>
        <v>40.04</v>
      </c>
      <c r="W69">
        <f>River_data[[#This Row],[BOD Min]]*River_data[[#This Row],[BOD Max]]/2</f>
        <v>0.5</v>
      </c>
      <c r="X69">
        <f>AVERAGE(River_data[[#This Row],[pH Max]]-River_data[[#This Row],[pH Min]])</f>
        <v>0.90000000000000036</v>
      </c>
    </row>
    <row r="70" spans="1:24" x14ac:dyDescent="0.3">
      <c r="A70">
        <v>3874</v>
      </c>
      <c r="B70" s="1" t="s">
        <v>62</v>
      </c>
      <c r="C70" s="1" t="s">
        <v>0</v>
      </c>
      <c r="D70">
        <v>10</v>
      </c>
      <c r="E70">
        <v>18.5</v>
      </c>
      <c r="F70">
        <v>8.3000000000000007</v>
      </c>
      <c r="G70">
        <v>9</v>
      </c>
      <c r="H70">
        <v>7.5</v>
      </c>
      <c r="I70">
        <v>8.3000000000000007</v>
      </c>
      <c r="J70">
        <v>140</v>
      </c>
      <c r="K70">
        <v>264</v>
      </c>
      <c r="L70">
        <v>1</v>
      </c>
      <c r="M70">
        <v>1</v>
      </c>
      <c r="N70">
        <v>0.3</v>
      </c>
      <c r="O70">
        <v>3.06</v>
      </c>
      <c r="P70">
        <v>2</v>
      </c>
      <c r="Q70">
        <v>110</v>
      </c>
      <c r="R70">
        <v>32</v>
      </c>
      <c r="S70">
        <v>9200</v>
      </c>
      <c r="T70">
        <v>2</v>
      </c>
      <c r="U70">
        <v>2</v>
      </c>
      <c r="V70">
        <f>River_data[[#This Row],[Dissolved Oxygen Min]]*River_data[[#This Row],[Dissolved Oxygen Max]]/2</f>
        <v>37.35</v>
      </c>
      <c r="W70">
        <f>River_data[[#This Row],[BOD Min]]*River_data[[#This Row],[BOD Max]]/2</f>
        <v>0.5</v>
      </c>
      <c r="X70">
        <f>AVERAGE(River_data[[#This Row],[pH Max]]-River_data[[#This Row],[pH Min]])</f>
        <v>0.80000000000000071</v>
      </c>
    </row>
    <row r="71" spans="1:24" x14ac:dyDescent="0.3">
      <c r="A71">
        <v>30089</v>
      </c>
      <c r="B71" s="1" t="s">
        <v>63</v>
      </c>
      <c r="C71" s="1" t="s">
        <v>53</v>
      </c>
      <c r="D71">
        <v>19</v>
      </c>
      <c r="E71">
        <v>31</v>
      </c>
      <c r="F71">
        <v>8.6999999999999993</v>
      </c>
      <c r="G71">
        <v>10.8</v>
      </c>
      <c r="H71">
        <v>8</v>
      </c>
      <c r="I71">
        <v>8.6999999999999993</v>
      </c>
      <c r="J71">
        <v>175</v>
      </c>
      <c r="K71">
        <v>351</v>
      </c>
      <c r="L71">
        <v>1</v>
      </c>
      <c r="M71">
        <v>3</v>
      </c>
      <c r="N71">
        <v>0.32</v>
      </c>
      <c r="O71">
        <v>0.83</v>
      </c>
      <c r="P71">
        <v>2200</v>
      </c>
      <c r="Q71">
        <v>24000000</v>
      </c>
      <c r="R71">
        <v>7000</v>
      </c>
      <c r="S71">
        <v>160000000</v>
      </c>
      <c r="T71">
        <v>11</v>
      </c>
      <c r="U71">
        <v>540000</v>
      </c>
      <c r="V71">
        <f>River_data[[#This Row],[Dissolved Oxygen Min]]*River_data[[#This Row],[Dissolved Oxygen Max]]/2</f>
        <v>46.98</v>
      </c>
      <c r="W71">
        <f>River_data[[#This Row],[BOD Min]]*River_data[[#This Row],[BOD Max]]/2</f>
        <v>1.5</v>
      </c>
      <c r="X71">
        <f>AVERAGE(River_data[[#This Row],[pH Max]]-River_data[[#This Row],[pH Min]])</f>
        <v>0.69999999999999929</v>
      </c>
    </row>
    <row r="72" spans="1:24" x14ac:dyDescent="0.3">
      <c r="A72">
        <v>30085</v>
      </c>
      <c r="B72" s="1" t="s">
        <v>64</v>
      </c>
      <c r="C72" s="1" t="s">
        <v>1</v>
      </c>
      <c r="D72">
        <v>18</v>
      </c>
      <c r="E72">
        <v>24</v>
      </c>
      <c r="F72">
        <v>9</v>
      </c>
      <c r="G72">
        <v>10</v>
      </c>
      <c r="H72">
        <v>7.9</v>
      </c>
      <c r="I72">
        <v>8.4</v>
      </c>
      <c r="J72">
        <v>172</v>
      </c>
      <c r="K72">
        <v>237</v>
      </c>
      <c r="L72">
        <v>1</v>
      </c>
      <c r="M72">
        <v>1.3</v>
      </c>
      <c r="N72">
        <v>0.39</v>
      </c>
      <c r="O72">
        <v>1.79</v>
      </c>
      <c r="P72">
        <v>37</v>
      </c>
      <c r="Q72">
        <v>28000</v>
      </c>
      <c r="R72">
        <v>400</v>
      </c>
      <c r="S72">
        <v>28000</v>
      </c>
      <c r="T72">
        <v>13</v>
      </c>
      <c r="U72">
        <v>790</v>
      </c>
      <c r="V72">
        <f>River_data[[#This Row],[Dissolved Oxygen Min]]*River_data[[#This Row],[Dissolved Oxygen Max]]/2</f>
        <v>45</v>
      </c>
      <c r="W72">
        <f>River_data[[#This Row],[BOD Min]]*River_data[[#This Row],[BOD Max]]/2</f>
        <v>0.65</v>
      </c>
      <c r="X72">
        <f>AVERAGE(River_data[[#This Row],[pH Max]]-River_data[[#This Row],[pH Min]])</f>
        <v>0.5</v>
      </c>
    </row>
    <row r="73" spans="1:24" x14ac:dyDescent="0.3">
      <c r="A73">
        <v>1097</v>
      </c>
      <c r="B73" s="1" t="s">
        <v>65</v>
      </c>
      <c r="C73" s="1" t="s">
        <v>1</v>
      </c>
      <c r="D73">
        <v>11</v>
      </c>
      <c r="E73">
        <v>34</v>
      </c>
      <c r="F73">
        <v>8.1</v>
      </c>
      <c r="G73">
        <v>10.199999999999999</v>
      </c>
      <c r="H73">
        <v>7.5</v>
      </c>
      <c r="I73">
        <v>8.1999999999999993</v>
      </c>
      <c r="J73">
        <v>152</v>
      </c>
      <c r="K73">
        <v>207</v>
      </c>
      <c r="L73">
        <v>1</v>
      </c>
      <c r="M73">
        <v>1.1000000000000001</v>
      </c>
      <c r="N73">
        <v>0.4</v>
      </c>
      <c r="O73">
        <v>1.2</v>
      </c>
      <c r="P73">
        <v>18</v>
      </c>
      <c r="Q73">
        <v>40</v>
      </c>
      <c r="R73">
        <v>70</v>
      </c>
      <c r="S73">
        <v>140</v>
      </c>
      <c r="V73">
        <f>River_data[[#This Row],[Dissolved Oxygen Min]]*River_data[[#This Row],[Dissolved Oxygen Max]]/2</f>
        <v>41.309999999999995</v>
      </c>
      <c r="W73">
        <f>River_data[[#This Row],[BOD Min]]*River_data[[#This Row],[BOD Max]]/2</f>
        <v>0.55000000000000004</v>
      </c>
      <c r="X73">
        <f>AVERAGE(River_data[[#This Row],[pH Max]]-River_data[[#This Row],[pH Min]])</f>
        <v>0.69999999999999929</v>
      </c>
    </row>
    <row r="74" spans="1:24" x14ac:dyDescent="0.3">
      <c r="A74">
        <v>1290</v>
      </c>
      <c r="B74" s="1" t="s">
        <v>66</v>
      </c>
      <c r="C74" s="1" t="s">
        <v>0</v>
      </c>
      <c r="D74">
        <v>4</v>
      </c>
      <c r="E74">
        <v>16</v>
      </c>
      <c r="F74">
        <v>7</v>
      </c>
      <c r="G74">
        <v>8.6</v>
      </c>
      <c r="H74">
        <v>6.5</v>
      </c>
      <c r="I74">
        <v>8.1</v>
      </c>
      <c r="J74">
        <v>42</v>
      </c>
      <c r="K74">
        <v>100</v>
      </c>
      <c r="L74">
        <v>1</v>
      </c>
      <c r="M74">
        <v>1</v>
      </c>
      <c r="N74">
        <v>0.32</v>
      </c>
      <c r="O74">
        <v>0.85</v>
      </c>
      <c r="P74">
        <v>43</v>
      </c>
      <c r="Q74">
        <v>170</v>
      </c>
      <c r="R74">
        <v>220</v>
      </c>
      <c r="S74">
        <v>920</v>
      </c>
      <c r="T74">
        <v>2</v>
      </c>
      <c r="U74">
        <v>2</v>
      </c>
      <c r="V74">
        <f>River_data[[#This Row],[Dissolved Oxygen Min]]*River_data[[#This Row],[Dissolved Oxygen Max]]/2</f>
        <v>30.099999999999998</v>
      </c>
      <c r="W74">
        <f>River_data[[#This Row],[BOD Min]]*River_data[[#This Row],[BOD Max]]/2</f>
        <v>0.5</v>
      </c>
      <c r="X74">
        <f>AVERAGE(River_data[[#This Row],[pH Max]]-River_data[[#This Row],[pH Min]])</f>
        <v>1.5999999999999996</v>
      </c>
    </row>
    <row r="75" spans="1:24" x14ac:dyDescent="0.3">
      <c r="A75">
        <v>1090</v>
      </c>
      <c r="B75" s="1" t="s">
        <v>67</v>
      </c>
      <c r="C75" s="1" t="s">
        <v>0</v>
      </c>
      <c r="D75">
        <v>6</v>
      </c>
      <c r="E75">
        <v>15</v>
      </c>
      <c r="F75">
        <v>7.4</v>
      </c>
      <c r="G75">
        <v>8.1999999999999993</v>
      </c>
      <c r="H75">
        <v>7</v>
      </c>
      <c r="I75">
        <v>8</v>
      </c>
      <c r="J75">
        <v>60</v>
      </c>
      <c r="K75">
        <v>145</v>
      </c>
      <c r="L75">
        <v>1</v>
      </c>
      <c r="M75">
        <v>1</v>
      </c>
      <c r="N75">
        <v>0.32</v>
      </c>
      <c r="O75">
        <v>0.84</v>
      </c>
      <c r="P75">
        <v>22</v>
      </c>
      <c r="Q75">
        <v>110</v>
      </c>
      <c r="R75">
        <v>94</v>
      </c>
      <c r="S75">
        <v>920</v>
      </c>
      <c r="T75">
        <v>2</v>
      </c>
      <c r="U75">
        <v>2</v>
      </c>
      <c r="V75">
        <f>River_data[[#This Row],[Dissolved Oxygen Min]]*River_data[[#This Row],[Dissolved Oxygen Max]]/2</f>
        <v>30.34</v>
      </c>
      <c r="W75">
        <f>River_data[[#This Row],[BOD Min]]*River_data[[#This Row],[BOD Max]]/2</f>
        <v>0.5</v>
      </c>
      <c r="X75">
        <f>AVERAGE(River_data[[#This Row],[pH Max]]-River_data[[#This Row],[pH Min]])</f>
        <v>1</v>
      </c>
    </row>
    <row r="76" spans="1:24" x14ac:dyDescent="0.3">
      <c r="A76">
        <v>2605</v>
      </c>
      <c r="B76" s="1" t="s">
        <v>68</v>
      </c>
      <c r="C76" s="1" t="s">
        <v>0</v>
      </c>
      <c r="D76">
        <v>3</v>
      </c>
      <c r="E76">
        <v>15</v>
      </c>
      <c r="F76">
        <v>7.2</v>
      </c>
      <c r="G76">
        <v>8.8000000000000007</v>
      </c>
      <c r="H76">
        <v>6.8</v>
      </c>
      <c r="I76">
        <v>8.3000000000000007</v>
      </c>
      <c r="J76">
        <v>40</v>
      </c>
      <c r="K76">
        <v>94</v>
      </c>
      <c r="L76">
        <v>1</v>
      </c>
      <c r="M76">
        <v>1</v>
      </c>
      <c r="N76">
        <v>0.32</v>
      </c>
      <c r="O76">
        <v>1.06</v>
      </c>
      <c r="P76">
        <v>17</v>
      </c>
      <c r="Q76">
        <v>47</v>
      </c>
      <c r="R76">
        <v>63</v>
      </c>
      <c r="S76">
        <v>220</v>
      </c>
      <c r="T76">
        <v>2</v>
      </c>
      <c r="U76">
        <v>2</v>
      </c>
      <c r="V76">
        <f>River_data[[#This Row],[Dissolved Oxygen Min]]*River_data[[#This Row],[Dissolved Oxygen Max]]/2</f>
        <v>31.680000000000003</v>
      </c>
      <c r="W76">
        <f>River_data[[#This Row],[BOD Min]]*River_data[[#This Row],[BOD Max]]/2</f>
        <v>0.5</v>
      </c>
      <c r="X76">
        <f>AVERAGE(River_data[[#This Row],[pH Max]]-River_data[[#This Row],[pH Min]])</f>
        <v>1.5000000000000009</v>
      </c>
    </row>
    <row r="77" spans="1:24" x14ac:dyDescent="0.3">
      <c r="A77">
        <v>2606</v>
      </c>
      <c r="B77" s="1" t="s">
        <v>69</v>
      </c>
      <c r="C77" s="1" t="s">
        <v>0</v>
      </c>
      <c r="D77">
        <v>3</v>
      </c>
      <c r="E77">
        <v>16</v>
      </c>
      <c r="F77">
        <v>7.1</v>
      </c>
      <c r="G77">
        <v>8.6999999999999993</v>
      </c>
      <c r="H77">
        <v>6.8</v>
      </c>
      <c r="I77">
        <v>8</v>
      </c>
      <c r="J77">
        <v>42</v>
      </c>
      <c r="K77">
        <v>100</v>
      </c>
      <c r="L77">
        <v>1</v>
      </c>
      <c r="M77">
        <v>1</v>
      </c>
      <c r="N77">
        <v>0.32</v>
      </c>
      <c r="O77">
        <v>1.23</v>
      </c>
      <c r="P77">
        <v>22</v>
      </c>
      <c r="Q77">
        <v>94</v>
      </c>
      <c r="R77">
        <v>70</v>
      </c>
      <c r="S77">
        <v>350</v>
      </c>
      <c r="T77">
        <v>2</v>
      </c>
      <c r="U77">
        <v>2</v>
      </c>
      <c r="V77">
        <f>River_data[[#This Row],[Dissolved Oxygen Min]]*River_data[[#This Row],[Dissolved Oxygen Max]]/2</f>
        <v>30.884999999999994</v>
      </c>
      <c r="W77">
        <f>River_data[[#This Row],[BOD Min]]*River_data[[#This Row],[BOD Max]]/2</f>
        <v>0.5</v>
      </c>
      <c r="X77">
        <f>AVERAGE(River_data[[#This Row],[pH Max]]-River_data[[#This Row],[pH Min]])</f>
        <v>1.2000000000000002</v>
      </c>
    </row>
    <row r="78" spans="1:24" x14ac:dyDescent="0.3">
      <c r="A78">
        <v>1551</v>
      </c>
      <c r="B78" s="1" t="s">
        <v>70</v>
      </c>
      <c r="C78" s="1" t="s">
        <v>0</v>
      </c>
      <c r="D78">
        <v>12</v>
      </c>
      <c r="E78">
        <v>23</v>
      </c>
      <c r="F78">
        <v>5.8</v>
      </c>
      <c r="G78">
        <v>7.1</v>
      </c>
      <c r="H78">
        <v>7.4</v>
      </c>
      <c r="I78">
        <v>8.1999999999999993</v>
      </c>
      <c r="J78">
        <v>331</v>
      </c>
      <c r="K78">
        <v>766</v>
      </c>
      <c r="L78">
        <v>1</v>
      </c>
      <c r="M78">
        <v>7.2</v>
      </c>
      <c r="N78">
        <v>1.73</v>
      </c>
      <c r="O78">
        <v>15.8</v>
      </c>
      <c r="P78">
        <v>2</v>
      </c>
      <c r="Q78">
        <v>920</v>
      </c>
      <c r="R78">
        <v>26</v>
      </c>
      <c r="S78">
        <v>1600</v>
      </c>
      <c r="T78">
        <v>2</v>
      </c>
      <c r="U78">
        <v>2</v>
      </c>
      <c r="V78">
        <f>River_data[[#This Row],[Dissolved Oxygen Min]]*River_data[[#This Row],[Dissolved Oxygen Max]]/2</f>
        <v>20.59</v>
      </c>
      <c r="W78">
        <f>River_data[[#This Row],[BOD Min]]*River_data[[#This Row],[BOD Max]]/2</f>
        <v>3.6</v>
      </c>
      <c r="X78">
        <f>AVERAGE(River_data[[#This Row],[pH Max]]-River_data[[#This Row],[pH Min]])</f>
        <v>0.79999999999999893</v>
      </c>
    </row>
    <row r="79" spans="1:24" x14ac:dyDescent="0.3">
      <c r="A79">
        <v>1552</v>
      </c>
      <c r="B79" s="1" t="s">
        <v>71</v>
      </c>
      <c r="C79" s="1" t="s">
        <v>0</v>
      </c>
      <c r="D79">
        <v>12</v>
      </c>
      <c r="E79">
        <v>26</v>
      </c>
      <c r="F79">
        <v>5.5</v>
      </c>
      <c r="G79">
        <v>7.1</v>
      </c>
      <c r="H79">
        <v>7.3</v>
      </c>
      <c r="I79">
        <v>8.1</v>
      </c>
      <c r="J79">
        <v>408</v>
      </c>
      <c r="K79">
        <v>1436</v>
      </c>
      <c r="L79">
        <v>1</v>
      </c>
      <c r="M79">
        <v>6</v>
      </c>
      <c r="N79">
        <v>2.62</v>
      </c>
      <c r="O79">
        <v>15.54</v>
      </c>
      <c r="P79">
        <v>4</v>
      </c>
      <c r="Q79">
        <v>920</v>
      </c>
      <c r="R79">
        <v>21</v>
      </c>
      <c r="S79">
        <v>1600</v>
      </c>
      <c r="T79">
        <v>2</v>
      </c>
      <c r="U79">
        <v>2</v>
      </c>
      <c r="V79">
        <f>River_data[[#This Row],[Dissolved Oxygen Min]]*River_data[[#This Row],[Dissolved Oxygen Max]]/2</f>
        <v>19.524999999999999</v>
      </c>
      <c r="W79">
        <f>River_data[[#This Row],[BOD Min]]*River_data[[#This Row],[BOD Max]]/2</f>
        <v>3</v>
      </c>
      <c r="X79">
        <f>AVERAGE(River_data[[#This Row],[pH Max]]-River_data[[#This Row],[pH Min]])</f>
        <v>0.79999999999999982</v>
      </c>
    </row>
    <row r="80" spans="1:24" x14ac:dyDescent="0.3">
      <c r="A80">
        <v>1868</v>
      </c>
      <c r="B80" s="1" t="s">
        <v>72</v>
      </c>
      <c r="C80" s="1" t="s">
        <v>0</v>
      </c>
      <c r="D80">
        <v>11</v>
      </c>
      <c r="E80">
        <v>26</v>
      </c>
      <c r="F80">
        <v>3.4</v>
      </c>
      <c r="G80">
        <v>7.1</v>
      </c>
      <c r="H80">
        <v>7.1</v>
      </c>
      <c r="I80">
        <v>8.1</v>
      </c>
      <c r="J80">
        <v>403</v>
      </c>
      <c r="K80">
        <v>1611</v>
      </c>
      <c r="L80">
        <v>1</v>
      </c>
      <c r="M80">
        <v>3.9</v>
      </c>
      <c r="N80">
        <v>3.05</v>
      </c>
      <c r="O80">
        <v>15.31</v>
      </c>
      <c r="P80">
        <v>2</v>
      </c>
      <c r="Q80">
        <v>540</v>
      </c>
      <c r="R80">
        <v>26</v>
      </c>
      <c r="S80">
        <v>1600</v>
      </c>
      <c r="T80">
        <v>2</v>
      </c>
      <c r="U80">
        <v>2</v>
      </c>
      <c r="V80">
        <f>River_data[[#This Row],[Dissolved Oxygen Min]]*River_data[[#This Row],[Dissolved Oxygen Max]]/2</f>
        <v>12.069999999999999</v>
      </c>
      <c r="W80">
        <f>River_data[[#This Row],[BOD Min]]*River_data[[#This Row],[BOD Max]]/2</f>
        <v>1.95</v>
      </c>
      <c r="X80">
        <f>AVERAGE(River_data[[#This Row],[pH Max]]-River_data[[#This Row],[pH Min]])</f>
        <v>1</v>
      </c>
    </row>
    <row r="81" spans="1:24" x14ac:dyDescent="0.3">
      <c r="A81">
        <v>4485</v>
      </c>
      <c r="B81" s="1" t="s">
        <v>73</v>
      </c>
      <c r="C81" s="1" t="s">
        <v>0</v>
      </c>
      <c r="D81">
        <v>11</v>
      </c>
      <c r="E81">
        <v>24</v>
      </c>
      <c r="F81">
        <v>6</v>
      </c>
      <c r="G81">
        <v>7.1</v>
      </c>
      <c r="H81">
        <v>7.5</v>
      </c>
      <c r="I81">
        <v>8.1999999999999993</v>
      </c>
      <c r="J81">
        <v>329</v>
      </c>
      <c r="K81">
        <v>768</v>
      </c>
      <c r="L81">
        <v>1</v>
      </c>
      <c r="M81">
        <v>3.8</v>
      </c>
      <c r="N81">
        <v>1.86</v>
      </c>
      <c r="O81">
        <v>11.86</v>
      </c>
      <c r="P81">
        <v>4</v>
      </c>
      <c r="Q81">
        <v>46</v>
      </c>
      <c r="R81">
        <v>34</v>
      </c>
      <c r="S81">
        <v>920</v>
      </c>
      <c r="T81">
        <v>2</v>
      </c>
      <c r="U81">
        <v>2</v>
      </c>
      <c r="V81">
        <f>River_data[[#This Row],[Dissolved Oxygen Min]]*River_data[[#This Row],[Dissolved Oxygen Max]]/2</f>
        <v>21.299999999999997</v>
      </c>
      <c r="W81">
        <f>River_data[[#This Row],[BOD Min]]*River_data[[#This Row],[BOD Max]]/2</f>
        <v>1.9</v>
      </c>
      <c r="X81">
        <f>AVERAGE(River_data[[#This Row],[pH Max]]-River_data[[#This Row],[pH Min]])</f>
        <v>0.69999999999999929</v>
      </c>
    </row>
    <row r="82" spans="1:24" x14ac:dyDescent="0.3">
      <c r="A82">
        <v>4486</v>
      </c>
      <c r="B82" s="1" t="s">
        <v>74</v>
      </c>
      <c r="C82" s="1" t="s">
        <v>0</v>
      </c>
      <c r="D82">
        <v>12</v>
      </c>
      <c r="E82">
        <v>24</v>
      </c>
      <c r="F82">
        <v>4</v>
      </c>
      <c r="G82">
        <v>7.6</v>
      </c>
      <c r="H82">
        <v>7.2</v>
      </c>
      <c r="I82">
        <v>8.1</v>
      </c>
      <c r="J82">
        <v>302</v>
      </c>
      <c r="K82">
        <v>1754</v>
      </c>
      <c r="L82">
        <v>1</v>
      </c>
      <c r="M82">
        <v>24</v>
      </c>
      <c r="N82">
        <v>1.4</v>
      </c>
      <c r="O82">
        <v>9.23</v>
      </c>
      <c r="P82">
        <v>2</v>
      </c>
      <c r="Q82">
        <v>1600</v>
      </c>
      <c r="R82">
        <v>12</v>
      </c>
      <c r="S82">
        <v>1600</v>
      </c>
      <c r="T82">
        <v>2</v>
      </c>
      <c r="U82">
        <v>2</v>
      </c>
      <c r="V82">
        <f>River_data[[#This Row],[Dissolved Oxygen Min]]*River_data[[#This Row],[Dissolved Oxygen Max]]/2</f>
        <v>15.2</v>
      </c>
      <c r="W82">
        <f>River_data[[#This Row],[BOD Min]]*River_data[[#This Row],[BOD Max]]/2</f>
        <v>12</v>
      </c>
      <c r="X82">
        <f>AVERAGE(River_data[[#This Row],[pH Max]]-River_data[[#This Row],[pH Min]])</f>
        <v>0.89999999999999947</v>
      </c>
    </row>
    <row r="83" spans="1:24" x14ac:dyDescent="0.3">
      <c r="A83">
        <v>4487</v>
      </c>
      <c r="B83" s="1" t="s">
        <v>75</v>
      </c>
      <c r="C83" s="1" t="s">
        <v>0</v>
      </c>
      <c r="D83">
        <v>11</v>
      </c>
      <c r="E83">
        <v>25</v>
      </c>
      <c r="F83">
        <v>3</v>
      </c>
      <c r="G83">
        <v>6.9</v>
      </c>
      <c r="H83">
        <v>7.6</v>
      </c>
      <c r="I83">
        <v>8.1999999999999993</v>
      </c>
      <c r="J83">
        <v>360</v>
      </c>
      <c r="K83">
        <v>1913</v>
      </c>
      <c r="L83">
        <v>1</v>
      </c>
      <c r="M83">
        <v>16</v>
      </c>
      <c r="N83">
        <v>1.48</v>
      </c>
      <c r="O83">
        <v>14.24</v>
      </c>
      <c r="P83">
        <v>7</v>
      </c>
      <c r="Q83">
        <v>1600</v>
      </c>
      <c r="R83">
        <v>39</v>
      </c>
      <c r="S83">
        <v>1600</v>
      </c>
      <c r="T83">
        <v>2</v>
      </c>
      <c r="U83">
        <v>9</v>
      </c>
      <c r="V83">
        <f>River_data[[#This Row],[Dissolved Oxygen Min]]*River_data[[#This Row],[Dissolved Oxygen Max]]/2</f>
        <v>10.350000000000001</v>
      </c>
      <c r="W83">
        <f>River_data[[#This Row],[BOD Min]]*River_data[[#This Row],[BOD Max]]/2</f>
        <v>8</v>
      </c>
      <c r="X83">
        <f>AVERAGE(River_data[[#This Row],[pH Max]]-River_data[[#This Row],[pH Min]])</f>
        <v>0.59999999999999964</v>
      </c>
    </row>
    <row r="84" spans="1:24" x14ac:dyDescent="0.3">
      <c r="A84">
        <v>4489</v>
      </c>
      <c r="B84" s="1" t="s">
        <v>76</v>
      </c>
      <c r="C84" s="1" t="s">
        <v>0</v>
      </c>
      <c r="D84">
        <v>12</v>
      </c>
      <c r="E84">
        <v>24</v>
      </c>
      <c r="F84">
        <v>5.2</v>
      </c>
      <c r="G84">
        <v>7.1</v>
      </c>
      <c r="H84">
        <v>7.7</v>
      </c>
      <c r="I84">
        <v>8.3000000000000007</v>
      </c>
      <c r="J84">
        <v>418</v>
      </c>
      <c r="K84">
        <v>1385</v>
      </c>
      <c r="L84">
        <v>1</v>
      </c>
      <c r="M84">
        <v>5.6</v>
      </c>
      <c r="N84">
        <v>1.93</v>
      </c>
      <c r="O84">
        <v>12.83</v>
      </c>
      <c r="P84">
        <v>4</v>
      </c>
      <c r="Q84">
        <v>540</v>
      </c>
      <c r="R84">
        <v>33</v>
      </c>
      <c r="S84">
        <v>1600</v>
      </c>
      <c r="T84">
        <v>2</v>
      </c>
      <c r="U84">
        <v>2</v>
      </c>
      <c r="V84">
        <f>River_data[[#This Row],[Dissolved Oxygen Min]]*River_data[[#This Row],[Dissolved Oxygen Max]]/2</f>
        <v>18.46</v>
      </c>
      <c r="W84">
        <f>River_data[[#This Row],[BOD Min]]*River_data[[#This Row],[BOD Max]]/2</f>
        <v>2.8</v>
      </c>
      <c r="X84">
        <f>AVERAGE(River_data[[#This Row],[pH Max]]-River_data[[#This Row],[pH Min]])</f>
        <v>0.60000000000000053</v>
      </c>
    </row>
    <row r="85" spans="1:24" x14ac:dyDescent="0.3">
      <c r="A85">
        <v>30012</v>
      </c>
      <c r="B85" s="1" t="s">
        <v>77</v>
      </c>
      <c r="C85" s="1" t="s">
        <v>1</v>
      </c>
      <c r="D85">
        <v>19</v>
      </c>
      <c r="E85">
        <v>27</v>
      </c>
      <c r="F85">
        <v>6</v>
      </c>
      <c r="G85">
        <v>6.8</v>
      </c>
      <c r="H85">
        <v>7.6</v>
      </c>
      <c r="I85">
        <v>8.1</v>
      </c>
      <c r="J85">
        <v>330</v>
      </c>
      <c r="K85">
        <v>1269</v>
      </c>
      <c r="L85">
        <v>3</v>
      </c>
      <c r="M85">
        <v>45</v>
      </c>
      <c r="N85">
        <v>1.27</v>
      </c>
      <c r="O85">
        <v>5.52</v>
      </c>
      <c r="P85">
        <v>3400</v>
      </c>
      <c r="Q85">
        <v>490000</v>
      </c>
      <c r="R85">
        <v>28000</v>
      </c>
      <c r="S85">
        <v>1600000</v>
      </c>
      <c r="T85">
        <v>1700</v>
      </c>
      <c r="U85">
        <v>4900</v>
      </c>
      <c r="V85">
        <f>River_data[[#This Row],[Dissolved Oxygen Min]]*River_data[[#This Row],[Dissolved Oxygen Max]]/2</f>
        <v>20.399999999999999</v>
      </c>
      <c r="W85">
        <f>River_data[[#This Row],[BOD Min]]*River_data[[#This Row],[BOD Max]]/2</f>
        <v>67.5</v>
      </c>
      <c r="X85">
        <f>AVERAGE(River_data[[#This Row],[pH Max]]-River_data[[#This Row],[pH Min]])</f>
        <v>0.5</v>
      </c>
    </row>
    <row r="86" spans="1:24" x14ac:dyDescent="0.3">
      <c r="A86">
        <v>4161</v>
      </c>
      <c r="B86" s="1" t="s">
        <v>78</v>
      </c>
      <c r="C86" s="1" t="s">
        <v>1</v>
      </c>
      <c r="D86">
        <v>12</v>
      </c>
      <c r="E86">
        <v>29</v>
      </c>
      <c r="F86">
        <v>6.5</v>
      </c>
      <c r="G86">
        <v>12.2</v>
      </c>
      <c r="H86">
        <v>7.2</v>
      </c>
      <c r="I86">
        <v>8.3000000000000007</v>
      </c>
      <c r="J86">
        <v>262</v>
      </c>
      <c r="K86">
        <v>554</v>
      </c>
      <c r="L86">
        <v>1</v>
      </c>
      <c r="M86">
        <v>1.2</v>
      </c>
      <c r="N86">
        <v>0.9</v>
      </c>
      <c r="O86">
        <v>4.7</v>
      </c>
      <c r="P86">
        <v>78</v>
      </c>
      <c r="Q86">
        <v>460</v>
      </c>
      <c r="R86">
        <v>210</v>
      </c>
      <c r="S86">
        <v>1100</v>
      </c>
      <c r="V86">
        <f>River_data[[#This Row],[Dissolved Oxygen Min]]*River_data[[#This Row],[Dissolved Oxygen Max]]/2</f>
        <v>39.65</v>
      </c>
      <c r="W86">
        <f>River_data[[#This Row],[BOD Min]]*River_data[[#This Row],[BOD Max]]/2</f>
        <v>0.6</v>
      </c>
      <c r="X86">
        <f>AVERAGE(River_data[[#This Row],[pH Max]]-River_data[[#This Row],[pH Min]])</f>
        <v>1.1000000000000005</v>
      </c>
    </row>
    <row r="87" spans="1:24" x14ac:dyDescent="0.3">
      <c r="A87">
        <v>2616</v>
      </c>
      <c r="B87" s="1" t="s">
        <v>79</v>
      </c>
      <c r="C87" s="1" t="s">
        <v>0</v>
      </c>
      <c r="D87">
        <v>10</v>
      </c>
      <c r="E87">
        <v>16</v>
      </c>
      <c r="F87">
        <v>8.6999999999999993</v>
      </c>
      <c r="G87">
        <v>9.1999999999999993</v>
      </c>
      <c r="H87">
        <v>6.7</v>
      </c>
      <c r="I87">
        <v>8.1</v>
      </c>
      <c r="J87">
        <v>64</v>
      </c>
      <c r="K87">
        <v>283</v>
      </c>
      <c r="L87">
        <v>1</v>
      </c>
      <c r="M87">
        <v>1</v>
      </c>
      <c r="N87">
        <v>0.37</v>
      </c>
      <c r="O87">
        <v>3.32</v>
      </c>
      <c r="P87">
        <v>2</v>
      </c>
      <c r="Q87">
        <v>14</v>
      </c>
      <c r="R87">
        <v>70</v>
      </c>
      <c r="S87">
        <v>1700</v>
      </c>
      <c r="T87">
        <v>2</v>
      </c>
      <c r="U87">
        <v>2</v>
      </c>
      <c r="V87">
        <f>River_data[[#This Row],[Dissolved Oxygen Min]]*River_data[[#This Row],[Dissolved Oxygen Max]]/2</f>
        <v>40.019999999999996</v>
      </c>
      <c r="W87">
        <f>River_data[[#This Row],[BOD Min]]*River_data[[#This Row],[BOD Max]]/2</f>
        <v>0.5</v>
      </c>
      <c r="X87">
        <f>AVERAGE(River_data[[#This Row],[pH Max]]-River_data[[#This Row],[pH Min]])</f>
        <v>1.3999999999999995</v>
      </c>
    </row>
    <row r="88" spans="1:24" x14ac:dyDescent="0.3">
      <c r="A88">
        <v>2607</v>
      </c>
      <c r="B88" s="1" t="s">
        <v>80</v>
      </c>
      <c r="C88" s="1" t="s">
        <v>0</v>
      </c>
      <c r="D88">
        <v>10</v>
      </c>
      <c r="E88">
        <v>27</v>
      </c>
      <c r="F88">
        <v>8</v>
      </c>
      <c r="G88">
        <v>8.9</v>
      </c>
      <c r="H88">
        <v>7.1</v>
      </c>
      <c r="I88">
        <v>8.3000000000000007</v>
      </c>
      <c r="J88">
        <v>210</v>
      </c>
      <c r="K88">
        <v>385</v>
      </c>
      <c r="L88">
        <v>1</v>
      </c>
      <c r="M88">
        <v>2</v>
      </c>
      <c r="N88">
        <v>0.32</v>
      </c>
      <c r="O88">
        <v>3.22</v>
      </c>
      <c r="P88">
        <v>63</v>
      </c>
      <c r="Q88">
        <v>1600</v>
      </c>
      <c r="R88">
        <v>350</v>
      </c>
      <c r="S88">
        <v>1600</v>
      </c>
      <c r="T88">
        <v>2</v>
      </c>
      <c r="U88">
        <v>2</v>
      </c>
      <c r="V88">
        <f>River_data[[#This Row],[Dissolved Oxygen Min]]*River_data[[#This Row],[Dissolved Oxygen Max]]/2</f>
        <v>35.6</v>
      </c>
      <c r="W88">
        <f>River_data[[#This Row],[BOD Min]]*River_data[[#This Row],[BOD Max]]/2</f>
        <v>1</v>
      </c>
      <c r="X88">
        <f>AVERAGE(River_data[[#This Row],[pH Max]]-River_data[[#This Row],[pH Min]])</f>
        <v>1.2000000000000011</v>
      </c>
    </row>
    <row r="89" spans="1:24" x14ac:dyDescent="0.3">
      <c r="A89">
        <v>2608</v>
      </c>
      <c r="B89" s="1" t="s">
        <v>81</v>
      </c>
      <c r="C89" s="1" t="s">
        <v>0</v>
      </c>
      <c r="D89">
        <v>15</v>
      </c>
      <c r="E89">
        <v>20</v>
      </c>
      <c r="F89">
        <v>8.6</v>
      </c>
      <c r="G89">
        <v>9.1999999999999993</v>
      </c>
      <c r="H89">
        <v>7.3</v>
      </c>
      <c r="I89">
        <v>8.1999999999999993</v>
      </c>
      <c r="J89">
        <v>57</v>
      </c>
      <c r="K89">
        <v>294</v>
      </c>
      <c r="L89">
        <v>1</v>
      </c>
      <c r="M89">
        <v>1</v>
      </c>
      <c r="N89">
        <v>0.59</v>
      </c>
      <c r="O89">
        <v>3.1</v>
      </c>
      <c r="P89">
        <v>2</v>
      </c>
      <c r="Q89">
        <v>40</v>
      </c>
      <c r="R89">
        <v>49</v>
      </c>
      <c r="S89">
        <v>9200</v>
      </c>
      <c r="T89">
        <v>2</v>
      </c>
      <c r="U89">
        <v>2</v>
      </c>
      <c r="V89">
        <f>River_data[[#This Row],[Dissolved Oxygen Min]]*River_data[[#This Row],[Dissolved Oxygen Max]]/2</f>
        <v>39.559999999999995</v>
      </c>
      <c r="W89">
        <f>River_data[[#This Row],[BOD Min]]*River_data[[#This Row],[BOD Max]]/2</f>
        <v>0.5</v>
      </c>
      <c r="X89">
        <f>AVERAGE(River_data[[#This Row],[pH Max]]-River_data[[#This Row],[pH Min]])</f>
        <v>0.89999999999999947</v>
      </c>
    </row>
    <row r="90" spans="1:24" x14ac:dyDescent="0.3">
      <c r="A90">
        <v>2609</v>
      </c>
      <c r="B90" s="1" t="s">
        <v>82</v>
      </c>
      <c r="C90" s="1" t="s">
        <v>0</v>
      </c>
      <c r="D90">
        <v>12</v>
      </c>
      <c r="E90">
        <v>22</v>
      </c>
      <c r="F90">
        <v>8.5</v>
      </c>
      <c r="G90">
        <v>9.1</v>
      </c>
      <c r="H90">
        <v>7.1</v>
      </c>
      <c r="I90">
        <v>8.5</v>
      </c>
      <c r="J90">
        <v>88</v>
      </c>
      <c r="K90">
        <v>283</v>
      </c>
      <c r="L90">
        <v>1</v>
      </c>
      <c r="M90">
        <v>1</v>
      </c>
      <c r="N90">
        <v>0.95</v>
      </c>
      <c r="O90">
        <v>4.18</v>
      </c>
      <c r="P90">
        <v>2</v>
      </c>
      <c r="Q90">
        <v>45</v>
      </c>
      <c r="R90">
        <v>70</v>
      </c>
      <c r="S90">
        <v>16000</v>
      </c>
      <c r="T90">
        <v>2</v>
      </c>
      <c r="U90">
        <v>2</v>
      </c>
      <c r="V90">
        <f>River_data[[#This Row],[Dissolved Oxygen Min]]*River_data[[#This Row],[Dissolved Oxygen Max]]/2</f>
        <v>38.674999999999997</v>
      </c>
      <c r="W90">
        <f>River_data[[#This Row],[BOD Min]]*River_data[[#This Row],[BOD Max]]/2</f>
        <v>0.5</v>
      </c>
      <c r="X90">
        <f>AVERAGE(River_data[[#This Row],[pH Max]]-River_data[[#This Row],[pH Min]])</f>
        <v>1.4000000000000004</v>
      </c>
    </row>
    <row r="91" spans="1:24" x14ac:dyDescent="0.3">
      <c r="A91">
        <v>2610</v>
      </c>
      <c r="B91" s="1" t="s">
        <v>83</v>
      </c>
      <c r="C91" s="1" t="s">
        <v>0</v>
      </c>
      <c r="D91">
        <v>7</v>
      </c>
      <c r="E91">
        <v>11.5</v>
      </c>
      <c r="F91">
        <v>9.1999999999999993</v>
      </c>
      <c r="G91">
        <v>9.6999999999999993</v>
      </c>
      <c r="H91">
        <v>7.6</v>
      </c>
      <c r="I91">
        <v>8.4</v>
      </c>
      <c r="J91">
        <v>129</v>
      </c>
      <c r="K91">
        <v>509</v>
      </c>
      <c r="L91">
        <v>1</v>
      </c>
      <c r="M91">
        <v>1</v>
      </c>
      <c r="N91">
        <v>0.32</v>
      </c>
      <c r="O91">
        <v>0.82</v>
      </c>
      <c r="P91">
        <v>2</v>
      </c>
      <c r="Q91">
        <v>70</v>
      </c>
      <c r="R91">
        <v>2</v>
      </c>
      <c r="S91">
        <v>280</v>
      </c>
      <c r="T91">
        <v>2</v>
      </c>
      <c r="U91">
        <v>2</v>
      </c>
      <c r="V91">
        <f>River_data[[#This Row],[Dissolved Oxygen Min]]*River_data[[#This Row],[Dissolved Oxygen Max]]/2</f>
        <v>44.61999999999999</v>
      </c>
      <c r="W91">
        <f>River_data[[#This Row],[BOD Min]]*River_data[[#This Row],[BOD Max]]/2</f>
        <v>0.5</v>
      </c>
      <c r="X91">
        <f>AVERAGE(River_data[[#This Row],[pH Max]]-River_data[[#This Row],[pH Min]])</f>
        <v>0.80000000000000071</v>
      </c>
    </row>
    <row r="92" spans="1:24" x14ac:dyDescent="0.3">
      <c r="A92">
        <v>2612</v>
      </c>
      <c r="B92" s="1" t="s">
        <v>84</v>
      </c>
      <c r="C92" s="1" t="s">
        <v>0</v>
      </c>
      <c r="D92">
        <v>7</v>
      </c>
      <c r="E92">
        <v>12</v>
      </c>
      <c r="F92">
        <v>9.3000000000000007</v>
      </c>
      <c r="G92">
        <v>9.8000000000000007</v>
      </c>
      <c r="H92">
        <v>7.5</v>
      </c>
      <c r="I92">
        <v>8.4</v>
      </c>
      <c r="J92">
        <v>104</v>
      </c>
      <c r="K92">
        <v>304</v>
      </c>
      <c r="L92">
        <v>1</v>
      </c>
      <c r="M92">
        <v>1</v>
      </c>
      <c r="N92">
        <v>0.32</v>
      </c>
      <c r="O92">
        <v>1.45</v>
      </c>
      <c r="P92">
        <v>2</v>
      </c>
      <c r="Q92">
        <v>39</v>
      </c>
      <c r="R92">
        <v>9</v>
      </c>
      <c r="S92">
        <v>280</v>
      </c>
      <c r="T92">
        <v>2</v>
      </c>
      <c r="U92">
        <v>2</v>
      </c>
      <c r="V92">
        <f>River_data[[#This Row],[Dissolved Oxygen Min]]*River_data[[#This Row],[Dissolved Oxygen Max]]/2</f>
        <v>45.570000000000007</v>
      </c>
      <c r="W92">
        <f>River_data[[#This Row],[BOD Min]]*River_data[[#This Row],[BOD Max]]/2</f>
        <v>0.5</v>
      </c>
      <c r="X92">
        <f>AVERAGE(River_data[[#This Row],[pH Max]]-River_data[[#This Row],[pH Min]])</f>
        <v>0.90000000000000036</v>
      </c>
    </row>
    <row r="93" spans="1:24" x14ac:dyDescent="0.3">
      <c r="A93">
        <v>5767</v>
      </c>
      <c r="B93" s="1" t="s">
        <v>85</v>
      </c>
      <c r="C93" s="1" t="s">
        <v>0</v>
      </c>
      <c r="D93">
        <v>6</v>
      </c>
      <c r="E93">
        <v>10.4</v>
      </c>
      <c r="F93">
        <v>7.6</v>
      </c>
      <c r="G93">
        <v>8.6999999999999993</v>
      </c>
      <c r="H93">
        <v>7</v>
      </c>
      <c r="I93">
        <v>8.4</v>
      </c>
      <c r="J93">
        <v>42</v>
      </c>
      <c r="K93">
        <v>136</v>
      </c>
      <c r="L93">
        <v>1</v>
      </c>
      <c r="M93">
        <v>1</v>
      </c>
      <c r="N93">
        <v>0.32</v>
      </c>
      <c r="O93">
        <v>0.66</v>
      </c>
      <c r="P93">
        <v>2</v>
      </c>
      <c r="Q93">
        <v>20</v>
      </c>
      <c r="R93">
        <v>2</v>
      </c>
      <c r="S93">
        <v>280</v>
      </c>
      <c r="T93">
        <v>2</v>
      </c>
      <c r="U93">
        <v>2</v>
      </c>
      <c r="V93">
        <f>River_data[[#This Row],[Dissolved Oxygen Min]]*River_data[[#This Row],[Dissolved Oxygen Max]]/2</f>
        <v>33.059999999999995</v>
      </c>
      <c r="W93">
        <f>River_data[[#This Row],[BOD Min]]*River_data[[#This Row],[BOD Max]]/2</f>
        <v>0.5</v>
      </c>
      <c r="X93">
        <f>AVERAGE(River_data[[#This Row],[pH Max]]-River_data[[#This Row],[pH Min]])</f>
        <v>1.4000000000000004</v>
      </c>
    </row>
    <row r="94" spans="1:24" x14ac:dyDescent="0.3">
      <c r="A94">
        <v>5769</v>
      </c>
      <c r="B94" s="1" t="s">
        <v>86</v>
      </c>
      <c r="C94" s="1" t="s">
        <v>0</v>
      </c>
      <c r="D94">
        <v>12</v>
      </c>
      <c r="E94">
        <v>19</v>
      </c>
      <c r="F94">
        <v>9</v>
      </c>
      <c r="G94">
        <v>9.1</v>
      </c>
      <c r="H94">
        <v>7.5</v>
      </c>
      <c r="I94">
        <v>8.1999999999999993</v>
      </c>
      <c r="J94">
        <v>79</v>
      </c>
      <c r="K94">
        <v>213</v>
      </c>
      <c r="L94">
        <v>1</v>
      </c>
      <c r="M94">
        <v>1</v>
      </c>
      <c r="N94">
        <v>0.69</v>
      </c>
      <c r="O94">
        <v>3.12</v>
      </c>
      <c r="P94">
        <v>2</v>
      </c>
      <c r="Q94">
        <v>93</v>
      </c>
      <c r="R94">
        <v>26</v>
      </c>
      <c r="S94">
        <v>5400</v>
      </c>
      <c r="T94">
        <v>2</v>
      </c>
      <c r="U94">
        <v>2</v>
      </c>
      <c r="V94">
        <f>River_data[[#This Row],[Dissolved Oxygen Min]]*River_data[[#This Row],[Dissolved Oxygen Max]]/2</f>
        <v>40.949999999999996</v>
      </c>
      <c r="W94">
        <f>River_data[[#This Row],[BOD Min]]*River_data[[#This Row],[BOD Max]]/2</f>
        <v>0.5</v>
      </c>
      <c r="X94">
        <f>AVERAGE(River_data[[#This Row],[pH Max]]-River_data[[#This Row],[pH Min]])</f>
        <v>0.69999999999999929</v>
      </c>
    </row>
    <row r="95" spans="1:24" x14ac:dyDescent="0.3">
      <c r="A95">
        <v>2755</v>
      </c>
      <c r="B95" s="1" t="s">
        <v>87</v>
      </c>
      <c r="C95" s="1" t="s">
        <v>53</v>
      </c>
      <c r="D95">
        <v>11</v>
      </c>
      <c r="E95">
        <v>22</v>
      </c>
      <c r="F95">
        <v>2.6</v>
      </c>
      <c r="G95">
        <v>7.8</v>
      </c>
      <c r="H95">
        <v>8.1</v>
      </c>
      <c r="I95">
        <v>8.8000000000000007</v>
      </c>
      <c r="J95">
        <v>280</v>
      </c>
      <c r="K95">
        <v>487</v>
      </c>
      <c r="L95">
        <v>1</v>
      </c>
      <c r="M95">
        <v>2.7</v>
      </c>
      <c r="N95">
        <v>0</v>
      </c>
      <c r="O95">
        <v>0.77</v>
      </c>
      <c r="R95">
        <v>500</v>
      </c>
      <c r="S95">
        <v>3000</v>
      </c>
      <c r="V95">
        <f>River_data[[#This Row],[Dissolved Oxygen Min]]*River_data[[#This Row],[Dissolved Oxygen Max]]/2</f>
        <v>10.14</v>
      </c>
      <c r="W95">
        <f>River_data[[#This Row],[BOD Min]]*River_data[[#This Row],[BOD Max]]/2</f>
        <v>1.35</v>
      </c>
      <c r="X95">
        <f>AVERAGE(River_data[[#This Row],[pH Max]]-River_data[[#This Row],[pH Min]])</f>
        <v>0.70000000000000107</v>
      </c>
    </row>
    <row r="96" spans="1:24" x14ac:dyDescent="0.3">
      <c r="A96">
        <v>2756</v>
      </c>
      <c r="B96" s="1" t="s">
        <v>88</v>
      </c>
      <c r="C96" s="1" t="s">
        <v>53</v>
      </c>
      <c r="D96">
        <v>11</v>
      </c>
      <c r="E96">
        <v>22</v>
      </c>
      <c r="F96">
        <v>2.4</v>
      </c>
      <c r="G96">
        <v>6.2</v>
      </c>
      <c r="H96">
        <v>8</v>
      </c>
      <c r="I96">
        <v>8.5</v>
      </c>
      <c r="J96">
        <v>264</v>
      </c>
      <c r="K96">
        <v>589</v>
      </c>
      <c r="L96">
        <v>1.3</v>
      </c>
      <c r="M96">
        <v>3</v>
      </c>
      <c r="N96">
        <v>0</v>
      </c>
      <c r="O96">
        <v>1.1000000000000001</v>
      </c>
      <c r="R96">
        <v>700</v>
      </c>
      <c r="S96">
        <v>3000</v>
      </c>
      <c r="V96">
        <f>River_data[[#This Row],[Dissolved Oxygen Min]]*River_data[[#This Row],[Dissolved Oxygen Max]]/2</f>
        <v>7.4399999999999995</v>
      </c>
      <c r="W96">
        <f>River_data[[#This Row],[BOD Min]]*River_data[[#This Row],[BOD Max]]/2</f>
        <v>1.9500000000000002</v>
      </c>
      <c r="X96">
        <f>AVERAGE(River_data[[#This Row],[pH Max]]-River_data[[#This Row],[pH Min]])</f>
        <v>0.5</v>
      </c>
    </row>
    <row r="97" spans="1:24" x14ac:dyDescent="0.3">
      <c r="A97">
        <v>2752</v>
      </c>
      <c r="B97" s="1" t="s">
        <v>89</v>
      </c>
      <c r="C97" s="1" t="s">
        <v>53</v>
      </c>
      <c r="D97">
        <v>7.8</v>
      </c>
      <c r="E97">
        <v>24</v>
      </c>
      <c r="F97">
        <v>4.7</v>
      </c>
      <c r="G97">
        <v>7.2</v>
      </c>
      <c r="H97">
        <v>7.3</v>
      </c>
      <c r="I97">
        <v>8</v>
      </c>
      <c r="J97">
        <v>234</v>
      </c>
      <c r="K97">
        <v>386</v>
      </c>
      <c r="L97">
        <v>1</v>
      </c>
      <c r="M97">
        <v>2.2999999999999998</v>
      </c>
      <c r="N97">
        <v>0</v>
      </c>
      <c r="O97">
        <v>0.32</v>
      </c>
      <c r="R97">
        <v>700</v>
      </c>
      <c r="S97">
        <v>700</v>
      </c>
      <c r="V97">
        <f>River_data[[#This Row],[Dissolved Oxygen Min]]*River_data[[#This Row],[Dissolved Oxygen Max]]/2</f>
        <v>16.920000000000002</v>
      </c>
      <c r="W97">
        <f>River_data[[#This Row],[BOD Min]]*River_data[[#This Row],[BOD Max]]/2</f>
        <v>1.1499999999999999</v>
      </c>
      <c r="X97">
        <f>AVERAGE(River_data[[#This Row],[pH Max]]-River_data[[#This Row],[pH Min]])</f>
        <v>0.70000000000000018</v>
      </c>
    </row>
    <row r="98" spans="1:24" x14ac:dyDescent="0.3">
      <c r="A98">
        <v>2753</v>
      </c>
      <c r="B98" s="1" t="s">
        <v>90</v>
      </c>
      <c r="C98" s="1" t="s">
        <v>53</v>
      </c>
      <c r="D98">
        <v>14</v>
      </c>
      <c r="E98">
        <v>26</v>
      </c>
      <c r="F98">
        <v>3.1</v>
      </c>
      <c r="G98">
        <v>6.5</v>
      </c>
      <c r="H98">
        <v>7.5</v>
      </c>
      <c r="I98">
        <v>8.1999999999999993</v>
      </c>
      <c r="J98">
        <v>224</v>
      </c>
      <c r="K98">
        <v>446</v>
      </c>
      <c r="L98">
        <v>1</v>
      </c>
      <c r="M98">
        <v>3.7</v>
      </c>
      <c r="N98">
        <v>0</v>
      </c>
      <c r="O98">
        <v>0.79</v>
      </c>
      <c r="R98">
        <v>600</v>
      </c>
      <c r="S98">
        <v>1000</v>
      </c>
      <c r="V98">
        <f>River_data[[#This Row],[Dissolved Oxygen Min]]*River_data[[#This Row],[Dissolved Oxygen Max]]/2</f>
        <v>10.075000000000001</v>
      </c>
      <c r="W98">
        <f>River_data[[#This Row],[BOD Min]]*River_data[[#This Row],[BOD Max]]/2</f>
        <v>1.85</v>
      </c>
      <c r="X98">
        <f>AVERAGE(River_data[[#This Row],[pH Max]]-River_data[[#This Row],[pH Min]])</f>
        <v>0.69999999999999929</v>
      </c>
    </row>
    <row r="99" spans="1:24" x14ac:dyDescent="0.3">
      <c r="A99">
        <v>2747</v>
      </c>
      <c r="B99" s="1" t="s">
        <v>91</v>
      </c>
      <c r="C99" s="1" t="s">
        <v>53</v>
      </c>
      <c r="D99">
        <v>17</v>
      </c>
      <c r="E99">
        <v>26</v>
      </c>
      <c r="F99">
        <v>6.7</v>
      </c>
      <c r="G99">
        <v>7.2</v>
      </c>
      <c r="H99">
        <v>7.6</v>
      </c>
      <c r="I99">
        <v>8.4</v>
      </c>
      <c r="J99">
        <v>160</v>
      </c>
      <c r="K99">
        <v>324</v>
      </c>
      <c r="L99">
        <v>1</v>
      </c>
      <c r="M99">
        <v>1</v>
      </c>
      <c r="N99">
        <v>0</v>
      </c>
      <c r="O99">
        <v>0.32</v>
      </c>
      <c r="R99">
        <v>600</v>
      </c>
      <c r="S99">
        <v>1300</v>
      </c>
      <c r="V99">
        <f>River_data[[#This Row],[Dissolved Oxygen Min]]*River_data[[#This Row],[Dissolved Oxygen Max]]/2</f>
        <v>24.12</v>
      </c>
      <c r="W99">
        <f>River_data[[#This Row],[BOD Min]]*River_data[[#This Row],[BOD Max]]/2</f>
        <v>0.5</v>
      </c>
      <c r="X99">
        <f>AVERAGE(River_data[[#This Row],[pH Max]]-River_data[[#This Row],[pH Min]])</f>
        <v>0.80000000000000071</v>
      </c>
    </row>
    <row r="100" spans="1:24" x14ac:dyDescent="0.3">
      <c r="A100">
        <v>2748</v>
      </c>
      <c r="B100" s="1" t="s">
        <v>92</v>
      </c>
      <c r="C100" s="1" t="s">
        <v>53</v>
      </c>
      <c r="D100">
        <v>9</v>
      </c>
      <c r="E100">
        <v>16</v>
      </c>
      <c r="F100">
        <v>7.2</v>
      </c>
      <c r="G100">
        <v>7.6</v>
      </c>
      <c r="H100">
        <v>7.1</v>
      </c>
      <c r="I100">
        <v>7.5</v>
      </c>
      <c r="J100">
        <v>110</v>
      </c>
      <c r="K100">
        <v>224</v>
      </c>
      <c r="L100">
        <v>1</v>
      </c>
      <c r="M100">
        <v>1.1000000000000001</v>
      </c>
      <c r="N100">
        <v>0</v>
      </c>
      <c r="O100">
        <v>0.32</v>
      </c>
      <c r="V100">
        <f>River_data[[#This Row],[Dissolved Oxygen Min]]*River_data[[#This Row],[Dissolved Oxygen Max]]/2</f>
        <v>27.36</v>
      </c>
      <c r="W100">
        <f>River_data[[#This Row],[BOD Min]]*River_data[[#This Row],[BOD Max]]/2</f>
        <v>0.55000000000000004</v>
      </c>
      <c r="X100">
        <f>AVERAGE(River_data[[#This Row],[pH Max]]-River_data[[#This Row],[pH Min]])</f>
        <v>0.40000000000000036</v>
      </c>
    </row>
    <row r="101" spans="1:24" x14ac:dyDescent="0.3">
      <c r="A101">
        <v>2749</v>
      </c>
      <c r="B101" s="1" t="s">
        <v>93</v>
      </c>
      <c r="C101" s="1" t="s">
        <v>53</v>
      </c>
      <c r="D101">
        <v>9</v>
      </c>
      <c r="E101">
        <v>16</v>
      </c>
      <c r="F101">
        <v>7.2</v>
      </c>
      <c r="G101">
        <v>7.6</v>
      </c>
      <c r="H101">
        <v>7.2</v>
      </c>
      <c r="I101">
        <v>7.5</v>
      </c>
      <c r="J101">
        <v>110</v>
      </c>
      <c r="K101">
        <v>206</v>
      </c>
      <c r="L101">
        <v>1</v>
      </c>
      <c r="M101">
        <v>1.1000000000000001</v>
      </c>
      <c r="N101">
        <v>0</v>
      </c>
      <c r="O101">
        <v>0.32</v>
      </c>
      <c r="V101">
        <f>River_data[[#This Row],[Dissolved Oxygen Min]]*River_data[[#This Row],[Dissolved Oxygen Max]]/2</f>
        <v>27.36</v>
      </c>
      <c r="W101">
        <f>River_data[[#This Row],[BOD Min]]*River_data[[#This Row],[BOD Max]]/2</f>
        <v>0.55000000000000004</v>
      </c>
      <c r="X101">
        <f>AVERAGE(River_data[[#This Row],[pH Max]]-River_data[[#This Row],[pH Min]])</f>
        <v>0.29999999999999982</v>
      </c>
    </row>
    <row r="102" spans="1:24" x14ac:dyDescent="0.3">
      <c r="A102">
        <v>2750</v>
      </c>
      <c r="B102" s="1" t="s">
        <v>94</v>
      </c>
      <c r="C102" s="1" t="s">
        <v>53</v>
      </c>
      <c r="D102">
        <v>9</v>
      </c>
      <c r="E102">
        <v>16</v>
      </c>
      <c r="F102">
        <v>7.3</v>
      </c>
      <c r="G102">
        <v>7.5</v>
      </c>
      <c r="H102">
        <v>7.2</v>
      </c>
      <c r="I102">
        <v>7.5</v>
      </c>
      <c r="J102">
        <v>110</v>
      </c>
      <c r="K102">
        <v>204</v>
      </c>
      <c r="L102">
        <v>1</v>
      </c>
      <c r="M102">
        <v>1.1000000000000001</v>
      </c>
      <c r="N102">
        <v>0</v>
      </c>
      <c r="O102">
        <v>0.32</v>
      </c>
      <c r="V102">
        <f>River_data[[#This Row],[Dissolved Oxygen Min]]*River_data[[#This Row],[Dissolved Oxygen Max]]/2</f>
        <v>27.375</v>
      </c>
      <c r="W102">
        <f>River_data[[#This Row],[BOD Min]]*River_data[[#This Row],[BOD Max]]/2</f>
        <v>0.55000000000000004</v>
      </c>
      <c r="X102">
        <f>AVERAGE(River_data[[#This Row],[pH Max]]-River_data[[#This Row],[pH Min]])</f>
        <v>0.29999999999999982</v>
      </c>
    </row>
    <row r="103" spans="1:24" x14ac:dyDescent="0.3">
      <c r="A103">
        <v>2751</v>
      </c>
      <c r="B103" s="1" t="s">
        <v>95</v>
      </c>
      <c r="C103" s="1" t="s">
        <v>53</v>
      </c>
      <c r="D103">
        <v>9</v>
      </c>
      <c r="E103">
        <v>16</v>
      </c>
      <c r="F103">
        <v>6.8</v>
      </c>
      <c r="G103">
        <v>7</v>
      </c>
      <c r="H103">
        <v>7.3</v>
      </c>
      <c r="I103">
        <v>7.9</v>
      </c>
      <c r="J103">
        <v>114</v>
      </c>
      <c r="K103">
        <v>227</v>
      </c>
      <c r="L103">
        <v>1.1000000000000001</v>
      </c>
      <c r="M103">
        <v>1.6</v>
      </c>
      <c r="N103">
        <v>0</v>
      </c>
      <c r="O103">
        <v>1.19</v>
      </c>
      <c r="R103">
        <v>600</v>
      </c>
      <c r="S103">
        <v>1000</v>
      </c>
      <c r="V103">
        <f>River_data[[#This Row],[Dissolved Oxygen Min]]*River_data[[#This Row],[Dissolved Oxygen Max]]/2</f>
        <v>23.8</v>
      </c>
      <c r="W103">
        <f>River_data[[#This Row],[BOD Min]]*River_data[[#This Row],[BOD Max]]/2</f>
        <v>0.88000000000000012</v>
      </c>
      <c r="X103">
        <f>AVERAGE(River_data[[#This Row],[pH Max]]-River_data[[#This Row],[pH Min]])</f>
        <v>0.60000000000000053</v>
      </c>
    </row>
    <row r="104" spans="1:24" x14ac:dyDescent="0.3">
      <c r="A104">
        <v>2754</v>
      </c>
      <c r="B104" s="1" t="s">
        <v>96</v>
      </c>
      <c r="C104" s="1" t="s">
        <v>53</v>
      </c>
      <c r="D104">
        <v>16</v>
      </c>
      <c r="E104">
        <v>26</v>
      </c>
      <c r="F104">
        <v>3.1</v>
      </c>
      <c r="G104">
        <v>5.3</v>
      </c>
      <c r="H104">
        <v>7.9</v>
      </c>
      <c r="I104">
        <v>8.1999999999999993</v>
      </c>
      <c r="J104">
        <v>312</v>
      </c>
      <c r="K104">
        <v>627</v>
      </c>
      <c r="L104">
        <v>2.2999999999999998</v>
      </c>
      <c r="M104">
        <v>4.4000000000000004</v>
      </c>
      <c r="N104">
        <v>0</v>
      </c>
      <c r="O104">
        <v>4.32</v>
      </c>
      <c r="R104">
        <v>800</v>
      </c>
      <c r="S104">
        <v>2000</v>
      </c>
      <c r="V104">
        <f>River_data[[#This Row],[Dissolved Oxygen Min]]*River_data[[#This Row],[Dissolved Oxygen Max]]/2</f>
        <v>8.2149999999999999</v>
      </c>
      <c r="W104">
        <f>River_data[[#This Row],[BOD Min]]*River_data[[#This Row],[BOD Max]]/2</f>
        <v>5.0599999999999996</v>
      </c>
      <c r="X104">
        <f>AVERAGE(River_data[[#This Row],[pH Max]]-River_data[[#This Row],[pH Min]])</f>
        <v>0.29999999999999893</v>
      </c>
    </row>
    <row r="105" spans="1:24" x14ac:dyDescent="0.3">
      <c r="A105">
        <v>2757</v>
      </c>
      <c r="B105" s="1" t="s">
        <v>97</v>
      </c>
      <c r="C105" s="1" t="s">
        <v>53</v>
      </c>
      <c r="D105">
        <v>17</v>
      </c>
      <c r="E105">
        <v>22</v>
      </c>
      <c r="F105">
        <v>6.4</v>
      </c>
      <c r="G105">
        <v>7.3</v>
      </c>
      <c r="H105">
        <v>7.6</v>
      </c>
      <c r="I105">
        <v>8.6</v>
      </c>
      <c r="J105">
        <v>164</v>
      </c>
      <c r="K105">
        <v>314</v>
      </c>
      <c r="L105">
        <v>1</v>
      </c>
      <c r="M105">
        <v>1</v>
      </c>
      <c r="N105">
        <v>0</v>
      </c>
      <c r="O105">
        <v>0.32</v>
      </c>
      <c r="V105">
        <f>River_data[[#This Row],[Dissolved Oxygen Min]]*River_data[[#This Row],[Dissolved Oxygen Max]]/2</f>
        <v>23.36</v>
      </c>
      <c r="W105">
        <f>River_data[[#This Row],[BOD Min]]*River_data[[#This Row],[BOD Max]]/2</f>
        <v>0.5</v>
      </c>
      <c r="X105">
        <f>AVERAGE(River_data[[#This Row],[pH Max]]-River_data[[#This Row],[pH Min]])</f>
        <v>1</v>
      </c>
    </row>
    <row r="106" spans="1:24" x14ac:dyDescent="0.3">
      <c r="A106">
        <v>4058</v>
      </c>
      <c r="B106" s="1" t="s">
        <v>98</v>
      </c>
      <c r="C106" s="1" t="s">
        <v>53</v>
      </c>
      <c r="D106">
        <v>17</v>
      </c>
      <c r="E106">
        <v>24</v>
      </c>
      <c r="F106">
        <v>5</v>
      </c>
      <c r="G106">
        <v>7.3</v>
      </c>
      <c r="H106">
        <v>8.3000000000000007</v>
      </c>
      <c r="I106">
        <v>8.6999999999999993</v>
      </c>
      <c r="J106">
        <v>412</v>
      </c>
      <c r="K106">
        <v>589</v>
      </c>
      <c r="L106">
        <v>1</v>
      </c>
      <c r="M106">
        <v>1.3</v>
      </c>
      <c r="N106">
        <v>0</v>
      </c>
      <c r="O106">
        <v>0.32</v>
      </c>
      <c r="V106">
        <f>River_data[[#This Row],[Dissolved Oxygen Min]]*River_data[[#This Row],[Dissolved Oxygen Max]]/2</f>
        <v>18.25</v>
      </c>
      <c r="W106">
        <f>River_data[[#This Row],[BOD Min]]*River_data[[#This Row],[BOD Max]]/2</f>
        <v>0.65</v>
      </c>
      <c r="X106">
        <f>AVERAGE(River_data[[#This Row],[pH Max]]-River_data[[#This Row],[pH Min]])</f>
        <v>0.39999999999999858</v>
      </c>
    </row>
    <row r="107" spans="1:24" x14ac:dyDescent="0.3">
      <c r="A107">
        <v>4062</v>
      </c>
      <c r="B107" s="1" t="s">
        <v>99</v>
      </c>
      <c r="C107" s="1" t="s">
        <v>53</v>
      </c>
      <c r="D107">
        <v>16</v>
      </c>
      <c r="E107">
        <v>26</v>
      </c>
      <c r="F107">
        <v>5.8</v>
      </c>
      <c r="G107">
        <v>7.8</v>
      </c>
      <c r="H107">
        <v>7.6</v>
      </c>
      <c r="I107">
        <v>8.3000000000000007</v>
      </c>
      <c r="J107">
        <v>300</v>
      </c>
      <c r="K107">
        <v>542</v>
      </c>
      <c r="L107">
        <v>1</v>
      </c>
      <c r="M107">
        <v>1.9</v>
      </c>
      <c r="N107">
        <v>0</v>
      </c>
      <c r="O107">
        <v>1.55</v>
      </c>
      <c r="R107">
        <v>700</v>
      </c>
      <c r="S107">
        <v>3000</v>
      </c>
      <c r="V107">
        <f>River_data[[#This Row],[Dissolved Oxygen Min]]*River_data[[#This Row],[Dissolved Oxygen Max]]/2</f>
        <v>22.619999999999997</v>
      </c>
      <c r="W107">
        <f>River_data[[#This Row],[BOD Min]]*River_data[[#This Row],[BOD Max]]/2</f>
        <v>0.95</v>
      </c>
      <c r="X107">
        <f>AVERAGE(River_data[[#This Row],[pH Max]]-River_data[[#This Row],[pH Min]])</f>
        <v>0.70000000000000107</v>
      </c>
    </row>
    <row r="108" spans="1:24" x14ac:dyDescent="0.3">
      <c r="A108">
        <v>4063</v>
      </c>
      <c r="B108" s="1" t="s">
        <v>100</v>
      </c>
      <c r="C108" s="1" t="s">
        <v>53</v>
      </c>
      <c r="D108">
        <v>16</v>
      </c>
      <c r="E108">
        <v>26</v>
      </c>
      <c r="F108">
        <v>5.6</v>
      </c>
      <c r="G108">
        <v>8</v>
      </c>
      <c r="H108">
        <v>7.3</v>
      </c>
      <c r="I108">
        <v>8.5</v>
      </c>
      <c r="J108">
        <v>286</v>
      </c>
      <c r="K108">
        <v>420</v>
      </c>
      <c r="L108">
        <v>1</v>
      </c>
      <c r="M108">
        <v>2</v>
      </c>
      <c r="N108">
        <v>0</v>
      </c>
      <c r="O108">
        <v>0.32</v>
      </c>
      <c r="R108">
        <v>700</v>
      </c>
      <c r="S108">
        <v>2000</v>
      </c>
      <c r="V108">
        <f>River_data[[#This Row],[Dissolved Oxygen Min]]*River_data[[#This Row],[Dissolved Oxygen Max]]/2</f>
        <v>22.4</v>
      </c>
      <c r="W108">
        <f>River_data[[#This Row],[BOD Min]]*River_data[[#This Row],[BOD Max]]/2</f>
        <v>1</v>
      </c>
      <c r="X108">
        <f>AVERAGE(River_data[[#This Row],[pH Max]]-River_data[[#This Row],[pH Min]])</f>
        <v>1.2000000000000002</v>
      </c>
    </row>
    <row r="109" spans="1:24" x14ac:dyDescent="0.3">
      <c r="A109">
        <v>4081</v>
      </c>
      <c r="B109" s="1" t="s">
        <v>101</v>
      </c>
      <c r="C109" s="1" t="s">
        <v>53</v>
      </c>
      <c r="D109">
        <v>17</v>
      </c>
      <c r="E109">
        <v>24</v>
      </c>
      <c r="F109">
        <v>7.4</v>
      </c>
      <c r="G109">
        <v>7.6</v>
      </c>
      <c r="H109">
        <v>7.5</v>
      </c>
      <c r="I109">
        <v>7.6</v>
      </c>
      <c r="J109">
        <v>110</v>
      </c>
      <c r="K109">
        <v>165</v>
      </c>
      <c r="L109">
        <v>1</v>
      </c>
      <c r="M109">
        <v>1</v>
      </c>
      <c r="N109">
        <v>0.32</v>
      </c>
      <c r="O109">
        <v>0.32</v>
      </c>
      <c r="V109">
        <f>River_data[[#This Row],[Dissolved Oxygen Min]]*River_data[[#This Row],[Dissolved Oxygen Max]]/2</f>
        <v>28.12</v>
      </c>
      <c r="W109">
        <f>River_data[[#This Row],[BOD Min]]*River_data[[#This Row],[BOD Max]]/2</f>
        <v>0.5</v>
      </c>
      <c r="X109">
        <f>AVERAGE(River_data[[#This Row],[pH Max]]-River_data[[#This Row],[pH Min]])</f>
        <v>9.9999999999999645E-2</v>
      </c>
    </row>
    <row r="110" spans="1:24" x14ac:dyDescent="0.3">
      <c r="A110">
        <v>3277</v>
      </c>
      <c r="B110" s="1" t="s">
        <v>102</v>
      </c>
      <c r="C110" s="1" t="s">
        <v>53</v>
      </c>
      <c r="D110">
        <v>5.5</v>
      </c>
      <c r="E110">
        <v>23</v>
      </c>
      <c r="F110">
        <v>5.8</v>
      </c>
      <c r="G110">
        <v>9.8000000000000007</v>
      </c>
      <c r="H110">
        <v>7.4</v>
      </c>
      <c r="I110">
        <v>8.1999999999999993</v>
      </c>
      <c r="J110">
        <v>160</v>
      </c>
      <c r="K110">
        <v>325</v>
      </c>
      <c r="L110">
        <v>2.5</v>
      </c>
      <c r="M110">
        <v>3.8</v>
      </c>
      <c r="N110">
        <v>0</v>
      </c>
      <c r="O110">
        <v>0</v>
      </c>
      <c r="V110">
        <f>River_data[[#This Row],[Dissolved Oxygen Min]]*River_data[[#This Row],[Dissolved Oxygen Max]]/2</f>
        <v>28.42</v>
      </c>
      <c r="W110">
        <f>River_data[[#This Row],[BOD Min]]*River_data[[#This Row],[BOD Max]]/2</f>
        <v>4.75</v>
      </c>
      <c r="X110">
        <f>AVERAGE(River_data[[#This Row],[pH Max]]-River_data[[#This Row],[pH Min]])</f>
        <v>0.79999999999999893</v>
      </c>
    </row>
    <row r="111" spans="1:24" x14ac:dyDescent="0.3">
      <c r="A111">
        <v>1410</v>
      </c>
      <c r="B111" s="1" t="s">
        <v>103</v>
      </c>
      <c r="C111" s="1" t="s">
        <v>53</v>
      </c>
      <c r="D111">
        <v>6.1</v>
      </c>
      <c r="E111">
        <v>25.1</v>
      </c>
      <c r="F111">
        <v>4.5999999999999996</v>
      </c>
      <c r="G111">
        <v>8.9</v>
      </c>
      <c r="H111">
        <v>7.3</v>
      </c>
      <c r="I111">
        <v>8</v>
      </c>
      <c r="J111">
        <v>155</v>
      </c>
      <c r="K111">
        <v>366</v>
      </c>
      <c r="L111">
        <v>1.9</v>
      </c>
      <c r="M111">
        <v>5.9</v>
      </c>
      <c r="N111">
        <v>0</v>
      </c>
      <c r="O111">
        <v>0</v>
      </c>
      <c r="V111">
        <f>River_data[[#This Row],[Dissolved Oxygen Min]]*River_data[[#This Row],[Dissolved Oxygen Max]]/2</f>
        <v>20.47</v>
      </c>
      <c r="W111">
        <f>River_data[[#This Row],[BOD Min]]*River_data[[#This Row],[BOD Max]]/2</f>
        <v>5.6050000000000004</v>
      </c>
      <c r="X111">
        <f>AVERAGE(River_data[[#This Row],[pH Max]]-River_data[[#This Row],[pH Min]])</f>
        <v>0.70000000000000018</v>
      </c>
    </row>
    <row r="112" spans="1:24" x14ac:dyDescent="0.3">
      <c r="A112">
        <v>1411</v>
      </c>
      <c r="B112" s="1" t="s">
        <v>104</v>
      </c>
      <c r="C112" s="1" t="s">
        <v>53</v>
      </c>
      <c r="D112">
        <v>7.3</v>
      </c>
      <c r="E112">
        <v>25.1</v>
      </c>
      <c r="F112">
        <v>4.0999999999999996</v>
      </c>
      <c r="G112">
        <v>8.1999999999999993</v>
      </c>
      <c r="H112">
        <v>7.3</v>
      </c>
      <c r="I112">
        <v>8.1</v>
      </c>
      <c r="J112">
        <v>154</v>
      </c>
      <c r="K112">
        <v>371</v>
      </c>
      <c r="L112">
        <v>2.9</v>
      </c>
      <c r="M112">
        <v>7.8</v>
      </c>
      <c r="N112">
        <v>0</v>
      </c>
      <c r="O112">
        <v>0</v>
      </c>
      <c r="V112">
        <f>River_data[[#This Row],[Dissolved Oxygen Min]]*River_data[[#This Row],[Dissolved Oxygen Max]]/2</f>
        <v>16.809999999999999</v>
      </c>
      <c r="W112">
        <f>River_data[[#This Row],[BOD Min]]*River_data[[#This Row],[BOD Max]]/2</f>
        <v>11.309999999999999</v>
      </c>
      <c r="X112">
        <f>AVERAGE(River_data[[#This Row],[pH Max]]-River_data[[#This Row],[pH Min]])</f>
        <v>0.79999999999999982</v>
      </c>
    </row>
    <row r="113" spans="1:24" x14ac:dyDescent="0.3">
      <c r="A113">
        <v>3272</v>
      </c>
      <c r="B113" s="1" t="s">
        <v>105</v>
      </c>
      <c r="C113" s="1" t="s">
        <v>53</v>
      </c>
      <c r="D113">
        <v>7</v>
      </c>
      <c r="E113">
        <v>19.5</v>
      </c>
      <c r="F113">
        <v>6</v>
      </c>
      <c r="G113">
        <v>9.6999999999999993</v>
      </c>
      <c r="H113">
        <v>7.1</v>
      </c>
      <c r="I113">
        <v>7.9</v>
      </c>
      <c r="J113">
        <v>152</v>
      </c>
      <c r="K113">
        <v>351</v>
      </c>
      <c r="L113">
        <v>1</v>
      </c>
      <c r="M113">
        <v>4.2</v>
      </c>
      <c r="N113">
        <v>0</v>
      </c>
      <c r="O113">
        <v>0</v>
      </c>
      <c r="V113">
        <f>River_data[[#This Row],[Dissolved Oxygen Min]]*River_data[[#This Row],[Dissolved Oxygen Max]]/2</f>
        <v>29.099999999999998</v>
      </c>
      <c r="W113">
        <f>River_data[[#This Row],[BOD Min]]*River_data[[#This Row],[BOD Max]]/2</f>
        <v>2.1</v>
      </c>
      <c r="X113">
        <f>AVERAGE(River_data[[#This Row],[pH Max]]-River_data[[#This Row],[pH Min]])</f>
        <v>0.80000000000000071</v>
      </c>
    </row>
    <row r="114" spans="1:24" x14ac:dyDescent="0.3">
      <c r="A114">
        <v>3273</v>
      </c>
      <c r="B114" s="1" t="s">
        <v>106</v>
      </c>
      <c r="C114" s="1" t="s">
        <v>53</v>
      </c>
      <c r="D114">
        <v>8</v>
      </c>
      <c r="E114">
        <v>22</v>
      </c>
      <c r="F114">
        <v>5.9</v>
      </c>
      <c r="G114">
        <v>9</v>
      </c>
      <c r="H114">
        <v>7.7</v>
      </c>
      <c r="I114">
        <v>8</v>
      </c>
      <c r="J114">
        <v>120</v>
      </c>
      <c r="K114">
        <v>281</v>
      </c>
      <c r="L114">
        <v>1.8</v>
      </c>
      <c r="M114">
        <v>4.4000000000000004</v>
      </c>
      <c r="N114">
        <v>0</v>
      </c>
      <c r="O114">
        <v>0</v>
      </c>
      <c r="V114">
        <f>River_data[[#This Row],[Dissolved Oxygen Min]]*River_data[[#This Row],[Dissolved Oxygen Max]]/2</f>
        <v>26.55</v>
      </c>
      <c r="W114">
        <f>River_data[[#This Row],[BOD Min]]*River_data[[#This Row],[BOD Max]]/2</f>
        <v>3.9600000000000004</v>
      </c>
      <c r="X114">
        <f>AVERAGE(River_data[[#This Row],[pH Max]]-River_data[[#This Row],[pH Min]])</f>
        <v>0.29999999999999982</v>
      </c>
    </row>
    <row r="115" spans="1:24" x14ac:dyDescent="0.3">
      <c r="A115">
        <v>3274</v>
      </c>
      <c r="B115" s="1" t="s">
        <v>107</v>
      </c>
      <c r="C115" s="1" t="s">
        <v>53</v>
      </c>
      <c r="D115">
        <v>7.5</v>
      </c>
      <c r="E115">
        <v>22.2</v>
      </c>
      <c r="F115">
        <v>6</v>
      </c>
      <c r="G115">
        <v>9.9</v>
      </c>
      <c r="H115">
        <v>7.5</v>
      </c>
      <c r="I115">
        <v>8.1</v>
      </c>
      <c r="J115">
        <v>118</v>
      </c>
      <c r="K115">
        <v>297</v>
      </c>
      <c r="L115">
        <v>2</v>
      </c>
      <c r="M115">
        <v>3.2</v>
      </c>
      <c r="N115">
        <v>0</v>
      </c>
      <c r="O115">
        <v>0</v>
      </c>
      <c r="V115">
        <f>River_data[[#This Row],[Dissolved Oxygen Min]]*River_data[[#This Row],[Dissolved Oxygen Max]]/2</f>
        <v>29.700000000000003</v>
      </c>
      <c r="W115">
        <f>River_data[[#This Row],[BOD Min]]*River_data[[#This Row],[BOD Max]]/2</f>
        <v>3.2</v>
      </c>
      <c r="X115">
        <f>AVERAGE(River_data[[#This Row],[pH Max]]-River_data[[#This Row],[pH Min]])</f>
        <v>0.59999999999999964</v>
      </c>
    </row>
    <row r="116" spans="1:24" x14ac:dyDescent="0.3">
      <c r="A116">
        <v>3275</v>
      </c>
      <c r="B116" s="1" t="s">
        <v>108</v>
      </c>
      <c r="C116" s="1" t="s">
        <v>53</v>
      </c>
      <c r="D116">
        <v>7.6</v>
      </c>
      <c r="E116">
        <v>22.1</v>
      </c>
      <c r="F116">
        <v>5.9</v>
      </c>
      <c r="G116">
        <v>9.8000000000000007</v>
      </c>
      <c r="H116">
        <v>7.3</v>
      </c>
      <c r="I116">
        <v>8.1</v>
      </c>
      <c r="J116">
        <v>114</v>
      </c>
      <c r="K116">
        <v>312</v>
      </c>
      <c r="L116">
        <v>2.1</v>
      </c>
      <c r="M116">
        <v>4.2</v>
      </c>
      <c r="N116">
        <v>0</v>
      </c>
      <c r="O116">
        <v>0</v>
      </c>
      <c r="V116">
        <f>River_data[[#This Row],[Dissolved Oxygen Min]]*River_data[[#This Row],[Dissolved Oxygen Max]]/2</f>
        <v>28.910000000000004</v>
      </c>
      <c r="W116">
        <f>River_data[[#This Row],[BOD Min]]*River_data[[#This Row],[BOD Max]]/2</f>
        <v>4.41</v>
      </c>
      <c r="X116">
        <f>AVERAGE(River_data[[#This Row],[pH Max]]-River_data[[#This Row],[pH Min]])</f>
        <v>0.79999999999999982</v>
      </c>
    </row>
    <row r="117" spans="1:24" x14ac:dyDescent="0.3">
      <c r="A117">
        <v>3276</v>
      </c>
      <c r="B117" s="1" t="s">
        <v>109</v>
      </c>
      <c r="C117" s="1" t="s">
        <v>53</v>
      </c>
      <c r="D117">
        <v>5</v>
      </c>
      <c r="E117">
        <v>23.4</v>
      </c>
      <c r="F117">
        <v>6</v>
      </c>
      <c r="G117">
        <v>10.8</v>
      </c>
      <c r="H117">
        <v>7.3</v>
      </c>
      <c r="I117">
        <v>8.1999999999999993</v>
      </c>
      <c r="J117">
        <v>153</v>
      </c>
      <c r="K117">
        <v>354</v>
      </c>
      <c r="L117">
        <v>1.6</v>
      </c>
      <c r="M117">
        <v>3.2</v>
      </c>
      <c r="N117">
        <v>0</v>
      </c>
      <c r="O117">
        <v>0</v>
      </c>
      <c r="V117">
        <f>River_data[[#This Row],[Dissolved Oxygen Min]]*River_data[[#This Row],[Dissolved Oxygen Max]]/2</f>
        <v>32.400000000000006</v>
      </c>
      <c r="W117">
        <f>River_data[[#This Row],[BOD Min]]*River_data[[#This Row],[BOD Max]]/2</f>
        <v>2.5600000000000005</v>
      </c>
      <c r="X117">
        <f>AVERAGE(River_data[[#This Row],[pH Max]]-River_data[[#This Row],[pH Min]])</f>
        <v>0.89999999999999947</v>
      </c>
    </row>
    <row r="118" spans="1:24" x14ac:dyDescent="0.3">
      <c r="A118">
        <v>4053</v>
      </c>
      <c r="B118" s="1" t="s">
        <v>110</v>
      </c>
      <c r="C118" s="1" t="s">
        <v>53</v>
      </c>
      <c r="D118">
        <v>8.4</v>
      </c>
      <c r="E118">
        <v>22.8</v>
      </c>
      <c r="F118">
        <v>5.3</v>
      </c>
      <c r="G118">
        <v>9.4</v>
      </c>
      <c r="H118">
        <v>7.6</v>
      </c>
      <c r="I118">
        <v>7.9</v>
      </c>
      <c r="J118">
        <v>121</v>
      </c>
      <c r="K118">
        <v>310</v>
      </c>
      <c r="L118">
        <v>2</v>
      </c>
      <c r="M118">
        <v>3.8</v>
      </c>
      <c r="N118">
        <v>0</v>
      </c>
      <c r="O118">
        <v>0</v>
      </c>
      <c r="V118">
        <f>River_data[[#This Row],[Dissolved Oxygen Min]]*River_data[[#This Row],[Dissolved Oxygen Max]]/2</f>
        <v>24.91</v>
      </c>
      <c r="W118">
        <f>River_data[[#This Row],[BOD Min]]*River_data[[#This Row],[BOD Max]]/2</f>
        <v>3.8</v>
      </c>
      <c r="X118">
        <f>AVERAGE(River_data[[#This Row],[pH Max]]-River_data[[#This Row],[pH Min]])</f>
        <v>0.30000000000000071</v>
      </c>
    </row>
    <row r="119" spans="1:24" x14ac:dyDescent="0.3">
      <c r="A119">
        <v>4054</v>
      </c>
      <c r="B119" s="1" t="s">
        <v>111</v>
      </c>
      <c r="C119" s="1" t="s">
        <v>53</v>
      </c>
      <c r="D119">
        <v>7.5</v>
      </c>
      <c r="E119">
        <v>22.3</v>
      </c>
      <c r="F119">
        <v>5.5</v>
      </c>
      <c r="G119">
        <v>9.9</v>
      </c>
      <c r="H119">
        <v>7.5</v>
      </c>
      <c r="I119">
        <v>8</v>
      </c>
      <c r="J119">
        <v>114</v>
      </c>
      <c r="K119">
        <v>316</v>
      </c>
      <c r="L119">
        <v>2</v>
      </c>
      <c r="M119">
        <v>32</v>
      </c>
      <c r="N119">
        <v>0</v>
      </c>
      <c r="O119">
        <v>0</v>
      </c>
      <c r="V119">
        <f>River_data[[#This Row],[Dissolved Oxygen Min]]*River_data[[#This Row],[Dissolved Oxygen Max]]/2</f>
        <v>27.225000000000001</v>
      </c>
      <c r="W119">
        <f>River_data[[#This Row],[BOD Min]]*River_data[[#This Row],[BOD Max]]/2</f>
        <v>32</v>
      </c>
      <c r="X119">
        <f>AVERAGE(River_data[[#This Row],[pH Max]]-River_data[[#This Row],[pH Min]])</f>
        <v>0.5</v>
      </c>
    </row>
    <row r="120" spans="1:24" x14ac:dyDescent="0.3">
      <c r="A120">
        <v>2742</v>
      </c>
      <c r="B120" s="1" t="s">
        <v>112</v>
      </c>
      <c r="C120" s="1" t="s">
        <v>53</v>
      </c>
      <c r="D120">
        <v>16</v>
      </c>
      <c r="E120">
        <v>26</v>
      </c>
      <c r="F120">
        <v>7.2</v>
      </c>
      <c r="G120">
        <v>7.6</v>
      </c>
      <c r="H120">
        <v>7.3</v>
      </c>
      <c r="I120">
        <v>8.1999999999999993</v>
      </c>
      <c r="J120">
        <v>166</v>
      </c>
      <c r="K120">
        <v>455</v>
      </c>
      <c r="L120">
        <v>1</v>
      </c>
      <c r="M120">
        <v>1</v>
      </c>
      <c r="N120">
        <v>0</v>
      </c>
      <c r="O120">
        <v>0.32</v>
      </c>
      <c r="V120">
        <f>River_data[[#This Row],[Dissolved Oxygen Min]]*River_data[[#This Row],[Dissolved Oxygen Max]]/2</f>
        <v>27.36</v>
      </c>
      <c r="W120">
        <f>River_data[[#This Row],[BOD Min]]*River_data[[#This Row],[BOD Max]]/2</f>
        <v>0.5</v>
      </c>
      <c r="X120">
        <f>AVERAGE(River_data[[#This Row],[pH Max]]-River_data[[#This Row],[pH Min]])</f>
        <v>0.89999999999999947</v>
      </c>
    </row>
    <row r="121" spans="1:24" x14ac:dyDescent="0.3">
      <c r="A121">
        <v>2743</v>
      </c>
      <c r="B121" s="1" t="s">
        <v>113</v>
      </c>
      <c r="C121" s="1" t="s">
        <v>53</v>
      </c>
      <c r="D121">
        <v>17</v>
      </c>
      <c r="E121">
        <v>26</v>
      </c>
      <c r="F121">
        <v>6.8</v>
      </c>
      <c r="G121">
        <v>7.5</v>
      </c>
      <c r="H121">
        <v>7.5</v>
      </c>
      <c r="I121">
        <v>8.5</v>
      </c>
      <c r="J121">
        <v>176</v>
      </c>
      <c r="K121">
        <v>370</v>
      </c>
      <c r="L121">
        <v>1</v>
      </c>
      <c r="M121">
        <v>1</v>
      </c>
      <c r="N121">
        <v>0</v>
      </c>
      <c r="O121">
        <v>0.32</v>
      </c>
      <c r="V121">
        <f>River_data[[#This Row],[Dissolved Oxygen Min]]*River_data[[#This Row],[Dissolved Oxygen Max]]/2</f>
        <v>25.5</v>
      </c>
      <c r="W121">
        <f>River_data[[#This Row],[BOD Min]]*River_data[[#This Row],[BOD Max]]/2</f>
        <v>0.5</v>
      </c>
      <c r="X121">
        <f>AVERAGE(River_data[[#This Row],[pH Max]]-River_data[[#This Row],[pH Min]])</f>
        <v>1</v>
      </c>
    </row>
    <row r="122" spans="1:24" x14ac:dyDescent="0.3">
      <c r="A122">
        <v>1412</v>
      </c>
      <c r="B122" s="1" t="s">
        <v>114</v>
      </c>
      <c r="C122" s="1" t="s">
        <v>53</v>
      </c>
      <c r="D122">
        <v>14</v>
      </c>
      <c r="E122">
        <v>28</v>
      </c>
      <c r="F122">
        <v>4.8</v>
      </c>
      <c r="G122">
        <v>6</v>
      </c>
      <c r="H122">
        <v>7.9</v>
      </c>
      <c r="I122">
        <v>8.4</v>
      </c>
      <c r="J122">
        <v>420</v>
      </c>
      <c r="K122">
        <v>442</v>
      </c>
      <c r="L122">
        <v>2</v>
      </c>
      <c r="M122">
        <v>3.6</v>
      </c>
      <c r="N122">
        <v>0</v>
      </c>
      <c r="O122">
        <v>0.26</v>
      </c>
      <c r="V122">
        <f>River_data[[#This Row],[Dissolved Oxygen Min]]*River_data[[#This Row],[Dissolved Oxygen Max]]/2</f>
        <v>14.399999999999999</v>
      </c>
      <c r="W122">
        <f>River_data[[#This Row],[BOD Min]]*River_data[[#This Row],[BOD Max]]/2</f>
        <v>3.6</v>
      </c>
      <c r="X122">
        <f>AVERAGE(River_data[[#This Row],[pH Max]]-River_data[[#This Row],[pH Min]])</f>
        <v>0.5</v>
      </c>
    </row>
    <row r="123" spans="1:24" x14ac:dyDescent="0.3">
      <c r="A123">
        <v>2744</v>
      </c>
      <c r="B123" s="1" t="s">
        <v>115</v>
      </c>
      <c r="C123" s="1" t="s">
        <v>53</v>
      </c>
      <c r="D123">
        <v>17</v>
      </c>
      <c r="E123">
        <v>26</v>
      </c>
      <c r="F123">
        <v>3</v>
      </c>
      <c r="G123">
        <v>7.5</v>
      </c>
      <c r="H123">
        <v>7.9</v>
      </c>
      <c r="I123">
        <v>8.9</v>
      </c>
      <c r="J123">
        <v>185</v>
      </c>
      <c r="K123">
        <v>372</v>
      </c>
      <c r="L123">
        <v>1.1000000000000001</v>
      </c>
      <c r="M123">
        <v>4</v>
      </c>
      <c r="N123">
        <v>0</v>
      </c>
      <c r="O123">
        <v>1.42</v>
      </c>
      <c r="R123">
        <v>700</v>
      </c>
      <c r="S123">
        <v>800</v>
      </c>
      <c r="V123">
        <f>River_data[[#This Row],[Dissolved Oxygen Min]]*River_data[[#This Row],[Dissolved Oxygen Max]]/2</f>
        <v>11.25</v>
      </c>
      <c r="W123">
        <f>River_data[[#This Row],[BOD Min]]*River_data[[#This Row],[BOD Max]]/2</f>
        <v>2.2000000000000002</v>
      </c>
      <c r="X123">
        <f>AVERAGE(River_data[[#This Row],[pH Max]]-River_data[[#This Row],[pH Min]])</f>
        <v>1</v>
      </c>
    </row>
    <row r="124" spans="1:24" x14ac:dyDescent="0.3">
      <c r="A124">
        <v>2745</v>
      </c>
      <c r="B124" s="1" t="s">
        <v>116</v>
      </c>
      <c r="C124" s="1" t="s">
        <v>53</v>
      </c>
      <c r="D124">
        <v>17</v>
      </c>
      <c r="E124">
        <v>17</v>
      </c>
      <c r="F124">
        <v>3</v>
      </c>
      <c r="G124">
        <v>3</v>
      </c>
      <c r="H124">
        <v>9</v>
      </c>
      <c r="I124">
        <v>9</v>
      </c>
      <c r="J124">
        <v>176</v>
      </c>
      <c r="K124">
        <v>176</v>
      </c>
      <c r="L124">
        <v>9</v>
      </c>
      <c r="M124">
        <v>9</v>
      </c>
      <c r="N124">
        <v>0</v>
      </c>
      <c r="O124">
        <v>0</v>
      </c>
      <c r="V124">
        <f>River_data[[#This Row],[Dissolved Oxygen Min]]*River_data[[#This Row],[Dissolved Oxygen Max]]/2</f>
        <v>4.5</v>
      </c>
      <c r="W124">
        <f>River_data[[#This Row],[BOD Min]]*River_data[[#This Row],[BOD Max]]/2</f>
        <v>40.5</v>
      </c>
      <c r="X124">
        <f>AVERAGE(River_data[[#This Row],[pH Max]]-River_data[[#This Row],[pH Min]])</f>
        <v>0</v>
      </c>
    </row>
    <row r="125" spans="1:24" x14ac:dyDescent="0.3">
      <c r="A125">
        <v>2746</v>
      </c>
      <c r="B125" s="1" t="s">
        <v>117</v>
      </c>
      <c r="C125" s="1" t="s">
        <v>53</v>
      </c>
      <c r="D125">
        <v>17</v>
      </c>
      <c r="E125">
        <v>26</v>
      </c>
      <c r="F125">
        <v>6.5</v>
      </c>
      <c r="G125">
        <v>7.2</v>
      </c>
      <c r="H125">
        <v>7.9</v>
      </c>
      <c r="I125">
        <v>8.5</v>
      </c>
      <c r="J125">
        <v>156</v>
      </c>
      <c r="K125">
        <v>360</v>
      </c>
      <c r="L125">
        <v>1</v>
      </c>
      <c r="M125">
        <v>1</v>
      </c>
      <c r="N125">
        <v>0</v>
      </c>
      <c r="O125">
        <v>0.32</v>
      </c>
      <c r="R125">
        <v>500</v>
      </c>
      <c r="S125">
        <v>1500</v>
      </c>
      <c r="V125">
        <f>River_data[[#This Row],[Dissolved Oxygen Min]]*River_data[[#This Row],[Dissolved Oxygen Max]]/2</f>
        <v>23.400000000000002</v>
      </c>
      <c r="W125">
        <f>River_data[[#This Row],[BOD Min]]*River_data[[#This Row],[BOD Max]]/2</f>
        <v>0.5</v>
      </c>
      <c r="X125">
        <f>AVERAGE(River_data[[#This Row],[pH Max]]-River_data[[#This Row],[pH Min]])</f>
        <v>0.59999999999999964</v>
      </c>
    </row>
    <row r="126" spans="1:24" x14ac:dyDescent="0.3">
      <c r="A126">
        <v>4055</v>
      </c>
      <c r="B126" s="1" t="s">
        <v>118</v>
      </c>
      <c r="C126" s="1" t="s">
        <v>53</v>
      </c>
      <c r="D126">
        <v>18</v>
      </c>
      <c r="E126">
        <v>18</v>
      </c>
      <c r="F126">
        <v>2.2999999999999998</v>
      </c>
      <c r="G126">
        <v>2.2999999999999998</v>
      </c>
      <c r="H126">
        <v>8.9</v>
      </c>
      <c r="I126">
        <v>8.9</v>
      </c>
      <c r="J126">
        <v>172</v>
      </c>
      <c r="K126">
        <v>172</v>
      </c>
      <c r="L126">
        <v>9.5</v>
      </c>
      <c r="M126">
        <v>9.5</v>
      </c>
      <c r="N126">
        <v>0</v>
      </c>
      <c r="O126">
        <v>0</v>
      </c>
      <c r="V126">
        <f>River_data[[#This Row],[Dissolved Oxygen Min]]*River_data[[#This Row],[Dissolved Oxygen Max]]/2</f>
        <v>2.6449999999999996</v>
      </c>
      <c r="W126">
        <f>River_data[[#This Row],[BOD Min]]*River_data[[#This Row],[BOD Max]]/2</f>
        <v>45.125</v>
      </c>
      <c r="X126">
        <f>AVERAGE(River_data[[#This Row],[pH Max]]-River_data[[#This Row],[pH Min]])</f>
        <v>0</v>
      </c>
    </row>
    <row r="127" spans="1:24" x14ac:dyDescent="0.3">
      <c r="A127">
        <v>4056</v>
      </c>
      <c r="B127" s="1" t="s">
        <v>119</v>
      </c>
      <c r="C127" s="1" t="s">
        <v>53</v>
      </c>
      <c r="D127">
        <v>16</v>
      </c>
      <c r="E127">
        <v>28</v>
      </c>
      <c r="F127">
        <v>2.9</v>
      </c>
      <c r="G127">
        <v>6</v>
      </c>
      <c r="H127">
        <v>7.7</v>
      </c>
      <c r="I127">
        <v>8.1999999999999993</v>
      </c>
      <c r="J127">
        <v>326</v>
      </c>
      <c r="K127">
        <v>612</v>
      </c>
      <c r="L127">
        <v>1</v>
      </c>
      <c r="M127">
        <v>4.9000000000000004</v>
      </c>
      <c r="N127">
        <v>0</v>
      </c>
      <c r="O127">
        <v>0.31</v>
      </c>
      <c r="V127">
        <f>River_data[[#This Row],[Dissolved Oxygen Min]]*River_data[[#This Row],[Dissolved Oxygen Max]]/2</f>
        <v>8.6999999999999993</v>
      </c>
      <c r="W127">
        <f>River_data[[#This Row],[BOD Min]]*River_data[[#This Row],[BOD Max]]/2</f>
        <v>2.4500000000000002</v>
      </c>
      <c r="X127">
        <f>AVERAGE(River_data[[#This Row],[pH Max]]-River_data[[#This Row],[pH Min]])</f>
        <v>0.49999999999999911</v>
      </c>
    </row>
    <row r="128" spans="1:24" x14ac:dyDescent="0.3">
      <c r="A128">
        <v>3284</v>
      </c>
      <c r="B128" s="1" t="s">
        <v>120</v>
      </c>
      <c r="C128" s="1" t="s">
        <v>53</v>
      </c>
      <c r="D128">
        <v>4.0999999999999996</v>
      </c>
      <c r="E128">
        <v>10.8</v>
      </c>
      <c r="F128">
        <v>7.3</v>
      </c>
      <c r="G128">
        <v>10.199999999999999</v>
      </c>
      <c r="H128">
        <v>7.3</v>
      </c>
      <c r="I128">
        <v>8.4</v>
      </c>
      <c r="J128">
        <v>203</v>
      </c>
      <c r="K128">
        <v>454</v>
      </c>
      <c r="L128">
        <v>1</v>
      </c>
      <c r="M128">
        <v>1.8</v>
      </c>
      <c r="N128">
        <v>0</v>
      </c>
      <c r="O128">
        <v>0</v>
      </c>
      <c r="V128">
        <f>River_data[[#This Row],[Dissolved Oxygen Min]]*River_data[[#This Row],[Dissolved Oxygen Max]]/2</f>
        <v>37.229999999999997</v>
      </c>
      <c r="W128">
        <f>River_data[[#This Row],[BOD Min]]*River_data[[#This Row],[BOD Max]]/2</f>
        <v>0.9</v>
      </c>
      <c r="X128">
        <f>AVERAGE(River_data[[#This Row],[pH Max]]-River_data[[#This Row],[pH Min]])</f>
        <v>1.1000000000000005</v>
      </c>
    </row>
    <row r="129" spans="1:24" x14ac:dyDescent="0.3">
      <c r="A129">
        <v>3285</v>
      </c>
      <c r="B129" s="1" t="s">
        <v>121</v>
      </c>
      <c r="C129" s="1" t="s">
        <v>53</v>
      </c>
      <c r="D129">
        <v>3.5</v>
      </c>
      <c r="E129">
        <v>16</v>
      </c>
      <c r="F129">
        <v>7.2</v>
      </c>
      <c r="G129">
        <v>10.9</v>
      </c>
      <c r="H129">
        <v>7.6</v>
      </c>
      <c r="I129">
        <v>8.3000000000000007</v>
      </c>
      <c r="J129">
        <v>143</v>
      </c>
      <c r="K129">
        <v>340</v>
      </c>
      <c r="L129">
        <v>1</v>
      </c>
      <c r="M129">
        <v>2</v>
      </c>
      <c r="N129">
        <v>0</v>
      </c>
      <c r="O129">
        <v>0</v>
      </c>
      <c r="V129">
        <f>River_data[[#This Row],[Dissolved Oxygen Min]]*River_data[[#This Row],[Dissolved Oxygen Max]]/2</f>
        <v>39.24</v>
      </c>
      <c r="W129">
        <f>River_data[[#This Row],[BOD Min]]*River_data[[#This Row],[BOD Max]]/2</f>
        <v>1</v>
      </c>
      <c r="X129">
        <f>AVERAGE(River_data[[#This Row],[pH Max]]-River_data[[#This Row],[pH Min]])</f>
        <v>0.70000000000000107</v>
      </c>
    </row>
    <row r="130" spans="1:24" x14ac:dyDescent="0.3">
      <c r="A130">
        <v>3286</v>
      </c>
      <c r="B130" s="1" t="s">
        <v>122</v>
      </c>
      <c r="C130" s="1" t="s">
        <v>53</v>
      </c>
      <c r="D130">
        <v>4.0999999999999996</v>
      </c>
      <c r="E130">
        <v>17.2</v>
      </c>
      <c r="F130">
        <v>7.4</v>
      </c>
      <c r="G130">
        <v>9.6999999999999993</v>
      </c>
      <c r="H130">
        <v>7.4</v>
      </c>
      <c r="I130">
        <v>8.1999999999999993</v>
      </c>
      <c r="J130">
        <v>146</v>
      </c>
      <c r="K130">
        <v>344</v>
      </c>
      <c r="L130">
        <v>1</v>
      </c>
      <c r="M130">
        <v>2.6</v>
      </c>
      <c r="N130">
        <v>0</v>
      </c>
      <c r="O130">
        <v>0</v>
      </c>
      <c r="V130">
        <f>River_data[[#This Row],[Dissolved Oxygen Min]]*River_data[[#This Row],[Dissolved Oxygen Max]]/2</f>
        <v>35.89</v>
      </c>
      <c r="W130">
        <f>River_data[[#This Row],[BOD Min]]*River_data[[#This Row],[BOD Max]]/2</f>
        <v>1.3</v>
      </c>
      <c r="X130">
        <f>AVERAGE(River_data[[#This Row],[pH Max]]-River_data[[#This Row],[pH Min]])</f>
        <v>0.79999999999999893</v>
      </c>
    </row>
    <row r="131" spans="1:24" x14ac:dyDescent="0.3">
      <c r="A131">
        <v>3287</v>
      </c>
      <c r="B131" s="1" t="s">
        <v>123</v>
      </c>
      <c r="C131" s="1" t="s">
        <v>53</v>
      </c>
      <c r="D131">
        <v>4</v>
      </c>
      <c r="E131">
        <v>18.8</v>
      </c>
      <c r="F131">
        <v>7.5</v>
      </c>
      <c r="G131">
        <v>10.8</v>
      </c>
      <c r="H131">
        <v>7.5</v>
      </c>
      <c r="I131">
        <v>8.1999999999999993</v>
      </c>
      <c r="J131">
        <v>156</v>
      </c>
      <c r="K131">
        <v>359</v>
      </c>
      <c r="L131">
        <v>1</v>
      </c>
      <c r="M131">
        <v>2.6</v>
      </c>
      <c r="N131">
        <v>0</v>
      </c>
      <c r="O131">
        <v>0</v>
      </c>
      <c r="V131">
        <f>River_data[[#This Row],[Dissolved Oxygen Min]]*River_data[[#This Row],[Dissolved Oxygen Max]]/2</f>
        <v>40.5</v>
      </c>
      <c r="W131">
        <f>River_data[[#This Row],[BOD Min]]*River_data[[#This Row],[BOD Max]]/2</f>
        <v>1.3</v>
      </c>
      <c r="X131">
        <f>AVERAGE(River_data[[#This Row],[pH Max]]-River_data[[#This Row],[pH Min]])</f>
        <v>0.69999999999999929</v>
      </c>
    </row>
    <row r="132" spans="1:24" x14ac:dyDescent="0.3">
      <c r="A132">
        <v>4023</v>
      </c>
      <c r="B132" s="1" t="s">
        <v>124</v>
      </c>
      <c r="C132" s="1" t="s">
        <v>0</v>
      </c>
      <c r="D132">
        <v>11</v>
      </c>
      <c r="E132">
        <v>20</v>
      </c>
      <c r="F132">
        <v>8.1999999999999993</v>
      </c>
      <c r="G132">
        <v>9.1</v>
      </c>
      <c r="H132">
        <v>7.5</v>
      </c>
      <c r="I132">
        <v>8.4</v>
      </c>
      <c r="J132">
        <v>59</v>
      </c>
      <c r="K132">
        <v>228</v>
      </c>
      <c r="L132">
        <v>1</v>
      </c>
      <c r="M132">
        <v>1</v>
      </c>
      <c r="N132">
        <v>0.41</v>
      </c>
      <c r="O132">
        <v>2.76</v>
      </c>
      <c r="P132">
        <v>2</v>
      </c>
      <c r="Q132">
        <v>20</v>
      </c>
      <c r="R132">
        <v>22</v>
      </c>
      <c r="S132">
        <v>3500</v>
      </c>
      <c r="T132">
        <v>2</v>
      </c>
      <c r="U132">
        <v>2</v>
      </c>
      <c r="V132">
        <f>River_data[[#This Row],[Dissolved Oxygen Min]]*River_data[[#This Row],[Dissolved Oxygen Max]]/2</f>
        <v>37.309999999999995</v>
      </c>
      <c r="W132">
        <f>River_data[[#This Row],[BOD Min]]*River_data[[#This Row],[BOD Max]]/2</f>
        <v>0.5</v>
      </c>
      <c r="X132">
        <f>AVERAGE(River_data[[#This Row],[pH Max]]-River_data[[#This Row],[pH Min]])</f>
        <v>0.90000000000000036</v>
      </c>
    </row>
    <row r="133" spans="1:24" x14ac:dyDescent="0.3">
      <c r="A133">
        <v>4024</v>
      </c>
      <c r="B133" s="1" t="s">
        <v>125</v>
      </c>
      <c r="C133" s="1" t="s">
        <v>0</v>
      </c>
      <c r="D133">
        <v>12</v>
      </c>
      <c r="E133">
        <v>20</v>
      </c>
      <c r="F133">
        <v>8.1999999999999993</v>
      </c>
      <c r="G133">
        <v>9.1999999999999993</v>
      </c>
      <c r="H133">
        <v>7.6</v>
      </c>
      <c r="I133">
        <v>8.5</v>
      </c>
      <c r="J133">
        <v>59</v>
      </c>
      <c r="K133">
        <v>242</v>
      </c>
      <c r="L133">
        <v>1</v>
      </c>
      <c r="M133">
        <v>1</v>
      </c>
      <c r="N133">
        <v>0.49</v>
      </c>
      <c r="O133">
        <v>2.67</v>
      </c>
      <c r="P133">
        <v>2</v>
      </c>
      <c r="Q133">
        <v>20</v>
      </c>
      <c r="R133">
        <v>39</v>
      </c>
      <c r="S133">
        <v>5400</v>
      </c>
      <c r="T133">
        <v>2</v>
      </c>
      <c r="U133">
        <v>2</v>
      </c>
      <c r="V133">
        <f>River_data[[#This Row],[Dissolved Oxygen Min]]*River_data[[#This Row],[Dissolved Oxygen Max]]/2</f>
        <v>37.719999999999992</v>
      </c>
      <c r="W133">
        <f>River_data[[#This Row],[BOD Min]]*River_data[[#This Row],[BOD Max]]/2</f>
        <v>0.5</v>
      </c>
      <c r="X133">
        <f>AVERAGE(River_data[[#This Row],[pH Max]]-River_data[[#This Row],[pH Min]])</f>
        <v>0.90000000000000036</v>
      </c>
    </row>
    <row r="134" spans="1:24" x14ac:dyDescent="0.3">
      <c r="A134">
        <v>4025</v>
      </c>
      <c r="B134" s="1" t="s">
        <v>126</v>
      </c>
      <c r="C134" s="1" t="s">
        <v>0</v>
      </c>
      <c r="D134">
        <v>12</v>
      </c>
      <c r="E134">
        <v>21</v>
      </c>
      <c r="F134">
        <v>8.6</v>
      </c>
      <c r="G134">
        <v>9.1999999999999993</v>
      </c>
      <c r="H134">
        <v>7.3</v>
      </c>
      <c r="I134">
        <v>8</v>
      </c>
      <c r="J134">
        <v>74</v>
      </c>
      <c r="K134">
        <v>329</v>
      </c>
      <c r="L134">
        <v>1</v>
      </c>
      <c r="M134">
        <v>1</v>
      </c>
      <c r="N134">
        <v>0.3</v>
      </c>
      <c r="O134">
        <v>2.04</v>
      </c>
      <c r="P134">
        <v>2</v>
      </c>
      <c r="Q134">
        <v>45</v>
      </c>
      <c r="R134">
        <v>13</v>
      </c>
      <c r="S134">
        <v>9200</v>
      </c>
      <c r="T134">
        <v>2</v>
      </c>
      <c r="U134">
        <v>2</v>
      </c>
      <c r="V134">
        <f>River_data[[#This Row],[Dissolved Oxygen Min]]*River_data[[#This Row],[Dissolved Oxygen Max]]/2</f>
        <v>39.559999999999995</v>
      </c>
      <c r="W134">
        <f>River_data[[#This Row],[BOD Min]]*River_data[[#This Row],[BOD Max]]/2</f>
        <v>0.5</v>
      </c>
      <c r="X134">
        <f>AVERAGE(River_data[[#This Row],[pH Max]]-River_data[[#This Row],[pH Min]])</f>
        <v>0.70000000000000018</v>
      </c>
    </row>
    <row r="135" spans="1:24" x14ac:dyDescent="0.3">
      <c r="A135">
        <v>4026</v>
      </c>
      <c r="B135" s="1" t="s">
        <v>127</v>
      </c>
      <c r="C135" s="1" t="s">
        <v>0</v>
      </c>
      <c r="D135">
        <v>10</v>
      </c>
      <c r="E135">
        <v>21</v>
      </c>
      <c r="F135">
        <v>8.4</v>
      </c>
      <c r="G135">
        <v>9.3000000000000007</v>
      </c>
      <c r="H135">
        <v>7</v>
      </c>
      <c r="I135">
        <v>8.1999999999999993</v>
      </c>
      <c r="J135">
        <v>74</v>
      </c>
      <c r="K135">
        <v>368</v>
      </c>
      <c r="L135">
        <v>1</v>
      </c>
      <c r="M135">
        <v>1</v>
      </c>
      <c r="N135">
        <v>0.3</v>
      </c>
      <c r="O135">
        <v>2.62</v>
      </c>
      <c r="P135">
        <v>2</v>
      </c>
      <c r="Q135">
        <v>45</v>
      </c>
      <c r="R135">
        <v>22</v>
      </c>
      <c r="S135">
        <v>16000</v>
      </c>
      <c r="T135">
        <v>2</v>
      </c>
      <c r="U135">
        <v>2</v>
      </c>
      <c r="V135">
        <f>River_data[[#This Row],[Dissolved Oxygen Min]]*River_data[[#This Row],[Dissolved Oxygen Max]]/2</f>
        <v>39.06</v>
      </c>
      <c r="W135">
        <f>River_data[[#This Row],[BOD Min]]*River_data[[#This Row],[BOD Max]]/2</f>
        <v>0.5</v>
      </c>
      <c r="X135">
        <f>AVERAGE(River_data[[#This Row],[pH Max]]-River_data[[#This Row],[pH Min]])</f>
        <v>1.1999999999999993</v>
      </c>
    </row>
    <row r="136" spans="1:24" x14ac:dyDescent="0.3">
      <c r="A136">
        <v>4038</v>
      </c>
      <c r="B136" s="1" t="s">
        <v>128</v>
      </c>
      <c r="C136" s="1" t="s">
        <v>0</v>
      </c>
      <c r="D136">
        <v>7</v>
      </c>
      <c r="E136">
        <v>19</v>
      </c>
      <c r="F136">
        <v>7.8</v>
      </c>
      <c r="G136">
        <v>8.5</v>
      </c>
      <c r="H136">
        <v>7.2</v>
      </c>
      <c r="I136">
        <v>8</v>
      </c>
      <c r="J136">
        <v>61</v>
      </c>
      <c r="K136">
        <v>280</v>
      </c>
      <c r="L136">
        <v>1</v>
      </c>
      <c r="M136">
        <v>1</v>
      </c>
      <c r="N136">
        <v>0.32</v>
      </c>
      <c r="O136">
        <v>4.93</v>
      </c>
      <c r="P136">
        <v>21</v>
      </c>
      <c r="Q136">
        <v>79</v>
      </c>
      <c r="R136">
        <v>79</v>
      </c>
      <c r="S136">
        <v>430</v>
      </c>
      <c r="T136">
        <v>2</v>
      </c>
      <c r="U136">
        <v>2</v>
      </c>
      <c r="V136">
        <f>River_data[[#This Row],[Dissolved Oxygen Min]]*River_data[[#This Row],[Dissolved Oxygen Max]]/2</f>
        <v>33.15</v>
      </c>
      <c r="W136">
        <f>River_data[[#This Row],[BOD Min]]*River_data[[#This Row],[BOD Max]]/2</f>
        <v>0.5</v>
      </c>
      <c r="X136">
        <f>AVERAGE(River_data[[#This Row],[pH Max]]-River_data[[#This Row],[pH Min]])</f>
        <v>0.79999999999999982</v>
      </c>
    </row>
    <row r="137" spans="1:24" x14ac:dyDescent="0.3">
      <c r="A137">
        <v>4424</v>
      </c>
      <c r="B137" s="1" t="s">
        <v>129</v>
      </c>
      <c r="C137" s="1" t="s">
        <v>0</v>
      </c>
      <c r="D137">
        <v>8</v>
      </c>
      <c r="E137">
        <v>18</v>
      </c>
      <c r="F137">
        <v>7.2</v>
      </c>
      <c r="G137">
        <v>8.1</v>
      </c>
      <c r="H137">
        <v>7.2</v>
      </c>
      <c r="I137">
        <v>8.3000000000000007</v>
      </c>
      <c r="J137">
        <v>105</v>
      </c>
      <c r="K137">
        <v>800</v>
      </c>
      <c r="L137">
        <v>1</v>
      </c>
      <c r="M137">
        <v>1</v>
      </c>
      <c r="N137">
        <v>0.32</v>
      </c>
      <c r="O137">
        <v>2.34</v>
      </c>
      <c r="P137">
        <v>4</v>
      </c>
      <c r="Q137">
        <v>220</v>
      </c>
      <c r="R137">
        <v>17</v>
      </c>
      <c r="S137">
        <v>920</v>
      </c>
      <c r="T137">
        <v>2</v>
      </c>
      <c r="U137">
        <v>7</v>
      </c>
      <c r="V137">
        <f>River_data[[#This Row],[Dissolved Oxygen Min]]*River_data[[#This Row],[Dissolved Oxygen Max]]/2</f>
        <v>29.16</v>
      </c>
      <c r="W137">
        <f>River_data[[#This Row],[BOD Min]]*River_data[[#This Row],[BOD Max]]/2</f>
        <v>0.5</v>
      </c>
      <c r="X137">
        <f>AVERAGE(River_data[[#This Row],[pH Max]]-River_data[[#This Row],[pH Min]])</f>
        <v>1.1000000000000005</v>
      </c>
    </row>
    <row r="138" spans="1:24" x14ac:dyDescent="0.3">
      <c r="A138">
        <v>4432</v>
      </c>
      <c r="B138" s="1" t="s">
        <v>130</v>
      </c>
      <c r="C138" s="1" t="s">
        <v>0</v>
      </c>
      <c r="D138">
        <v>17</v>
      </c>
      <c r="E138">
        <v>33.4</v>
      </c>
      <c r="F138">
        <v>6.9</v>
      </c>
      <c r="G138">
        <v>8</v>
      </c>
      <c r="H138">
        <v>7.4</v>
      </c>
      <c r="I138">
        <v>8.3000000000000007</v>
      </c>
      <c r="J138">
        <v>344</v>
      </c>
      <c r="K138">
        <v>517</v>
      </c>
      <c r="L138">
        <v>1</v>
      </c>
      <c r="M138">
        <v>3</v>
      </c>
      <c r="N138">
        <v>0.32</v>
      </c>
      <c r="O138">
        <v>5.94</v>
      </c>
      <c r="P138">
        <v>2</v>
      </c>
      <c r="Q138">
        <v>6</v>
      </c>
      <c r="R138">
        <v>14</v>
      </c>
      <c r="S138">
        <v>170</v>
      </c>
      <c r="T138">
        <v>2</v>
      </c>
      <c r="U138">
        <v>2</v>
      </c>
      <c r="V138">
        <f>River_data[[#This Row],[Dissolved Oxygen Min]]*River_data[[#This Row],[Dissolved Oxygen Max]]/2</f>
        <v>27.6</v>
      </c>
      <c r="W138">
        <f>River_data[[#This Row],[BOD Min]]*River_data[[#This Row],[BOD Max]]/2</f>
        <v>1.5</v>
      </c>
      <c r="X138">
        <f>AVERAGE(River_data[[#This Row],[pH Max]]-River_data[[#This Row],[pH Min]])</f>
        <v>0.90000000000000036</v>
      </c>
    </row>
    <row r="139" spans="1:24" x14ac:dyDescent="0.3">
      <c r="A139">
        <v>4457</v>
      </c>
      <c r="B139" s="1" t="s">
        <v>131</v>
      </c>
      <c r="C139" s="1" t="s">
        <v>0</v>
      </c>
      <c r="D139">
        <v>16</v>
      </c>
      <c r="E139">
        <v>20</v>
      </c>
      <c r="F139">
        <v>8.8000000000000007</v>
      </c>
      <c r="G139">
        <v>9.4</v>
      </c>
      <c r="H139">
        <v>7.1</v>
      </c>
      <c r="I139">
        <v>8.1</v>
      </c>
      <c r="J139">
        <v>97</v>
      </c>
      <c r="K139">
        <v>201</v>
      </c>
      <c r="L139">
        <v>1</v>
      </c>
      <c r="M139">
        <v>1</v>
      </c>
      <c r="N139">
        <v>0.48</v>
      </c>
      <c r="O139">
        <v>3.68</v>
      </c>
      <c r="P139">
        <v>2</v>
      </c>
      <c r="Q139">
        <v>40</v>
      </c>
      <c r="R139">
        <v>33</v>
      </c>
      <c r="S139">
        <v>16000</v>
      </c>
      <c r="T139">
        <v>2</v>
      </c>
      <c r="U139">
        <v>2</v>
      </c>
      <c r="V139">
        <f>River_data[[#This Row],[Dissolved Oxygen Min]]*River_data[[#This Row],[Dissolved Oxygen Max]]/2</f>
        <v>41.360000000000007</v>
      </c>
      <c r="W139">
        <f>River_data[[#This Row],[BOD Min]]*River_data[[#This Row],[BOD Max]]/2</f>
        <v>0.5</v>
      </c>
      <c r="X139">
        <f>AVERAGE(River_data[[#This Row],[pH Max]]-River_data[[#This Row],[pH Min]])</f>
        <v>1</v>
      </c>
    </row>
    <row r="140" spans="1:24" x14ac:dyDescent="0.3">
      <c r="A140">
        <v>4458</v>
      </c>
      <c r="B140" s="1" t="s">
        <v>132</v>
      </c>
      <c r="C140" s="1" t="s">
        <v>0</v>
      </c>
      <c r="D140">
        <v>16</v>
      </c>
      <c r="E140">
        <v>21</v>
      </c>
      <c r="F140">
        <v>8.8000000000000007</v>
      </c>
      <c r="G140">
        <v>9.1999999999999993</v>
      </c>
      <c r="H140">
        <v>7.3</v>
      </c>
      <c r="I140">
        <v>8.3000000000000007</v>
      </c>
      <c r="J140">
        <v>95</v>
      </c>
      <c r="K140">
        <v>187</v>
      </c>
      <c r="L140">
        <v>1</v>
      </c>
      <c r="M140">
        <v>1</v>
      </c>
      <c r="N140">
        <v>0.56999999999999995</v>
      </c>
      <c r="O140">
        <v>3.26</v>
      </c>
      <c r="P140">
        <v>2</v>
      </c>
      <c r="Q140">
        <v>78</v>
      </c>
      <c r="R140">
        <v>79</v>
      </c>
      <c r="S140">
        <v>16000</v>
      </c>
      <c r="T140">
        <v>2</v>
      </c>
      <c r="U140">
        <v>2</v>
      </c>
      <c r="V140">
        <f>River_data[[#This Row],[Dissolved Oxygen Min]]*River_data[[#This Row],[Dissolved Oxygen Max]]/2</f>
        <v>40.479999999999997</v>
      </c>
      <c r="W140">
        <f>River_data[[#This Row],[BOD Min]]*River_data[[#This Row],[BOD Max]]/2</f>
        <v>0.5</v>
      </c>
      <c r="X140">
        <f>AVERAGE(River_data[[#This Row],[pH Max]]-River_data[[#This Row],[pH Min]])</f>
        <v>1.0000000000000009</v>
      </c>
    </row>
    <row r="141" spans="1:24" x14ac:dyDescent="0.3">
      <c r="A141">
        <v>4460</v>
      </c>
      <c r="B141" s="1" t="s">
        <v>133</v>
      </c>
      <c r="C141" s="1" t="s">
        <v>0</v>
      </c>
      <c r="D141">
        <v>12</v>
      </c>
      <c r="E141">
        <v>19</v>
      </c>
      <c r="F141">
        <v>9.1</v>
      </c>
      <c r="G141">
        <v>9.1999999999999993</v>
      </c>
      <c r="H141">
        <v>7.6</v>
      </c>
      <c r="I141">
        <v>8.1999999999999993</v>
      </c>
      <c r="J141">
        <v>74</v>
      </c>
      <c r="K141">
        <v>197</v>
      </c>
      <c r="L141">
        <v>1</v>
      </c>
      <c r="M141">
        <v>1</v>
      </c>
      <c r="N141">
        <v>0.3</v>
      </c>
      <c r="O141">
        <v>5.53</v>
      </c>
      <c r="P141">
        <v>2</v>
      </c>
      <c r="Q141">
        <v>20</v>
      </c>
      <c r="R141">
        <v>13</v>
      </c>
      <c r="S141">
        <v>3500</v>
      </c>
      <c r="T141">
        <v>2</v>
      </c>
      <c r="U141">
        <v>2</v>
      </c>
      <c r="V141">
        <f>River_data[[#This Row],[Dissolved Oxygen Min]]*River_data[[#This Row],[Dissolved Oxygen Max]]/2</f>
        <v>41.859999999999992</v>
      </c>
      <c r="W141">
        <f>River_data[[#This Row],[BOD Min]]*River_data[[#This Row],[BOD Max]]/2</f>
        <v>0.5</v>
      </c>
      <c r="X141">
        <f>AVERAGE(River_data[[#This Row],[pH Max]]-River_data[[#This Row],[pH Min]])</f>
        <v>0.59999999999999964</v>
      </c>
    </row>
    <row r="142" spans="1:24" x14ac:dyDescent="0.3">
      <c r="A142">
        <v>4469</v>
      </c>
      <c r="B142" s="1" t="s">
        <v>134</v>
      </c>
      <c r="C142" s="1" t="s">
        <v>0</v>
      </c>
      <c r="D142">
        <v>11</v>
      </c>
      <c r="E142">
        <v>18</v>
      </c>
      <c r="F142">
        <v>8.8000000000000007</v>
      </c>
      <c r="G142">
        <v>9.1</v>
      </c>
      <c r="H142">
        <v>7.7</v>
      </c>
      <c r="I142">
        <v>8.6</v>
      </c>
      <c r="J142">
        <v>67</v>
      </c>
      <c r="K142">
        <v>237</v>
      </c>
      <c r="L142">
        <v>1</v>
      </c>
      <c r="M142">
        <v>1</v>
      </c>
      <c r="N142">
        <v>0.3</v>
      </c>
      <c r="O142">
        <v>6.43</v>
      </c>
      <c r="P142">
        <v>2</v>
      </c>
      <c r="Q142">
        <v>7</v>
      </c>
      <c r="R142">
        <v>11</v>
      </c>
      <c r="S142">
        <v>790</v>
      </c>
      <c r="T142">
        <v>2</v>
      </c>
      <c r="U142">
        <v>2</v>
      </c>
      <c r="V142">
        <f>River_data[[#This Row],[Dissolved Oxygen Min]]*River_data[[#This Row],[Dissolved Oxygen Max]]/2</f>
        <v>40.04</v>
      </c>
      <c r="W142">
        <f>River_data[[#This Row],[BOD Min]]*River_data[[#This Row],[BOD Max]]/2</f>
        <v>0.5</v>
      </c>
      <c r="X142">
        <f>AVERAGE(River_data[[#This Row],[pH Max]]-River_data[[#This Row],[pH Min]])</f>
        <v>0.89999999999999947</v>
      </c>
    </row>
    <row r="143" spans="1:24" x14ac:dyDescent="0.3">
      <c r="A143">
        <v>4470</v>
      </c>
      <c r="B143" s="1" t="s">
        <v>135</v>
      </c>
      <c r="C143" s="1" t="s">
        <v>0</v>
      </c>
      <c r="D143">
        <v>10</v>
      </c>
      <c r="E143">
        <v>18</v>
      </c>
      <c r="F143">
        <v>9</v>
      </c>
      <c r="G143">
        <v>9.1999999999999993</v>
      </c>
      <c r="H143">
        <v>7.4</v>
      </c>
      <c r="I143">
        <v>8.4</v>
      </c>
      <c r="J143">
        <v>70</v>
      </c>
      <c r="K143">
        <v>196</v>
      </c>
      <c r="L143">
        <v>1</v>
      </c>
      <c r="M143">
        <v>1</v>
      </c>
      <c r="N143">
        <v>0.3</v>
      </c>
      <c r="O143">
        <v>5.96</v>
      </c>
      <c r="P143">
        <v>2</v>
      </c>
      <c r="Q143">
        <v>20</v>
      </c>
      <c r="R143">
        <v>11</v>
      </c>
      <c r="S143">
        <v>1300</v>
      </c>
      <c r="T143">
        <v>2</v>
      </c>
      <c r="U143">
        <v>2</v>
      </c>
      <c r="V143">
        <f>River_data[[#This Row],[Dissolved Oxygen Min]]*River_data[[#This Row],[Dissolved Oxygen Max]]/2</f>
        <v>41.4</v>
      </c>
      <c r="W143">
        <f>River_data[[#This Row],[BOD Min]]*River_data[[#This Row],[BOD Max]]/2</f>
        <v>0.5</v>
      </c>
      <c r="X143">
        <f>AVERAGE(River_data[[#This Row],[pH Max]]-River_data[[#This Row],[pH Min]])</f>
        <v>1</v>
      </c>
    </row>
    <row r="144" spans="1:24" x14ac:dyDescent="0.3">
      <c r="A144">
        <v>4471</v>
      </c>
      <c r="B144" s="1" t="s">
        <v>136</v>
      </c>
      <c r="C144" s="1" t="s">
        <v>0</v>
      </c>
      <c r="D144">
        <v>9</v>
      </c>
      <c r="E144">
        <v>17</v>
      </c>
      <c r="F144">
        <v>8.9</v>
      </c>
      <c r="G144">
        <v>9.6</v>
      </c>
      <c r="H144">
        <v>7.2</v>
      </c>
      <c r="I144">
        <v>8</v>
      </c>
      <c r="J144">
        <v>77</v>
      </c>
      <c r="K144">
        <v>480</v>
      </c>
      <c r="L144">
        <v>1</v>
      </c>
      <c r="M144">
        <v>1</v>
      </c>
      <c r="N144">
        <v>0.3</v>
      </c>
      <c r="O144">
        <v>4.12</v>
      </c>
      <c r="P144">
        <v>2</v>
      </c>
      <c r="Q144">
        <v>20</v>
      </c>
      <c r="R144">
        <v>8</v>
      </c>
      <c r="S144">
        <v>5400</v>
      </c>
      <c r="T144">
        <v>2</v>
      </c>
      <c r="U144">
        <v>2</v>
      </c>
      <c r="V144">
        <f>River_data[[#This Row],[Dissolved Oxygen Min]]*River_data[[#This Row],[Dissolved Oxygen Max]]/2</f>
        <v>42.72</v>
      </c>
      <c r="W144">
        <f>River_data[[#This Row],[BOD Min]]*River_data[[#This Row],[BOD Max]]/2</f>
        <v>0.5</v>
      </c>
      <c r="X144">
        <f>AVERAGE(River_data[[#This Row],[pH Max]]-River_data[[#This Row],[pH Min]])</f>
        <v>0.79999999999999982</v>
      </c>
    </row>
    <row r="145" spans="1:24" x14ac:dyDescent="0.3">
      <c r="A145">
        <v>4488</v>
      </c>
      <c r="B145" s="1" t="s">
        <v>137</v>
      </c>
      <c r="C145" s="1" t="s">
        <v>0</v>
      </c>
      <c r="D145">
        <v>14</v>
      </c>
      <c r="E145">
        <v>23</v>
      </c>
      <c r="F145">
        <v>5.8</v>
      </c>
      <c r="G145">
        <v>7.1</v>
      </c>
      <c r="H145">
        <v>7.5</v>
      </c>
      <c r="I145">
        <v>8</v>
      </c>
      <c r="J145">
        <v>615</v>
      </c>
      <c r="K145">
        <v>1384</v>
      </c>
      <c r="L145">
        <v>1</v>
      </c>
      <c r="M145">
        <v>5.4</v>
      </c>
      <c r="N145">
        <v>1.69</v>
      </c>
      <c r="O145">
        <v>17.260000000000002</v>
      </c>
      <c r="P145">
        <v>5</v>
      </c>
      <c r="Q145">
        <v>220</v>
      </c>
      <c r="R145">
        <v>34</v>
      </c>
      <c r="S145">
        <v>1600</v>
      </c>
      <c r="T145">
        <v>2</v>
      </c>
      <c r="U145">
        <v>2</v>
      </c>
      <c r="V145">
        <f>River_data[[#This Row],[Dissolved Oxygen Min]]*River_data[[#This Row],[Dissolved Oxygen Max]]/2</f>
        <v>20.59</v>
      </c>
      <c r="W145">
        <f>River_data[[#This Row],[BOD Min]]*River_data[[#This Row],[BOD Max]]/2</f>
        <v>2.7</v>
      </c>
      <c r="X145">
        <f>AVERAGE(River_data[[#This Row],[pH Max]]-River_data[[#This Row],[pH Min]])</f>
        <v>0.5</v>
      </c>
    </row>
    <row r="146" spans="1:24" x14ac:dyDescent="0.3">
      <c r="A146">
        <v>5489</v>
      </c>
      <c r="B146" s="1" t="s">
        <v>138</v>
      </c>
      <c r="C146" s="1" t="s">
        <v>0</v>
      </c>
      <c r="D146">
        <v>9</v>
      </c>
      <c r="E146">
        <v>9</v>
      </c>
      <c r="F146">
        <v>9.6</v>
      </c>
      <c r="G146">
        <v>9.6</v>
      </c>
      <c r="H146">
        <v>8.3000000000000007</v>
      </c>
      <c r="I146">
        <v>8.3000000000000007</v>
      </c>
      <c r="J146">
        <v>87</v>
      </c>
      <c r="K146">
        <v>87</v>
      </c>
      <c r="L146">
        <v>1</v>
      </c>
      <c r="M146">
        <v>1</v>
      </c>
      <c r="N146">
        <v>0.61</v>
      </c>
      <c r="O146">
        <v>0.61</v>
      </c>
      <c r="P146">
        <v>11</v>
      </c>
      <c r="Q146">
        <v>11</v>
      </c>
      <c r="R146">
        <v>26</v>
      </c>
      <c r="S146">
        <v>26</v>
      </c>
      <c r="T146">
        <v>2</v>
      </c>
      <c r="U146">
        <v>2</v>
      </c>
      <c r="V146">
        <f>River_data[[#This Row],[Dissolved Oxygen Min]]*River_data[[#This Row],[Dissolved Oxygen Max]]/2</f>
        <v>46.08</v>
      </c>
      <c r="W146">
        <f>River_data[[#This Row],[BOD Min]]*River_data[[#This Row],[BOD Max]]/2</f>
        <v>0.5</v>
      </c>
      <c r="X146">
        <f>AVERAGE(River_data[[#This Row],[pH Max]]-River_data[[#This Row],[pH Min]])</f>
        <v>0</v>
      </c>
    </row>
    <row r="147" spans="1:24" x14ac:dyDescent="0.3">
      <c r="A147">
        <v>5766</v>
      </c>
      <c r="B147" s="1" t="s">
        <v>139</v>
      </c>
      <c r="C147" s="1" t="s">
        <v>0</v>
      </c>
      <c r="D147">
        <v>10</v>
      </c>
      <c r="E147">
        <v>16</v>
      </c>
      <c r="F147">
        <v>8.8000000000000007</v>
      </c>
      <c r="G147">
        <v>9</v>
      </c>
      <c r="H147">
        <v>7.3</v>
      </c>
      <c r="I147">
        <v>8</v>
      </c>
      <c r="J147">
        <v>125</v>
      </c>
      <c r="K147">
        <v>259</v>
      </c>
      <c r="L147">
        <v>1</v>
      </c>
      <c r="M147">
        <v>1</v>
      </c>
      <c r="N147">
        <v>0.73</v>
      </c>
      <c r="O147">
        <v>2.68</v>
      </c>
      <c r="P147">
        <v>4</v>
      </c>
      <c r="Q147">
        <v>45</v>
      </c>
      <c r="R147">
        <v>350</v>
      </c>
      <c r="S147">
        <v>5400</v>
      </c>
      <c r="T147">
        <v>2</v>
      </c>
      <c r="U147">
        <v>2</v>
      </c>
      <c r="V147">
        <f>River_data[[#This Row],[Dissolved Oxygen Min]]*River_data[[#This Row],[Dissolved Oxygen Max]]/2</f>
        <v>39.6</v>
      </c>
      <c r="W147">
        <f>River_data[[#This Row],[BOD Min]]*River_data[[#This Row],[BOD Max]]/2</f>
        <v>0.5</v>
      </c>
      <c r="X147">
        <f>AVERAGE(River_data[[#This Row],[pH Max]]-River_data[[#This Row],[pH Min]])</f>
        <v>0.70000000000000018</v>
      </c>
    </row>
    <row r="148" spans="1:24" x14ac:dyDescent="0.3">
      <c r="A148">
        <v>1306</v>
      </c>
      <c r="B148" s="1" t="s">
        <v>140</v>
      </c>
      <c r="C148" s="1" t="s">
        <v>53</v>
      </c>
      <c r="D148">
        <v>6.6</v>
      </c>
      <c r="E148">
        <v>25.2</v>
      </c>
      <c r="F148">
        <v>4.7</v>
      </c>
      <c r="G148">
        <v>7.8</v>
      </c>
      <c r="H148">
        <v>7.4</v>
      </c>
      <c r="I148">
        <v>8.1</v>
      </c>
      <c r="J148">
        <v>149</v>
      </c>
      <c r="K148">
        <v>357</v>
      </c>
      <c r="L148">
        <v>2.2999999999999998</v>
      </c>
      <c r="M148">
        <v>5</v>
      </c>
      <c r="N148">
        <v>0</v>
      </c>
      <c r="O148">
        <v>0</v>
      </c>
      <c r="V148">
        <f>River_data[[#This Row],[Dissolved Oxygen Min]]*River_data[[#This Row],[Dissolved Oxygen Max]]/2</f>
        <v>18.330000000000002</v>
      </c>
      <c r="W148">
        <f>River_data[[#This Row],[BOD Min]]*River_data[[#This Row],[BOD Max]]/2</f>
        <v>5.75</v>
      </c>
      <c r="X148">
        <f>AVERAGE(River_data[[#This Row],[pH Max]]-River_data[[#This Row],[pH Min]])</f>
        <v>0.69999999999999929</v>
      </c>
    </row>
    <row r="149" spans="1:24" x14ac:dyDescent="0.3">
      <c r="A149">
        <v>5248</v>
      </c>
      <c r="B149" s="1" t="s">
        <v>141</v>
      </c>
      <c r="C149" s="1" t="s">
        <v>0</v>
      </c>
      <c r="D149">
        <v>4</v>
      </c>
      <c r="E149">
        <v>23</v>
      </c>
      <c r="F149">
        <v>8.5</v>
      </c>
      <c r="G149">
        <v>9.6</v>
      </c>
      <c r="H149">
        <v>7.1</v>
      </c>
      <c r="I149">
        <v>8.1</v>
      </c>
      <c r="J149">
        <v>62</v>
      </c>
      <c r="K149">
        <v>205</v>
      </c>
      <c r="L149">
        <v>1</v>
      </c>
      <c r="M149">
        <v>1</v>
      </c>
      <c r="N149">
        <v>0.32</v>
      </c>
      <c r="O149">
        <v>1.01</v>
      </c>
      <c r="P149">
        <v>23</v>
      </c>
      <c r="Q149">
        <v>79</v>
      </c>
      <c r="R149">
        <v>170</v>
      </c>
      <c r="S149">
        <v>350</v>
      </c>
      <c r="T149">
        <v>2</v>
      </c>
      <c r="U149">
        <v>2</v>
      </c>
      <c r="V149">
        <f>River_data[[#This Row],[Dissolved Oxygen Min]]*River_data[[#This Row],[Dissolved Oxygen Max]]/2</f>
        <v>40.799999999999997</v>
      </c>
      <c r="W149">
        <f>River_data[[#This Row],[BOD Min]]*River_data[[#This Row],[BOD Max]]/2</f>
        <v>0.5</v>
      </c>
      <c r="X149">
        <f>AVERAGE(River_data[[#This Row],[pH Max]]-River_data[[#This Row],[pH Min]])</f>
        <v>1</v>
      </c>
    </row>
    <row r="150" spans="1:24" x14ac:dyDescent="0.3">
      <c r="A150">
        <v>5251</v>
      </c>
      <c r="B150" s="1" t="s">
        <v>142</v>
      </c>
      <c r="C150" s="1" t="s">
        <v>0</v>
      </c>
      <c r="D150">
        <v>12</v>
      </c>
      <c r="E150">
        <v>27</v>
      </c>
      <c r="F150">
        <v>7</v>
      </c>
      <c r="G150">
        <v>8.8000000000000007</v>
      </c>
      <c r="H150">
        <v>7.1</v>
      </c>
      <c r="I150">
        <v>8.1999999999999993</v>
      </c>
      <c r="J150">
        <v>210</v>
      </c>
      <c r="K150">
        <v>414</v>
      </c>
      <c r="L150">
        <v>1</v>
      </c>
      <c r="M150">
        <v>2.8</v>
      </c>
      <c r="N150">
        <v>0.49</v>
      </c>
      <c r="O150">
        <v>3.25</v>
      </c>
      <c r="P150">
        <v>58</v>
      </c>
      <c r="Q150">
        <v>920</v>
      </c>
      <c r="R150">
        <v>280</v>
      </c>
      <c r="S150">
        <v>1600</v>
      </c>
      <c r="T150">
        <v>2</v>
      </c>
      <c r="U150">
        <v>2</v>
      </c>
      <c r="V150">
        <f>River_data[[#This Row],[Dissolved Oxygen Min]]*River_data[[#This Row],[Dissolved Oxygen Max]]/2</f>
        <v>30.800000000000004</v>
      </c>
      <c r="W150">
        <f>River_data[[#This Row],[BOD Min]]*River_data[[#This Row],[BOD Max]]/2</f>
        <v>1.4</v>
      </c>
      <c r="X150">
        <f>AVERAGE(River_data[[#This Row],[pH Max]]-River_data[[#This Row],[pH Min]])</f>
        <v>1.0999999999999996</v>
      </c>
    </row>
    <row r="151" spans="1:24" x14ac:dyDescent="0.3">
      <c r="A151">
        <v>5252</v>
      </c>
      <c r="B151" s="1" t="s">
        <v>143</v>
      </c>
      <c r="C151" s="1" t="s">
        <v>0</v>
      </c>
      <c r="D151">
        <v>5</v>
      </c>
      <c r="E151">
        <v>32</v>
      </c>
      <c r="F151">
        <v>8.1999999999999993</v>
      </c>
      <c r="G151">
        <v>9.3000000000000007</v>
      </c>
      <c r="H151">
        <v>7.2</v>
      </c>
      <c r="I151">
        <v>8.1999999999999993</v>
      </c>
      <c r="J151">
        <v>185</v>
      </c>
      <c r="K151">
        <v>285</v>
      </c>
      <c r="L151">
        <v>1</v>
      </c>
      <c r="M151">
        <v>1</v>
      </c>
      <c r="N151">
        <v>0.32</v>
      </c>
      <c r="O151">
        <v>1.83</v>
      </c>
      <c r="P151">
        <v>11</v>
      </c>
      <c r="Q151">
        <v>79</v>
      </c>
      <c r="R151">
        <v>33</v>
      </c>
      <c r="S151">
        <v>350</v>
      </c>
      <c r="T151">
        <v>2</v>
      </c>
      <c r="U151">
        <v>2</v>
      </c>
      <c r="V151">
        <f>River_data[[#This Row],[Dissolved Oxygen Min]]*River_data[[#This Row],[Dissolved Oxygen Max]]/2</f>
        <v>38.130000000000003</v>
      </c>
      <c r="W151">
        <f>River_data[[#This Row],[BOD Min]]*River_data[[#This Row],[BOD Max]]/2</f>
        <v>0.5</v>
      </c>
      <c r="X151">
        <f>AVERAGE(River_data[[#This Row],[pH Max]]-River_data[[#This Row],[pH Min]])</f>
        <v>0.99999999999999911</v>
      </c>
    </row>
    <row r="152" spans="1:24" x14ac:dyDescent="0.3">
      <c r="A152">
        <v>5254</v>
      </c>
      <c r="B152" s="1" t="s">
        <v>144</v>
      </c>
      <c r="C152" s="1" t="s">
        <v>0</v>
      </c>
      <c r="D152">
        <v>3</v>
      </c>
      <c r="E152">
        <v>12</v>
      </c>
      <c r="F152">
        <v>7.5</v>
      </c>
      <c r="G152">
        <v>8.9</v>
      </c>
      <c r="H152">
        <v>7.2</v>
      </c>
      <c r="I152">
        <v>8.1</v>
      </c>
      <c r="J152">
        <v>92</v>
      </c>
      <c r="K152">
        <v>225</v>
      </c>
      <c r="L152">
        <v>1</v>
      </c>
      <c r="M152">
        <v>1</v>
      </c>
      <c r="N152">
        <v>0.32</v>
      </c>
      <c r="O152">
        <v>0.55000000000000004</v>
      </c>
      <c r="P152">
        <v>23</v>
      </c>
      <c r="Q152">
        <v>39</v>
      </c>
      <c r="R152">
        <v>140</v>
      </c>
      <c r="S152">
        <v>280</v>
      </c>
      <c r="T152">
        <v>2</v>
      </c>
      <c r="U152">
        <v>2</v>
      </c>
      <c r="V152">
        <f>River_data[[#This Row],[Dissolved Oxygen Min]]*River_data[[#This Row],[Dissolved Oxygen Max]]/2</f>
        <v>33.375</v>
      </c>
      <c r="W152">
        <f>River_data[[#This Row],[BOD Min]]*River_data[[#This Row],[BOD Max]]/2</f>
        <v>0.5</v>
      </c>
      <c r="X152">
        <f>AVERAGE(River_data[[#This Row],[pH Max]]-River_data[[#This Row],[pH Min]])</f>
        <v>0.89999999999999947</v>
      </c>
    </row>
    <row r="153" spans="1:24" x14ac:dyDescent="0.3">
      <c r="A153">
        <v>5255</v>
      </c>
      <c r="B153" s="1" t="s">
        <v>145</v>
      </c>
      <c r="C153" s="1" t="s">
        <v>0</v>
      </c>
      <c r="D153">
        <v>3</v>
      </c>
      <c r="E153">
        <v>10</v>
      </c>
      <c r="F153">
        <v>7.6</v>
      </c>
      <c r="G153">
        <v>8.5</v>
      </c>
      <c r="H153">
        <v>7.2</v>
      </c>
      <c r="I153">
        <v>8.1</v>
      </c>
      <c r="J153">
        <v>88</v>
      </c>
      <c r="K153">
        <v>221</v>
      </c>
      <c r="L153">
        <v>1</v>
      </c>
      <c r="M153">
        <v>1</v>
      </c>
      <c r="N153">
        <v>0.32</v>
      </c>
      <c r="O153">
        <v>0.64</v>
      </c>
      <c r="P153">
        <v>2</v>
      </c>
      <c r="Q153">
        <v>39</v>
      </c>
      <c r="R153">
        <v>45</v>
      </c>
      <c r="S153">
        <v>210</v>
      </c>
      <c r="T153">
        <v>2</v>
      </c>
      <c r="U153">
        <v>2</v>
      </c>
      <c r="V153">
        <f>River_data[[#This Row],[Dissolved Oxygen Min]]*River_data[[#This Row],[Dissolved Oxygen Max]]/2</f>
        <v>32.299999999999997</v>
      </c>
      <c r="W153">
        <f>River_data[[#This Row],[BOD Min]]*River_data[[#This Row],[BOD Max]]/2</f>
        <v>0.5</v>
      </c>
      <c r="X153">
        <f>AVERAGE(River_data[[#This Row],[pH Max]]-River_data[[#This Row],[pH Min]])</f>
        <v>0.89999999999999947</v>
      </c>
    </row>
    <row r="154" spans="1:24" x14ac:dyDescent="0.3">
      <c r="A154">
        <v>5256</v>
      </c>
      <c r="B154" s="1" t="s">
        <v>146</v>
      </c>
      <c r="C154" s="1" t="s">
        <v>0</v>
      </c>
      <c r="D154">
        <v>4</v>
      </c>
      <c r="E154">
        <v>12</v>
      </c>
      <c r="F154">
        <v>7.6</v>
      </c>
      <c r="G154">
        <v>9.1</v>
      </c>
      <c r="H154">
        <v>7.2</v>
      </c>
      <c r="I154">
        <v>8.1999999999999993</v>
      </c>
      <c r="J154">
        <v>87</v>
      </c>
      <c r="K154">
        <v>218</v>
      </c>
      <c r="L154">
        <v>1</v>
      </c>
      <c r="M154">
        <v>1</v>
      </c>
      <c r="N154">
        <v>0.32</v>
      </c>
      <c r="O154">
        <v>0.95</v>
      </c>
      <c r="P154">
        <v>26</v>
      </c>
      <c r="Q154">
        <v>47</v>
      </c>
      <c r="R154">
        <v>170</v>
      </c>
      <c r="S154">
        <v>240</v>
      </c>
      <c r="T154">
        <v>2</v>
      </c>
      <c r="U154">
        <v>2</v>
      </c>
      <c r="V154">
        <f>River_data[[#This Row],[Dissolved Oxygen Min]]*River_data[[#This Row],[Dissolved Oxygen Max]]/2</f>
        <v>34.58</v>
      </c>
      <c r="W154">
        <f>River_data[[#This Row],[BOD Min]]*River_data[[#This Row],[BOD Max]]/2</f>
        <v>0.5</v>
      </c>
      <c r="X154">
        <f>AVERAGE(River_data[[#This Row],[pH Max]]-River_data[[#This Row],[pH Min]])</f>
        <v>0.99999999999999911</v>
      </c>
    </row>
    <row r="155" spans="1:24" x14ac:dyDescent="0.3">
      <c r="A155">
        <v>1491</v>
      </c>
      <c r="B155" s="1" t="s">
        <v>147</v>
      </c>
      <c r="C155" s="1" t="s">
        <v>148</v>
      </c>
      <c r="D155">
        <v>7</v>
      </c>
      <c r="E155">
        <v>7</v>
      </c>
      <c r="F155">
        <v>11</v>
      </c>
      <c r="G155">
        <v>11</v>
      </c>
      <c r="H155">
        <v>8.4</v>
      </c>
      <c r="I155">
        <v>8.4</v>
      </c>
      <c r="J155">
        <v>84</v>
      </c>
      <c r="K155">
        <v>84</v>
      </c>
      <c r="L155">
        <v>1</v>
      </c>
      <c r="M155">
        <v>1</v>
      </c>
      <c r="N155">
        <v>0.32</v>
      </c>
      <c r="O155">
        <v>0.32</v>
      </c>
      <c r="P155">
        <v>2</v>
      </c>
      <c r="Q155">
        <v>2</v>
      </c>
      <c r="R155">
        <v>2</v>
      </c>
      <c r="S155">
        <v>2</v>
      </c>
      <c r="T155">
        <v>2</v>
      </c>
      <c r="U155">
        <v>2</v>
      </c>
      <c r="V155">
        <f>River_data[[#This Row],[Dissolved Oxygen Min]]*River_data[[#This Row],[Dissolved Oxygen Max]]/2</f>
        <v>60.5</v>
      </c>
      <c r="W155">
        <f>River_data[[#This Row],[BOD Min]]*River_data[[#This Row],[BOD Max]]/2</f>
        <v>0.5</v>
      </c>
      <c r="X155">
        <f>AVERAGE(River_data[[#This Row],[pH Max]]-River_data[[#This Row],[pH Min]])</f>
        <v>0</v>
      </c>
    </row>
    <row r="156" spans="1:24" x14ac:dyDescent="0.3">
      <c r="A156">
        <v>5451</v>
      </c>
      <c r="B156" s="1" t="s">
        <v>149</v>
      </c>
      <c r="C156" s="1" t="s">
        <v>148</v>
      </c>
      <c r="D156">
        <v>10</v>
      </c>
      <c r="E156">
        <v>10</v>
      </c>
      <c r="F156">
        <v>11.4</v>
      </c>
      <c r="G156">
        <v>11.4</v>
      </c>
      <c r="H156">
        <v>8</v>
      </c>
      <c r="I156">
        <v>8</v>
      </c>
      <c r="J156">
        <v>50</v>
      </c>
      <c r="K156">
        <v>50</v>
      </c>
      <c r="L156">
        <v>1</v>
      </c>
      <c r="M156">
        <v>1</v>
      </c>
      <c r="N156">
        <v>0.32</v>
      </c>
      <c r="O156">
        <v>0.32</v>
      </c>
      <c r="P156">
        <v>2</v>
      </c>
      <c r="Q156">
        <v>2</v>
      </c>
      <c r="R156">
        <v>2</v>
      </c>
      <c r="S156">
        <v>2</v>
      </c>
      <c r="T156">
        <v>2</v>
      </c>
      <c r="U156">
        <v>2</v>
      </c>
      <c r="V156">
        <f>River_data[[#This Row],[Dissolved Oxygen Min]]*River_data[[#This Row],[Dissolved Oxygen Max]]/2</f>
        <v>64.98</v>
      </c>
      <c r="W156">
        <f>River_data[[#This Row],[BOD Min]]*River_data[[#This Row],[BOD Max]]/2</f>
        <v>0.5</v>
      </c>
      <c r="X156">
        <f>AVERAGE(River_data[[#This Row],[pH Max]]-River_data[[#This Row],[pH Min]])</f>
        <v>0</v>
      </c>
    </row>
    <row r="157" spans="1:24" x14ac:dyDescent="0.3">
      <c r="A157">
        <v>5452</v>
      </c>
      <c r="B157" s="1" t="s">
        <v>150</v>
      </c>
      <c r="C157" s="1" t="s">
        <v>148</v>
      </c>
      <c r="D157">
        <v>13.5</v>
      </c>
      <c r="E157">
        <v>13.5</v>
      </c>
      <c r="F157">
        <v>11.2</v>
      </c>
      <c r="G157">
        <v>11.2</v>
      </c>
      <c r="H157">
        <v>7.3</v>
      </c>
      <c r="I157">
        <v>7.3</v>
      </c>
      <c r="J157">
        <v>43</v>
      </c>
      <c r="K157">
        <v>43</v>
      </c>
      <c r="L157">
        <v>1</v>
      </c>
      <c r="M157">
        <v>1</v>
      </c>
      <c r="N157">
        <v>0.32</v>
      </c>
      <c r="O157">
        <v>0.32</v>
      </c>
      <c r="P157">
        <v>2</v>
      </c>
      <c r="Q157">
        <v>2</v>
      </c>
      <c r="R157">
        <v>2</v>
      </c>
      <c r="S157">
        <v>2</v>
      </c>
      <c r="T157">
        <v>2</v>
      </c>
      <c r="U157">
        <v>2</v>
      </c>
      <c r="V157">
        <f>River_data[[#This Row],[Dissolved Oxygen Min]]*River_data[[#This Row],[Dissolved Oxygen Max]]/2</f>
        <v>62.719999999999992</v>
      </c>
      <c r="W157">
        <f>River_data[[#This Row],[BOD Min]]*River_data[[#This Row],[BOD Max]]/2</f>
        <v>0.5</v>
      </c>
      <c r="X157">
        <f>AVERAGE(River_data[[#This Row],[pH Max]]-River_data[[#This Row],[pH Min]])</f>
        <v>0</v>
      </c>
    </row>
    <row r="158" spans="1:24" x14ac:dyDescent="0.3">
      <c r="A158">
        <v>1484</v>
      </c>
      <c r="B158" s="1" t="s">
        <v>151</v>
      </c>
      <c r="C158" s="1" t="s">
        <v>148</v>
      </c>
      <c r="D158">
        <v>15</v>
      </c>
      <c r="E158">
        <v>17</v>
      </c>
      <c r="F158">
        <v>10</v>
      </c>
      <c r="G158">
        <v>10.6</v>
      </c>
      <c r="H158">
        <v>7.6</v>
      </c>
      <c r="I158">
        <v>8.3000000000000007</v>
      </c>
      <c r="J158">
        <v>47</v>
      </c>
      <c r="K158">
        <v>137</v>
      </c>
      <c r="L158">
        <v>1</v>
      </c>
      <c r="M158">
        <v>1</v>
      </c>
      <c r="N158">
        <v>0.32</v>
      </c>
      <c r="O158">
        <v>0.35</v>
      </c>
      <c r="P158">
        <v>2</v>
      </c>
      <c r="Q158">
        <v>2</v>
      </c>
      <c r="R158">
        <v>2</v>
      </c>
      <c r="S158">
        <v>4</v>
      </c>
      <c r="T158">
        <v>2</v>
      </c>
      <c r="U158">
        <v>2</v>
      </c>
      <c r="V158">
        <f>River_data[[#This Row],[Dissolved Oxygen Min]]*River_data[[#This Row],[Dissolved Oxygen Max]]/2</f>
        <v>53</v>
      </c>
      <c r="W158">
        <f>River_data[[#This Row],[BOD Min]]*River_data[[#This Row],[BOD Max]]/2</f>
        <v>0.5</v>
      </c>
      <c r="X158">
        <f>AVERAGE(River_data[[#This Row],[pH Max]]-River_data[[#This Row],[pH Min]])</f>
        <v>0.70000000000000107</v>
      </c>
    </row>
    <row r="159" spans="1:24" x14ac:dyDescent="0.3">
      <c r="A159">
        <v>1485</v>
      </c>
      <c r="B159" s="1" t="s">
        <v>152</v>
      </c>
      <c r="C159" s="1" t="s">
        <v>148</v>
      </c>
      <c r="D159">
        <v>14</v>
      </c>
      <c r="E159">
        <v>17</v>
      </c>
      <c r="F159">
        <v>9.8000000000000007</v>
      </c>
      <c r="G159">
        <v>10.8</v>
      </c>
      <c r="H159">
        <v>7.6</v>
      </c>
      <c r="I159">
        <v>7.8</v>
      </c>
      <c r="J159">
        <v>61</v>
      </c>
      <c r="K159">
        <v>80</v>
      </c>
      <c r="L159">
        <v>1</v>
      </c>
      <c r="M159">
        <v>1</v>
      </c>
      <c r="N159">
        <v>0.32</v>
      </c>
      <c r="O159">
        <v>0.33</v>
      </c>
      <c r="P159">
        <v>2</v>
      </c>
      <c r="Q159">
        <v>2</v>
      </c>
      <c r="R159">
        <v>2</v>
      </c>
      <c r="S159">
        <v>4</v>
      </c>
      <c r="T159">
        <v>2</v>
      </c>
      <c r="U159">
        <v>2</v>
      </c>
      <c r="V159">
        <f>River_data[[#This Row],[Dissolved Oxygen Min]]*River_data[[#This Row],[Dissolved Oxygen Max]]/2</f>
        <v>52.920000000000009</v>
      </c>
      <c r="W159">
        <f>River_data[[#This Row],[BOD Min]]*River_data[[#This Row],[BOD Max]]/2</f>
        <v>0.5</v>
      </c>
      <c r="X159">
        <f>AVERAGE(River_data[[#This Row],[pH Max]]-River_data[[#This Row],[pH Min]])</f>
        <v>0.20000000000000018</v>
      </c>
    </row>
    <row r="160" spans="1:24" x14ac:dyDescent="0.3">
      <c r="A160">
        <v>1486</v>
      </c>
      <c r="B160" s="1" t="s">
        <v>153</v>
      </c>
      <c r="C160" s="1" t="s">
        <v>148</v>
      </c>
      <c r="D160">
        <v>14</v>
      </c>
      <c r="E160">
        <v>17</v>
      </c>
      <c r="F160">
        <v>10.199999999999999</v>
      </c>
      <c r="G160">
        <v>10.8</v>
      </c>
      <c r="H160">
        <v>7.4</v>
      </c>
      <c r="I160">
        <v>8.1999999999999993</v>
      </c>
      <c r="J160">
        <v>58</v>
      </c>
      <c r="K160">
        <v>122</v>
      </c>
      <c r="L160">
        <v>1</v>
      </c>
      <c r="M160">
        <v>1</v>
      </c>
      <c r="N160">
        <v>0.32</v>
      </c>
      <c r="O160">
        <v>0.33</v>
      </c>
      <c r="P160">
        <v>2</v>
      </c>
      <c r="Q160">
        <v>2</v>
      </c>
      <c r="R160">
        <v>2</v>
      </c>
      <c r="S160">
        <v>4</v>
      </c>
      <c r="T160">
        <v>2</v>
      </c>
      <c r="U160">
        <v>2</v>
      </c>
      <c r="V160">
        <f>River_data[[#This Row],[Dissolved Oxygen Min]]*River_data[[#This Row],[Dissolved Oxygen Max]]/2</f>
        <v>55.08</v>
      </c>
      <c r="W160">
        <f>River_data[[#This Row],[BOD Min]]*River_data[[#This Row],[BOD Max]]/2</f>
        <v>0.5</v>
      </c>
      <c r="X160">
        <f>AVERAGE(River_data[[#This Row],[pH Max]]-River_data[[#This Row],[pH Min]])</f>
        <v>0.79999999999999893</v>
      </c>
    </row>
    <row r="161" spans="1:24" x14ac:dyDescent="0.3">
      <c r="A161">
        <v>1487</v>
      </c>
      <c r="B161" s="1" t="s">
        <v>154</v>
      </c>
      <c r="C161" s="1" t="s">
        <v>148</v>
      </c>
      <c r="D161">
        <v>15</v>
      </c>
      <c r="E161">
        <v>19</v>
      </c>
      <c r="F161">
        <v>10</v>
      </c>
      <c r="G161">
        <v>10.6</v>
      </c>
      <c r="H161">
        <v>7.8</v>
      </c>
      <c r="I161">
        <v>8.3000000000000007</v>
      </c>
      <c r="J161">
        <v>89</v>
      </c>
      <c r="K161">
        <v>128</v>
      </c>
      <c r="L161">
        <v>1</v>
      </c>
      <c r="M161">
        <v>1</v>
      </c>
      <c r="N161">
        <v>0.32</v>
      </c>
      <c r="O161">
        <v>0.33</v>
      </c>
      <c r="P161">
        <v>2</v>
      </c>
      <c r="Q161">
        <v>2</v>
      </c>
      <c r="R161">
        <v>2</v>
      </c>
      <c r="S161">
        <v>4</v>
      </c>
      <c r="T161">
        <v>2</v>
      </c>
      <c r="U161">
        <v>2</v>
      </c>
      <c r="V161">
        <f>River_data[[#This Row],[Dissolved Oxygen Min]]*River_data[[#This Row],[Dissolved Oxygen Max]]/2</f>
        <v>53</v>
      </c>
      <c r="W161">
        <f>River_data[[#This Row],[BOD Min]]*River_data[[#This Row],[BOD Max]]/2</f>
        <v>0.5</v>
      </c>
      <c r="X161">
        <f>AVERAGE(River_data[[#This Row],[pH Max]]-River_data[[#This Row],[pH Min]])</f>
        <v>0.50000000000000089</v>
      </c>
    </row>
    <row r="162" spans="1:24" x14ac:dyDescent="0.3">
      <c r="A162">
        <v>1488</v>
      </c>
      <c r="B162" s="1" t="s">
        <v>155</v>
      </c>
      <c r="C162" s="1" t="s">
        <v>148</v>
      </c>
      <c r="D162">
        <v>16</v>
      </c>
      <c r="E162">
        <v>20</v>
      </c>
      <c r="F162">
        <v>9.8000000000000007</v>
      </c>
      <c r="G162">
        <v>10.8</v>
      </c>
      <c r="H162">
        <v>7.8</v>
      </c>
      <c r="I162">
        <v>8.1</v>
      </c>
      <c r="J162">
        <v>76</v>
      </c>
      <c r="K162">
        <v>117</v>
      </c>
      <c r="L162">
        <v>1</v>
      </c>
      <c r="M162">
        <v>1</v>
      </c>
      <c r="N162">
        <v>0.32</v>
      </c>
      <c r="O162">
        <v>0.36</v>
      </c>
      <c r="P162">
        <v>2</v>
      </c>
      <c r="Q162">
        <v>2</v>
      </c>
      <c r="R162">
        <v>2</v>
      </c>
      <c r="S162">
        <v>2</v>
      </c>
      <c r="T162">
        <v>2</v>
      </c>
      <c r="U162">
        <v>2</v>
      </c>
      <c r="V162">
        <f>River_data[[#This Row],[Dissolved Oxygen Min]]*River_data[[#This Row],[Dissolved Oxygen Max]]/2</f>
        <v>52.920000000000009</v>
      </c>
      <c r="W162">
        <f>River_data[[#This Row],[BOD Min]]*River_data[[#This Row],[BOD Max]]/2</f>
        <v>0.5</v>
      </c>
      <c r="X162">
        <f>AVERAGE(River_data[[#This Row],[pH Max]]-River_data[[#This Row],[pH Min]])</f>
        <v>0.29999999999999982</v>
      </c>
    </row>
    <row r="163" spans="1:24" x14ac:dyDescent="0.3">
      <c r="A163">
        <v>1489</v>
      </c>
      <c r="B163" s="1" t="s">
        <v>156</v>
      </c>
      <c r="C163" s="1" t="s">
        <v>148</v>
      </c>
      <c r="D163">
        <v>15</v>
      </c>
      <c r="E163">
        <v>20</v>
      </c>
      <c r="F163">
        <v>10</v>
      </c>
      <c r="G163">
        <v>10.8</v>
      </c>
      <c r="H163">
        <v>7.5</v>
      </c>
      <c r="I163">
        <v>8.1999999999999993</v>
      </c>
      <c r="J163">
        <v>87</v>
      </c>
      <c r="K163">
        <v>110</v>
      </c>
      <c r="L163">
        <v>1</v>
      </c>
      <c r="M163">
        <v>1</v>
      </c>
      <c r="N163">
        <v>0.32</v>
      </c>
      <c r="O163">
        <v>0.33</v>
      </c>
      <c r="P163">
        <v>2</v>
      </c>
      <c r="Q163">
        <v>2</v>
      </c>
      <c r="R163">
        <v>2</v>
      </c>
      <c r="S163">
        <v>4</v>
      </c>
      <c r="T163">
        <v>2</v>
      </c>
      <c r="U163">
        <v>2</v>
      </c>
      <c r="V163">
        <f>River_data[[#This Row],[Dissolved Oxygen Min]]*River_data[[#This Row],[Dissolved Oxygen Max]]/2</f>
        <v>54</v>
      </c>
      <c r="W163">
        <f>River_data[[#This Row],[BOD Min]]*River_data[[#This Row],[BOD Max]]/2</f>
        <v>0.5</v>
      </c>
      <c r="X163">
        <f>AVERAGE(River_data[[#This Row],[pH Max]]-River_data[[#This Row],[pH Min]])</f>
        <v>0.69999999999999929</v>
      </c>
    </row>
    <row r="164" spans="1:24" x14ac:dyDescent="0.3">
      <c r="A164">
        <v>5776</v>
      </c>
      <c r="B164" s="1" t="s">
        <v>157</v>
      </c>
      <c r="C164" s="1" t="s">
        <v>148</v>
      </c>
      <c r="D164">
        <v>13</v>
      </c>
      <c r="E164">
        <v>24</v>
      </c>
      <c r="F164">
        <v>9</v>
      </c>
      <c r="G164">
        <v>10.6</v>
      </c>
      <c r="H164">
        <v>7.2</v>
      </c>
      <c r="I164">
        <v>8.4</v>
      </c>
      <c r="J164">
        <v>84</v>
      </c>
      <c r="K164">
        <v>265</v>
      </c>
      <c r="L164">
        <v>1</v>
      </c>
      <c r="M164">
        <v>1</v>
      </c>
      <c r="N164">
        <v>0.32</v>
      </c>
      <c r="O164">
        <v>0.43</v>
      </c>
      <c r="P164">
        <v>31</v>
      </c>
      <c r="Q164">
        <v>48</v>
      </c>
      <c r="R164">
        <v>39</v>
      </c>
      <c r="S164">
        <v>49</v>
      </c>
      <c r="T164">
        <v>2</v>
      </c>
      <c r="U164">
        <v>2</v>
      </c>
      <c r="V164">
        <f>River_data[[#This Row],[Dissolved Oxygen Min]]*River_data[[#This Row],[Dissolved Oxygen Max]]/2</f>
        <v>47.699999999999996</v>
      </c>
      <c r="W164">
        <f>River_data[[#This Row],[BOD Min]]*River_data[[#This Row],[BOD Max]]/2</f>
        <v>0.5</v>
      </c>
      <c r="X164">
        <f>AVERAGE(River_data[[#This Row],[pH Max]]-River_data[[#This Row],[pH Min]])</f>
        <v>1.2000000000000002</v>
      </c>
    </row>
    <row r="165" spans="1:24" x14ac:dyDescent="0.3">
      <c r="A165">
        <v>1060</v>
      </c>
      <c r="B165" s="1" t="s">
        <v>158</v>
      </c>
      <c r="C165" s="1" t="s">
        <v>148</v>
      </c>
      <c r="D165">
        <v>12</v>
      </c>
      <c r="E165">
        <v>23</v>
      </c>
      <c r="F165">
        <v>9.6</v>
      </c>
      <c r="G165">
        <v>11</v>
      </c>
      <c r="H165">
        <v>7.1</v>
      </c>
      <c r="I165">
        <v>8.3000000000000007</v>
      </c>
      <c r="J165">
        <v>70</v>
      </c>
      <c r="K165">
        <v>154</v>
      </c>
      <c r="L165">
        <v>1</v>
      </c>
      <c r="M165">
        <v>1</v>
      </c>
      <c r="N165">
        <v>0</v>
      </c>
      <c r="O165">
        <v>0.37</v>
      </c>
      <c r="P165">
        <v>21</v>
      </c>
      <c r="Q165">
        <v>43</v>
      </c>
      <c r="R165">
        <v>26</v>
      </c>
      <c r="S165">
        <v>48</v>
      </c>
      <c r="T165">
        <v>2</v>
      </c>
      <c r="U165">
        <v>2</v>
      </c>
      <c r="V165">
        <f>River_data[[#This Row],[Dissolved Oxygen Min]]*River_data[[#This Row],[Dissolved Oxygen Max]]/2</f>
        <v>52.8</v>
      </c>
      <c r="W165">
        <f>River_data[[#This Row],[BOD Min]]*River_data[[#This Row],[BOD Max]]/2</f>
        <v>0.5</v>
      </c>
      <c r="X165">
        <f>AVERAGE(River_data[[#This Row],[pH Max]]-River_data[[#This Row],[pH Min]])</f>
        <v>1.2000000000000011</v>
      </c>
    </row>
    <row r="166" spans="1:24" x14ac:dyDescent="0.3">
      <c r="A166">
        <v>5777</v>
      </c>
      <c r="B166" s="1" t="s">
        <v>159</v>
      </c>
      <c r="C166" s="1" t="s">
        <v>148</v>
      </c>
      <c r="D166">
        <v>14</v>
      </c>
      <c r="E166">
        <v>28</v>
      </c>
      <c r="F166">
        <v>8.1999999999999993</v>
      </c>
      <c r="G166">
        <v>10.199999999999999</v>
      </c>
      <c r="H166">
        <v>7</v>
      </c>
      <c r="I166">
        <v>8.1999999999999993</v>
      </c>
      <c r="J166">
        <v>90</v>
      </c>
      <c r="K166">
        <v>431</v>
      </c>
      <c r="L166">
        <v>1</v>
      </c>
      <c r="M166">
        <v>1.7</v>
      </c>
      <c r="N166">
        <v>0.32</v>
      </c>
      <c r="O166">
        <v>0.48</v>
      </c>
      <c r="P166">
        <v>27</v>
      </c>
      <c r="Q166">
        <v>84</v>
      </c>
      <c r="R166">
        <v>34</v>
      </c>
      <c r="S166">
        <v>94</v>
      </c>
      <c r="T166">
        <v>2</v>
      </c>
      <c r="U166">
        <v>26</v>
      </c>
      <c r="V166">
        <f>River_data[[#This Row],[Dissolved Oxygen Min]]*River_data[[#This Row],[Dissolved Oxygen Max]]/2</f>
        <v>41.819999999999993</v>
      </c>
      <c r="W166">
        <f>River_data[[#This Row],[BOD Min]]*River_data[[#This Row],[BOD Max]]/2</f>
        <v>0.85</v>
      </c>
      <c r="X166">
        <f>AVERAGE(River_data[[#This Row],[pH Max]]-River_data[[#This Row],[pH Min]])</f>
        <v>1.1999999999999993</v>
      </c>
    </row>
    <row r="167" spans="1:24" x14ac:dyDescent="0.3">
      <c r="A167">
        <v>10147</v>
      </c>
      <c r="B167" s="1" t="s">
        <v>160</v>
      </c>
      <c r="C167" s="1" t="s">
        <v>148</v>
      </c>
      <c r="D167">
        <v>14</v>
      </c>
      <c r="E167">
        <v>22</v>
      </c>
      <c r="F167">
        <v>9.1999999999999993</v>
      </c>
      <c r="G167">
        <v>10.8</v>
      </c>
      <c r="H167">
        <v>7.1</v>
      </c>
      <c r="I167">
        <v>8.5</v>
      </c>
      <c r="J167">
        <v>67</v>
      </c>
      <c r="K167">
        <v>141</v>
      </c>
      <c r="L167">
        <v>1</v>
      </c>
      <c r="M167">
        <v>1.2</v>
      </c>
      <c r="N167">
        <v>0.32</v>
      </c>
      <c r="O167">
        <v>0.39</v>
      </c>
      <c r="P167">
        <v>2</v>
      </c>
      <c r="Q167">
        <v>43</v>
      </c>
      <c r="R167">
        <v>2</v>
      </c>
      <c r="S167">
        <v>49</v>
      </c>
      <c r="T167">
        <v>2</v>
      </c>
      <c r="U167">
        <v>2</v>
      </c>
      <c r="V167">
        <f>River_data[[#This Row],[Dissolved Oxygen Min]]*River_data[[#This Row],[Dissolved Oxygen Max]]/2</f>
        <v>49.68</v>
      </c>
      <c r="W167">
        <f>River_data[[#This Row],[BOD Min]]*River_data[[#This Row],[BOD Max]]/2</f>
        <v>0.6</v>
      </c>
      <c r="X167">
        <f>AVERAGE(River_data[[#This Row],[pH Max]]-River_data[[#This Row],[pH Min]])</f>
        <v>1.4000000000000004</v>
      </c>
    </row>
    <row r="168" spans="1:24" x14ac:dyDescent="0.3">
      <c r="A168">
        <v>2725</v>
      </c>
      <c r="B168" s="1" t="s">
        <v>161</v>
      </c>
      <c r="C168" s="1" t="s">
        <v>148</v>
      </c>
      <c r="D168">
        <v>13</v>
      </c>
      <c r="E168">
        <v>29</v>
      </c>
      <c r="F168">
        <v>8.1999999999999993</v>
      </c>
      <c r="G168">
        <v>10</v>
      </c>
      <c r="H168">
        <v>7.1</v>
      </c>
      <c r="I168">
        <v>8.5</v>
      </c>
      <c r="J168">
        <v>157</v>
      </c>
      <c r="K168">
        <v>325</v>
      </c>
      <c r="L168">
        <v>1.1000000000000001</v>
      </c>
      <c r="M168">
        <v>1.7</v>
      </c>
      <c r="N168">
        <v>0.32</v>
      </c>
      <c r="O168">
        <v>0.38</v>
      </c>
      <c r="P168">
        <v>33</v>
      </c>
      <c r="Q168">
        <v>63</v>
      </c>
      <c r="R168">
        <v>58</v>
      </c>
      <c r="S168">
        <v>94</v>
      </c>
      <c r="T168">
        <v>2</v>
      </c>
      <c r="U168">
        <v>6</v>
      </c>
      <c r="V168">
        <f>River_data[[#This Row],[Dissolved Oxygen Min]]*River_data[[#This Row],[Dissolved Oxygen Max]]/2</f>
        <v>41</v>
      </c>
      <c r="W168">
        <f>River_data[[#This Row],[BOD Min]]*River_data[[#This Row],[BOD Max]]/2</f>
        <v>0.93500000000000005</v>
      </c>
      <c r="X168">
        <f>AVERAGE(River_data[[#This Row],[pH Max]]-River_data[[#This Row],[pH Min]])</f>
        <v>1.4000000000000004</v>
      </c>
    </row>
    <row r="169" spans="1:24" x14ac:dyDescent="0.3">
      <c r="A169">
        <v>10148</v>
      </c>
      <c r="B169" s="1" t="s">
        <v>162</v>
      </c>
      <c r="C169" s="1" t="s">
        <v>148</v>
      </c>
      <c r="D169">
        <v>14.8</v>
      </c>
      <c r="E169">
        <v>26.2</v>
      </c>
      <c r="F169">
        <v>8</v>
      </c>
      <c r="G169">
        <v>10.3</v>
      </c>
      <c r="H169">
        <v>7.3</v>
      </c>
      <c r="I169">
        <v>8.3000000000000007</v>
      </c>
      <c r="J169">
        <v>166</v>
      </c>
      <c r="K169">
        <v>351</v>
      </c>
      <c r="L169">
        <v>1</v>
      </c>
      <c r="M169">
        <v>2</v>
      </c>
      <c r="N169">
        <v>0.32</v>
      </c>
      <c r="O169">
        <v>1.65</v>
      </c>
      <c r="P169">
        <v>21</v>
      </c>
      <c r="Q169">
        <v>79</v>
      </c>
      <c r="R169">
        <v>63</v>
      </c>
      <c r="S169">
        <v>170</v>
      </c>
      <c r="T169">
        <v>9</v>
      </c>
      <c r="U169">
        <v>43</v>
      </c>
      <c r="V169">
        <f>River_data[[#This Row],[Dissolved Oxygen Min]]*River_data[[#This Row],[Dissolved Oxygen Max]]/2</f>
        <v>41.2</v>
      </c>
      <c r="W169">
        <f>River_data[[#This Row],[BOD Min]]*River_data[[#This Row],[BOD Max]]/2</f>
        <v>1</v>
      </c>
      <c r="X169">
        <f>AVERAGE(River_data[[#This Row],[pH Max]]-River_data[[#This Row],[pH Min]])</f>
        <v>1.0000000000000009</v>
      </c>
    </row>
    <row r="170" spans="1:24" x14ac:dyDescent="0.3">
      <c r="A170">
        <v>3997</v>
      </c>
      <c r="B170" s="1" t="s">
        <v>163</v>
      </c>
      <c r="C170" s="1" t="s">
        <v>148</v>
      </c>
      <c r="D170">
        <v>16.8</v>
      </c>
      <c r="E170">
        <v>25.3</v>
      </c>
      <c r="F170">
        <v>7.6</v>
      </c>
      <c r="G170">
        <v>9.8000000000000007</v>
      </c>
      <c r="H170">
        <v>7.3</v>
      </c>
      <c r="I170">
        <v>8.3000000000000007</v>
      </c>
      <c r="J170">
        <v>219</v>
      </c>
      <c r="K170">
        <v>421</v>
      </c>
      <c r="L170">
        <v>1.2</v>
      </c>
      <c r="M170">
        <v>2.6</v>
      </c>
      <c r="N170">
        <v>0.32</v>
      </c>
      <c r="O170">
        <v>1.5</v>
      </c>
      <c r="P170">
        <v>31</v>
      </c>
      <c r="Q170">
        <v>94</v>
      </c>
      <c r="R170">
        <v>79</v>
      </c>
      <c r="S170">
        <v>170</v>
      </c>
      <c r="T170">
        <v>6</v>
      </c>
      <c r="U170">
        <v>46</v>
      </c>
      <c r="V170">
        <f>River_data[[#This Row],[Dissolved Oxygen Min]]*River_data[[#This Row],[Dissolved Oxygen Max]]/2</f>
        <v>37.24</v>
      </c>
      <c r="W170">
        <f>River_data[[#This Row],[BOD Min]]*River_data[[#This Row],[BOD Max]]/2</f>
        <v>1.56</v>
      </c>
      <c r="X170">
        <f>AVERAGE(River_data[[#This Row],[pH Max]]-River_data[[#This Row],[pH Min]])</f>
        <v>1.0000000000000009</v>
      </c>
    </row>
    <row r="171" spans="1:24" x14ac:dyDescent="0.3">
      <c r="A171">
        <v>1061</v>
      </c>
      <c r="B171" s="1" t="s">
        <v>164</v>
      </c>
      <c r="C171" s="1" t="s">
        <v>148</v>
      </c>
      <c r="D171">
        <v>17.899999999999999</v>
      </c>
      <c r="E171">
        <v>26.3</v>
      </c>
      <c r="F171">
        <v>7.1</v>
      </c>
      <c r="G171">
        <v>9.9</v>
      </c>
      <c r="H171">
        <v>7.2</v>
      </c>
      <c r="I171">
        <v>8.5</v>
      </c>
      <c r="J171">
        <v>146</v>
      </c>
      <c r="K171">
        <v>648</v>
      </c>
      <c r="L171">
        <v>1</v>
      </c>
      <c r="M171">
        <v>2.6</v>
      </c>
      <c r="N171">
        <v>0.34</v>
      </c>
      <c r="O171">
        <v>1.49</v>
      </c>
      <c r="P171">
        <v>32</v>
      </c>
      <c r="Q171">
        <v>94</v>
      </c>
      <c r="R171">
        <v>70</v>
      </c>
      <c r="S171">
        <v>210</v>
      </c>
      <c r="T171">
        <v>9</v>
      </c>
      <c r="U171">
        <v>63</v>
      </c>
      <c r="V171">
        <f>River_data[[#This Row],[Dissolved Oxygen Min]]*River_data[[#This Row],[Dissolved Oxygen Max]]/2</f>
        <v>35.144999999999996</v>
      </c>
      <c r="W171">
        <f>River_data[[#This Row],[BOD Min]]*River_data[[#This Row],[BOD Max]]/2</f>
        <v>1.3</v>
      </c>
      <c r="X171">
        <f>AVERAGE(River_data[[#This Row],[pH Max]]-River_data[[#This Row],[pH Min]])</f>
        <v>1.2999999999999998</v>
      </c>
    </row>
    <row r="172" spans="1:24" x14ac:dyDescent="0.3">
      <c r="A172">
        <v>5778</v>
      </c>
      <c r="B172" s="1" t="s">
        <v>165</v>
      </c>
      <c r="C172" s="1" t="s">
        <v>148</v>
      </c>
      <c r="D172">
        <v>18.2</v>
      </c>
      <c r="E172">
        <v>26.4</v>
      </c>
      <c r="F172">
        <v>7.6</v>
      </c>
      <c r="G172">
        <v>9.8000000000000007</v>
      </c>
      <c r="H172">
        <v>7.2</v>
      </c>
      <c r="I172">
        <v>8.4</v>
      </c>
      <c r="J172">
        <v>178</v>
      </c>
      <c r="K172">
        <v>3203</v>
      </c>
      <c r="L172">
        <v>1</v>
      </c>
      <c r="M172">
        <v>2.4</v>
      </c>
      <c r="N172">
        <v>0.33</v>
      </c>
      <c r="O172">
        <v>1.57</v>
      </c>
      <c r="P172">
        <v>24</v>
      </c>
      <c r="Q172">
        <v>94</v>
      </c>
      <c r="R172">
        <v>79</v>
      </c>
      <c r="S172">
        <v>220</v>
      </c>
      <c r="T172">
        <v>11</v>
      </c>
      <c r="U172">
        <v>43</v>
      </c>
      <c r="V172">
        <f>River_data[[#This Row],[Dissolved Oxygen Min]]*River_data[[#This Row],[Dissolved Oxygen Max]]/2</f>
        <v>37.24</v>
      </c>
      <c r="W172">
        <f>River_data[[#This Row],[BOD Min]]*River_data[[#This Row],[BOD Max]]/2</f>
        <v>1.2</v>
      </c>
      <c r="X172">
        <f>AVERAGE(River_data[[#This Row],[pH Max]]-River_data[[#This Row],[pH Min]])</f>
        <v>1.2000000000000002</v>
      </c>
    </row>
    <row r="173" spans="1:24" x14ac:dyDescent="0.3">
      <c r="A173">
        <v>2727</v>
      </c>
      <c r="B173" s="1" t="s">
        <v>166</v>
      </c>
      <c r="C173" s="1" t="s">
        <v>148</v>
      </c>
      <c r="D173">
        <v>14.7</v>
      </c>
      <c r="E173">
        <v>27</v>
      </c>
      <c r="F173">
        <v>7.4</v>
      </c>
      <c r="G173">
        <v>9.6999999999999993</v>
      </c>
      <c r="H173">
        <v>7.4</v>
      </c>
      <c r="I173">
        <v>8.3000000000000007</v>
      </c>
      <c r="J173">
        <v>219</v>
      </c>
      <c r="K173">
        <v>435</v>
      </c>
      <c r="L173">
        <v>1.2</v>
      </c>
      <c r="M173">
        <v>2.4</v>
      </c>
      <c r="N173">
        <v>0.32</v>
      </c>
      <c r="O173">
        <v>1.85</v>
      </c>
      <c r="P173">
        <v>21</v>
      </c>
      <c r="Q173">
        <v>94</v>
      </c>
      <c r="R173">
        <v>79</v>
      </c>
      <c r="S173">
        <v>170</v>
      </c>
      <c r="T173">
        <v>10</v>
      </c>
      <c r="U173">
        <v>63</v>
      </c>
      <c r="V173">
        <f>River_data[[#This Row],[Dissolved Oxygen Min]]*River_data[[#This Row],[Dissolved Oxygen Max]]/2</f>
        <v>35.89</v>
      </c>
      <c r="W173">
        <f>River_data[[#This Row],[BOD Min]]*River_data[[#This Row],[BOD Max]]/2</f>
        <v>1.44</v>
      </c>
      <c r="X173">
        <f>AVERAGE(River_data[[#This Row],[pH Max]]-River_data[[#This Row],[pH Min]])</f>
        <v>0.90000000000000036</v>
      </c>
    </row>
    <row r="174" spans="1:24" x14ac:dyDescent="0.3">
      <c r="A174">
        <v>30005</v>
      </c>
      <c r="B174" s="1" t="s">
        <v>167</v>
      </c>
      <c r="C174" s="1" t="s">
        <v>148</v>
      </c>
      <c r="D174">
        <v>21.5</v>
      </c>
      <c r="E174">
        <v>30.7</v>
      </c>
      <c r="F174">
        <v>7</v>
      </c>
      <c r="G174">
        <v>8.6</v>
      </c>
      <c r="H174">
        <v>7.3</v>
      </c>
      <c r="I174">
        <v>8</v>
      </c>
      <c r="J174">
        <v>165</v>
      </c>
      <c r="K174">
        <v>273</v>
      </c>
      <c r="L174">
        <v>1.2</v>
      </c>
      <c r="M174">
        <v>2.7</v>
      </c>
      <c r="N174">
        <v>0.32</v>
      </c>
      <c r="O174">
        <v>0.41</v>
      </c>
      <c r="P174">
        <v>2</v>
      </c>
      <c r="Q174">
        <v>490000</v>
      </c>
      <c r="R174">
        <v>2000</v>
      </c>
      <c r="S174">
        <v>1100000</v>
      </c>
      <c r="V174">
        <f>River_data[[#This Row],[Dissolved Oxygen Min]]*River_data[[#This Row],[Dissolved Oxygen Max]]/2</f>
        <v>30.099999999999998</v>
      </c>
      <c r="W174">
        <f>River_data[[#This Row],[BOD Min]]*River_data[[#This Row],[BOD Max]]/2</f>
        <v>1.62</v>
      </c>
      <c r="X174">
        <f>AVERAGE(River_data[[#This Row],[pH Max]]-River_data[[#This Row],[pH Min]])</f>
        <v>0.70000000000000018</v>
      </c>
    </row>
    <row r="175" spans="1:24" x14ac:dyDescent="0.3">
      <c r="A175">
        <v>30006</v>
      </c>
      <c r="B175" s="1" t="s">
        <v>168</v>
      </c>
      <c r="C175" s="1" t="s">
        <v>169</v>
      </c>
      <c r="D175">
        <v>16</v>
      </c>
      <c r="E175">
        <v>16</v>
      </c>
      <c r="F175">
        <v>7.2</v>
      </c>
      <c r="G175">
        <v>8.5</v>
      </c>
      <c r="H175">
        <v>7.6</v>
      </c>
      <c r="I175">
        <v>8.1</v>
      </c>
      <c r="J175">
        <v>180</v>
      </c>
      <c r="K175">
        <v>289</v>
      </c>
      <c r="L175">
        <v>1</v>
      </c>
      <c r="M175">
        <v>2</v>
      </c>
      <c r="N175">
        <v>0.32</v>
      </c>
      <c r="O175">
        <v>0.72</v>
      </c>
      <c r="P175">
        <v>330</v>
      </c>
      <c r="Q175">
        <v>93000</v>
      </c>
      <c r="R175">
        <v>780</v>
      </c>
      <c r="S175">
        <v>1400000</v>
      </c>
      <c r="T175">
        <v>13</v>
      </c>
      <c r="U175">
        <v>1300</v>
      </c>
      <c r="V175">
        <f>River_data[[#This Row],[Dissolved Oxygen Min]]*River_data[[#This Row],[Dissolved Oxygen Max]]/2</f>
        <v>30.6</v>
      </c>
      <c r="W175">
        <f>River_data[[#This Row],[BOD Min]]*River_data[[#This Row],[BOD Max]]/2</f>
        <v>1</v>
      </c>
      <c r="X175">
        <f>AVERAGE(River_data[[#This Row],[pH Max]]-River_data[[#This Row],[pH Min]])</f>
        <v>0.5</v>
      </c>
    </row>
    <row r="176" spans="1:24" x14ac:dyDescent="0.3">
      <c r="A176">
        <v>10149</v>
      </c>
      <c r="B176" s="1" t="s">
        <v>170</v>
      </c>
      <c r="C176" s="1" t="s">
        <v>169</v>
      </c>
      <c r="D176">
        <v>12</v>
      </c>
      <c r="E176">
        <v>30</v>
      </c>
      <c r="F176">
        <v>8.5</v>
      </c>
      <c r="G176">
        <v>12</v>
      </c>
      <c r="H176">
        <v>7</v>
      </c>
      <c r="I176">
        <v>7.6</v>
      </c>
      <c r="J176">
        <v>170</v>
      </c>
      <c r="K176">
        <v>252</v>
      </c>
      <c r="L176">
        <v>1</v>
      </c>
      <c r="M176">
        <v>2.6</v>
      </c>
      <c r="N176">
        <v>0</v>
      </c>
      <c r="O176">
        <v>0.49</v>
      </c>
      <c r="P176">
        <v>170</v>
      </c>
      <c r="Q176">
        <v>920</v>
      </c>
      <c r="R176">
        <v>350</v>
      </c>
      <c r="S176">
        <v>1600</v>
      </c>
      <c r="T176">
        <v>94</v>
      </c>
      <c r="U176">
        <v>280</v>
      </c>
      <c r="V176">
        <f>River_data[[#This Row],[Dissolved Oxygen Min]]*River_data[[#This Row],[Dissolved Oxygen Max]]/2</f>
        <v>51</v>
      </c>
      <c r="W176">
        <f>River_data[[#This Row],[BOD Min]]*River_data[[#This Row],[BOD Max]]/2</f>
        <v>1.3</v>
      </c>
      <c r="X176">
        <f>AVERAGE(River_data[[#This Row],[pH Max]]-River_data[[#This Row],[pH Min]])</f>
        <v>0.59999999999999964</v>
      </c>
    </row>
    <row r="177" spans="1:24" x14ac:dyDescent="0.3">
      <c r="A177">
        <v>1062</v>
      </c>
      <c r="B177" s="1" t="s">
        <v>171</v>
      </c>
      <c r="C177" s="1" t="s">
        <v>169</v>
      </c>
      <c r="D177">
        <v>12</v>
      </c>
      <c r="E177">
        <v>30</v>
      </c>
      <c r="F177">
        <v>8.1999999999999993</v>
      </c>
      <c r="G177">
        <v>11.7</v>
      </c>
      <c r="H177">
        <v>7.3</v>
      </c>
      <c r="I177">
        <v>7.6</v>
      </c>
      <c r="J177">
        <v>174</v>
      </c>
      <c r="K177">
        <v>255</v>
      </c>
      <c r="L177">
        <v>1</v>
      </c>
      <c r="M177">
        <v>2.9</v>
      </c>
      <c r="N177">
        <v>0.3</v>
      </c>
      <c r="O177">
        <v>0.5</v>
      </c>
      <c r="P177">
        <v>240</v>
      </c>
      <c r="Q177">
        <v>1300</v>
      </c>
      <c r="R177">
        <v>540</v>
      </c>
      <c r="S177">
        <v>2200</v>
      </c>
      <c r="T177">
        <v>130</v>
      </c>
      <c r="U177">
        <v>540</v>
      </c>
      <c r="V177">
        <f>River_data[[#This Row],[Dissolved Oxygen Min]]*River_data[[#This Row],[Dissolved Oxygen Max]]/2</f>
        <v>47.969999999999992</v>
      </c>
      <c r="W177">
        <f>River_data[[#This Row],[BOD Min]]*River_data[[#This Row],[BOD Max]]/2</f>
        <v>1.45</v>
      </c>
      <c r="X177">
        <f>AVERAGE(River_data[[#This Row],[pH Max]]-River_data[[#This Row],[pH Min]])</f>
        <v>0.29999999999999982</v>
      </c>
    </row>
    <row r="178" spans="1:24" x14ac:dyDescent="0.3">
      <c r="A178">
        <v>2488</v>
      </c>
      <c r="B178" s="1" t="s">
        <v>172</v>
      </c>
      <c r="C178" s="1" t="s">
        <v>169</v>
      </c>
      <c r="D178">
        <v>16</v>
      </c>
      <c r="E178">
        <v>32</v>
      </c>
      <c r="F178">
        <v>7.1</v>
      </c>
      <c r="G178">
        <v>11</v>
      </c>
      <c r="H178">
        <v>7.1</v>
      </c>
      <c r="I178">
        <v>7.3</v>
      </c>
      <c r="J178">
        <v>94</v>
      </c>
      <c r="K178">
        <v>198</v>
      </c>
      <c r="L178">
        <v>1</v>
      </c>
      <c r="M178">
        <v>2.7</v>
      </c>
      <c r="N178">
        <v>0</v>
      </c>
      <c r="O178">
        <v>0</v>
      </c>
      <c r="P178">
        <v>170</v>
      </c>
      <c r="Q178">
        <v>920</v>
      </c>
      <c r="R178">
        <v>350</v>
      </c>
      <c r="S178">
        <v>1600</v>
      </c>
      <c r="V178">
        <f>River_data[[#This Row],[Dissolved Oxygen Min]]*River_data[[#This Row],[Dissolved Oxygen Max]]/2</f>
        <v>39.049999999999997</v>
      </c>
      <c r="W178">
        <f>River_data[[#This Row],[BOD Min]]*River_data[[#This Row],[BOD Max]]/2</f>
        <v>1.35</v>
      </c>
      <c r="X178">
        <f>AVERAGE(River_data[[#This Row],[pH Max]]-River_data[[#This Row],[pH Min]])</f>
        <v>0.20000000000000018</v>
      </c>
    </row>
    <row r="179" spans="1:24" x14ac:dyDescent="0.3">
      <c r="A179">
        <v>2489</v>
      </c>
      <c r="B179" s="1" t="s">
        <v>173</v>
      </c>
      <c r="C179" s="1" t="s">
        <v>169</v>
      </c>
      <c r="D179">
        <v>16</v>
      </c>
      <c r="E179">
        <v>31</v>
      </c>
      <c r="F179">
        <v>7.2</v>
      </c>
      <c r="G179">
        <v>10.6</v>
      </c>
      <c r="H179">
        <v>7.1</v>
      </c>
      <c r="I179">
        <v>7.4</v>
      </c>
      <c r="J179">
        <v>101</v>
      </c>
      <c r="K179">
        <v>179</v>
      </c>
      <c r="L179">
        <v>1</v>
      </c>
      <c r="M179">
        <v>2.6</v>
      </c>
      <c r="N179">
        <v>0</v>
      </c>
      <c r="O179">
        <v>0</v>
      </c>
      <c r="P179">
        <v>170</v>
      </c>
      <c r="Q179">
        <v>1100</v>
      </c>
      <c r="R179">
        <v>350</v>
      </c>
      <c r="S179">
        <v>1700</v>
      </c>
      <c r="V179">
        <f>River_data[[#This Row],[Dissolved Oxygen Min]]*River_data[[#This Row],[Dissolved Oxygen Max]]/2</f>
        <v>38.159999999999997</v>
      </c>
      <c r="W179">
        <f>River_data[[#This Row],[BOD Min]]*River_data[[#This Row],[BOD Max]]/2</f>
        <v>1.3</v>
      </c>
      <c r="X179">
        <f>AVERAGE(River_data[[#This Row],[pH Max]]-River_data[[#This Row],[pH Min]])</f>
        <v>0.30000000000000071</v>
      </c>
    </row>
    <row r="180" spans="1:24" x14ac:dyDescent="0.3">
      <c r="A180">
        <v>1145</v>
      </c>
      <c r="B180" s="1" t="s">
        <v>174</v>
      </c>
      <c r="C180" s="1" t="s">
        <v>169</v>
      </c>
      <c r="D180">
        <v>17</v>
      </c>
      <c r="E180">
        <v>32</v>
      </c>
      <c r="F180">
        <v>7.3</v>
      </c>
      <c r="G180">
        <v>10.4</v>
      </c>
      <c r="H180">
        <v>7</v>
      </c>
      <c r="I180">
        <v>7.4</v>
      </c>
      <c r="J180">
        <v>106</v>
      </c>
      <c r="K180">
        <v>177</v>
      </c>
      <c r="L180">
        <v>1</v>
      </c>
      <c r="M180">
        <v>2.8</v>
      </c>
      <c r="N180">
        <v>0</v>
      </c>
      <c r="O180">
        <v>0</v>
      </c>
      <c r="P180">
        <v>170</v>
      </c>
      <c r="Q180">
        <v>930</v>
      </c>
      <c r="R180">
        <v>350</v>
      </c>
      <c r="S180">
        <v>1700</v>
      </c>
      <c r="V180">
        <f>River_data[[#This Row],[Dissolved Oxygen Min]]*River_data[[#This Row],[Dissolved Oxygen Max]]/2</f>
        <v>37.96</v>
      </c>
      <c r="W180">
        <f>River_data[[#This Row],[BOD Min]]*River_data[[#This Row],[BOD Max]]/2</f>
        <v>1.4</v>
      </c>
      <c r="X180">
        <f>AVERAGE(River_data[[#This Row],[pH Max]]-River_data[[#This Row],[pH Min]])</f>
        <v>0.40000000000000036</v>
      </c>
    </row>
    <row r="181" spans="1:24" x14ac:dyDescent="0.3">
      <c r="A181">
        <v>2490</v>
      </c>
      <c r="B181" s="1" t="s">
        <v>175</v>
      </c>
      <c r="C181" s="1" t="s">
        <v>169</v>
      </c>
      <c r="D181">
        <v>18</v>
      </c>
      <c r="E181">
        <v>38</v>
      </c>
      <c r="F181">
        <v>8.4</v>
      </c>
      <c r="G181">
        <v>10.9</v>
      </c>
      <c r="H181">
        <v>7.4</v>
      </c>
      <c r="I181">
        <v>7.7</v>
      </c>
      <c r="J181">
        <v>143</v>
      </c>
      <c r="K181">
        <v>16350</v>
      </c>
      <c r="L181">
        <v>1.1000000000000001</v>
      </c>
      <c r="M181">
        <v>1.6</v>
      </c>
      <c r="N181">
        <v>0.3</v>
      </c>
      <c r="O181">
        <v>4.2</v>
      </c>
      <c r="P181">
        <v>2</v>
      </c>
      <c r="Q181">
        <v>480</v>
      </c>
      <c r="R181">
        <v>260</v>
      </c>
      <c r="S181">
        <v>630</v>
      </c>
      <c r="T181">
        <v>2</v>
      </c>
      <c r="U181">
        <v>350</v>
      </c>
      <c r="V181">
        <f>River_data[[#This Row],[Dissolved Oxygen Min]]*River_data[[#This Row],[Dissolved Oxygen Max]]/2</f>
        <v>45.78</v>
      </c>
      <c r="W181">
        <f>River_data[[#This Row],[BOD Min]]*River_data[[#This Row],[BOD Max]]/2</f>
        <v>0.88000000000000012</v>
      </c>
      <c r="X181">
        <f>AVERAGE(River_data[[#This Row],[pH Max]]-River_data[[#This Row],[pH Min]])</f>
        <v>0.29999999999999982</v>
      </c>
    </row>
    <row r="182" spans="1:24" x14ac:dyDescent="0.3">
      <c r="A182">
        <v>10151</v>
      </c>
      <c r="B182" s="1" t="s">
        <v>176</v>
      </c>
      <c r="C182" s="1" t="s">
        <v>169</v>
      </c>
      <c r="D182">
        <v>14</v>
      </c>
      <c r="E182">
        <v>31</v>
      </c>
      <c r="F182">
        <v>6.5</v>
      </c>
      <c r="G182">
        <v>10.9</v>
      </c>
      <c r="H182">
        <v>8</v>
      </c>
      <c r="I182">
        <v>8.5</v>
      </c>
      <c r="J182">
        <v>181</v>
      </c>
      <c r="K182">
        <v>346</v>
      </c>
      <c r="L182">
        <v>2.6</v>
      </c>
      <c r="M182">
        <v>3.7</v>
      </c>
      <c r="N182">
        <v>0</v>
      </c>
      <c r="O182">
        <v>0</v>
      </c>
      <c r="P182">
        <v>1100</v>
      </c>
      <c r="Q182">
        <v>2600</v>
      </c>
      <c r="R182">
        <v>1600</v>
      </c>
      <c r="S182">
        <v>3300</v>
      </c>
      <c r="T182">
        <v>2</v>
      </c>
      <c r="U182">
        <v>2</v>
      </c>
      <c r="V182">
        <f>River_data[[#This Row],[Dissolved Oxygen Min]]*River_data[[#This Row],[Dissolved Oxygen Max]]/2</f>
        <v>35.425000000000004</v>
      </c>
      <c r="W182">
        <f>River_data[[#This Row],[BOD Min]]*River_data[[#This Row],[BOD Max]]/2</f>
        <v>4.8100000000000005</v>
      </c>
      <c r="X182">
        <f>AVERAGE(River_data[[#This Row],[pH Max]]-River_data[[#This Row],[pH Min]])</f>
        <v>0.5</v>
      </c>
    </row>
    <row r="183" spans="1:24" x14ac:dyDescent="0.3">
      <c r="A183">
        <v>1063</v>
      </c>
      <c r="B183" s="1" t="s">
        <v>177</v>
      </c>
      <c r="C183" s="1" t="s">
        <v>169</v>
      </c>
      <c r="D183">
        <v>14</v>
      </c>
      <c r="E183">
        <v>30</v>
      </c>
      <c r="F183">
        <v>6.1</v>
      </c>
      <c r="G183">
        <v>10.9</v>
      </c>
      <c r="H183">
        <v>8.1</v>
      </c>
      <c r="I183">
        <v>8.6</v>
      </c>
      <c r="J183">
        <v>199</v>
      </c>
      <c r="K183">
        <v>366</v>
      </c>
      <c r="L183">
        <v>3</v>
      </c>
      <c r="M183">
        <v>3.9</v>
      </c>
      <c r="N183">
        <v>0</v>
      </c>
      <c r="O183">
        <v>0</v>
      </c>
      <c r="P183">
        <v>900</v>
      </c>
      <c r="Q183">
        <v>2700</v>
      </c>
      <c r="R183">
        <v>1600</v>
      </c>
      <c r="S183">
        <v>4300</v>
      </c>
      <c r="T183">
        <v>2</v>
      </c>
      <c r="U183">
        <v>2</v>
      </c>
      <c r="V183">
        <f>River_data[[#This Row],[Dissolved Oxygen Min]]*River_data[[#This Row],[Dissolved Oxygen Max]]/2</f>
        <v>33.244999999999997</v>
      </c>
      <c r="W183">
        <f>River_data[[#This Row],[BOD Min]]*River_data[[#This Row],[BOD Max]]/2</f>
        <v>5.85</v>
      </c>
      <c r="X183">
        <f>AVERAGE(River_data[[#This Row],[pH Max]]-River_data[[#This Row],[pH Min]])</f>
        <v>0.5</v>
      </c>
    </row>
    <row r="184" spans="1:24" x14ac:dyDescent="0.3">
      <c r="A184">
        <v>1066</v>
      </c>
      <c r="B184" s="1" t="s">
        <v>178</v>
      </c>
      <c r="C184" s="1" t="s">
        <v>169</v>
      </c>
      <c r="D184">
        <v>14</v>
      </c>
      <c r="E184">
        <v>31</v>
      </c>
      <c r="F184">
        <v>6.3</v>
      </c>
      <c r="G184">
        <v>11.6</v>
      </c>
      <c r="H184">
        <v>8</v>
      </c>
      <c r="I184">
        <v>8.5</v>
      </c>
      <c r="J184">
        <v>218</v>
      </c>
      <c r="K184">
        <v>388</v>
      </c>
      <c r="L184">
        <v>3.2</v>
      </c>
      <c r="M184">
        <v>6.3</v>
      </c>
      <c r="N184">
        <v>0</v>
      </c>
      <c r="O184">
        <v>0</v>
      </c>
      <c r="P184">
        <v>252</v>
      </c>
      <c r="Q184">
        <v>3400</v>
      </c>
      <c r="R184">
        <v>2700</v>
      </c>
      <c r="S184">
        <v>4900</v>
      </c>
      <c r="T184">
        <v>2</v>
      </c>
      <c r="U184">
        <v>2</v>
      </c>
      <c r="V184">
        <f>River_data[[#This Row],[Dissolved Oxygen Min]]*River_data[[#This Row],[Dissolved Oxygen Max]]/2</f>
        <v>36.54</v>
      </c>
      <c r="W184">
        <f>River_data[[#This Row],[BOD Min]]*River_data[[#This Row],[BOD Max]]/2</f>
        <v>10.08</v>
      </c>
      <c r="X184">
        <f>AVERAGE(River_data[[#This Row],[pH Max]]-River_data[[#This Row],[pH Min]])</f>
        <v>0.5</v>
      </c>
    </row>
    <row r="185" spans="1:24" x14ac:dyDescent="0.3">
      <c r="A185">
        <v>5709</v>
      </c>
      <c r="B185" s="1" t="s">
        <v>179</v>
      </c>
      <c r="C185" s="1" t="s">
        <v>169</v>
      </c>
      <c r="D185">
        <v>18</v>
      </c>
      <c r="E185">
        <v>23</v>
      </c>
      <c r="F185">
        <v>6.6</v>
      </c>
      <c r="G185">
        <v>10.1</v>
      </c>
      <c r="H185">
        <v>8.1</v>
      </c>
      <c r="I185">
        <v>8.5</v>
      </c>
      <c r="J185">
        <v>274</v>
      </c>
      <c r="K185">
        <v>376</v>
      </c>
      <c r="L185">
        <v>3</v>
      </c>
      <c r="M185">
        <v>3.3</v>
      </c>
      <c r="N185">
        <v>0</v>
      </c>
      <c r="O185">
        <v>0</v>
      </c>
      <c r="P185">
        <v>2300</v>
      </c>
      <c r="Q185">
        <v>2700</v>
      </c>
      <c r="R185">
        <v>3100</v>
      </c>
      <c r="S185">
        <v>4600</v>
      </c>
      <c r="V185">
        <f>River_data[[#This Row],[Dissolved Oxygen Min]]*River_data[[#This Row],[Dissolved Oxygen Max]]/2</f>
        <v>33.33</v>
      </c>
      <c r="W185">
        <f>River_data[[#This Row],[BOD Min]]*River_data[[#This Row],[BOD Max]]/2</f>
        <v>4.9499999999999993</v>
      </c>
      <c r="X185">
        <f>AVERAGE(River_data[[#This Row],[pH Max]]-River_data[[#This Row],[pH Min]])</f>
        <v>0.40000000000000036</v>
      </c>
    </row>
    <row r="186" spans="1:24" x14ac:dyDescent="0.3">
      <c r="A186">
        <v>1146</v>
      </c>
      <c r="B186" s="1" t="s">
        <v>180</v>
      </c>
      <c r="C186" s="1" t="s">
        <v>169</v>
      </c>
      <c r="D186">
        <v>14</v>
      </c>
      <c r="E186">
        <v>31</v>
      </c>
      <c r="F186">
        <v>6.2</v>
      </c>
      <c r="G186">
        <v>11.2</v>
      </c>
      <c r="H186">
        <v>7.8</v>
      </c>
      <c r="I186">
        <v>8.5</v>
      </c>
      <c r="J186">
        <v>224</v>
      </c>
      <c r="K186">
        <v>356</v>
      </c>
      <c r="L186">
        <v>3</v>
      </c>
      <c r="M186">
        <v>11.6</v>
      </c>
      <c r="N186">
        <v>0</v>
      </c>
      <c r="O186">
        <v>0</v>
      </c>
      <c r="P186">
        <v>1700</v>
      </c>
      <c r="Q186">
        <v>2700</v>
      </c>
      <c r="R186">
        <v>3100</v>
      </c>
      <c r="S186">
        <v>4300</v>
      </c>
      <c r="T186">
        <v>2</v>
      </c>
      <c r="U186">
        <v>45</v>
      </c>
      <c r="V186">
        <f>River_data[[#This Row],[Dissolved Oxygen Min]]*River_data[[#This Row],[Dissolved Oxygen Max]]/2</f>
        <v>34.72</v>
      </c>
      <c r="W186">
        <f>River_data[[#This Row],[BOD Min]]*River_data[[#This Row],[BOD Max]]/2</f>
        <v>17.399999999999999</v>
      </c>
      <c r="X186">
        <f>AVERAGE(River_data[[#This Row],[pH Max]]-River_data[[#This Row],[pH Min]])</f>
        <v>0.70000000000000018</v>
      </c>
    </row>
    <row r="187" spans="1:24" x14ac:dyDescent="0.3">
      <c r="A187">
        <v>10154</v>
      </c>
      <c r="B187" s="1" t="s">
        <v>181</v>
      </c>
      <c r="C187" s="1" t="s">
        <v>169</v>
      </c>
      <c r="D187">
        <v>14</v>
      </c>
      <c r="E187">
        <v>31</v>
      </c>
      <c r="F187">
        <v>6.1</v>
      </c>
      <c r="G187">
        <v>10.8</v>
      </c>
      <c r="H187">
        <v>7.8</v>
      </c>
      <c r="I187">
        <v>8.5</v>
      </c>
      <c r="J187">
        <v>226</v>
      </c>
      <c r="K187">
        <v>441</v>
      </c>
      <c r="L187">
        <v>3</v>
      </c>
      <c r="M187">
        <v>4.3</v>
      </c>
      <c r="N187">
        <v>0</v>
      </c>
      <c r="O187">
        <v>0</v>
      </c>
      <c r="P187">
        <v>2100</v>
      </c>
      <c r="Q187">
        <v>4900</v>
      </c>
      <c r="R187">
        <v>3100</v>
      </c>
      <c r="S187">
        <v>7900</v>
      </c>
      <c r="T187">
        <v>2</v>
      </c>
      <c r="U187">
        <v>78</v>
      </c>
      <c r="V187">
        <f>River_data[[#This Row],[Dissolved Oxygen Min]]*River_data[[#This Row],[Dissolved Oxygen Max]]/2</f>
        <v>32.94</v>
      </c>
      <c r="W187">
        <f>River_data[[#This Row],[BOD Min]]*River_data[[#This Row],[BOD Max]]/2</f>
        <v>6.4499999999999993</v>
      </c>
      <c r="X187">
        <f>AVERAGE(River_data[[#This Row],[pH Max]]-River_data[[#This Row],[pH Min]])</f>
        <v>0.70000000000000018</v>
      </c>
    </row>
    <row r="188" spans="1:24" x14ac:dyDescent="0.3">
      <c r="A188">
        <v>1067</v>
      </c>
      <c r="B188" s="1" t="s">
        <v>182</v>
      </c>
      <c r="C188" s="1" t="s">
        <v>169</v>
      </c>
      <c r="D188">
        <v>14</v>
      </c>
      <c r="E188">
        <v>31</v>
      </c>
      <c r="F188">
        <v>6.1</v>
      </c>
      <c r="G188">
        <v>11.1</v>
      </c>
      <c r="H188">
        <v>7.5</v>
      </c>
      <c r="I188">
        <v>8.6999999999999993</v>
      </c>
      <c r="J188">
        <v>214</v>
      </c>
      <c r="K188">
        <v>443</v>
      </c>
      <c r="L188">
        <v>3</v>
      </c>
      <c r="M188">
        <v>4.4000000000000004</v>
      </c>
      <c r="N188">
        <v>0</v>
      </c>
      <c r="O188">
        <v>0</v>
      </c>
      <c r="P188">
        <v>2000</v>
      </c>
      <c r="Q188">
        <v>3100</v>
      </c>
      <c r="R188">
        <v>3100</v>
      </c>
      <c r="S188">
        <v>5000</v>
      </c>
      <c r="T188">
        <v>2</v>
      </c>
      <c r="U188">
        <v>20</v>
      </c>
      <c r="V188">
        <f>River_data[[#This Row],[Dissolved Oxygen Min]]*River_data[[#This Row],[Dissolved Oxygen Max]]/2</f>
        <v>33.854999999999997</v>
      </c>
      <c r="W188">
        <f>River_data[[#This Row],[BOD Min]]*River_data[[#This Row],[BOD Max]]/2</f>
        <v>6.6000000000000005</v>
      </c>
      <c r="X188">
        <f>AVERAGE(River_data[[#This Row],[pH Max]]-River_data[[#This Row],[pH Min]])</f>
        <v>1.1999999999999993</v>
      </c>
    </row>
    <row r="189" spans="1:24" x14ac:dyDescent="0.3">
      <c r="A189">
        <v>10155</v>
      </c>
      <c r="B189" s="1" t="s">
        <v>183</v>
      </c>
      <c r="C189" s="1" t="s">
        <v>169</v>
      </c>
      <c r="D189">
        <v>14</v>
      </c>
      <c r="E189">
        <v>31</v>
      </c>
      <c r="F189">
        <v>6</v>
      </c>
      <c r="G189">
        <v>10.9</v>
      </c>
      <c r="H189">
        <v>7.5</v>
      </c>
      <c r="I189">
        <v>8.9</v>
      </c>
      <c r="J189">
        <v>232</v>
      </c>
      <c r="K189">
        <v>465</v>
      </c>
      <c r="L189">
        <v>3.2</v>
      </c>
      <c r="M189">
        <v>4.5999999999999996</v>
      </c>
      <c r="N189">
        <v>0</v>
      </c>
      <c r="O189">
        <v>0</v>
      </c>
      <c r="P189">
        <v>2100</v>
      </c>
      <c r="Q189">
        <v>3400</v>
      </c>
      <c r="R189">
        <v>3800</v>
      </c>
      <c r="S189">
        <v>6300</v>
      </c>
      <c r="T189">
        <v>2</v>
      </c>
      <c r="U189">
        <v>20</v>
      </c>
      <c r="V189">
        <f>River_data[[#This Row],[Dissolved Oxygen Min]]*River_data[[#This Row],[Dissolved Oxygen Max]]/2</f>
        <v>32.700000000000003</v>
      </c>
      <c r="W189">
        <f>River_data[[#This Row],[BOD Min]]*River_data[[#This Row],[BOD Max]]/2</f>
        <v>7.3599999999999994</v>
      </c>
      <c r="X189">
        <f>AVERAGE(River_data[[#This Row],[pH Max]]-River_data[[#This Row],[pH Min]])</f>
        <v>1.4000000000000004</v>
      </c>
    </row>
    <row r="190" spans="1:24" x14ac:dyDescent="0.3">
      <c r="A190">
        <v>10156</v>
      </c>
      <c r="B190" s="1" t="s">
        <v>184</v>
      </c>
      <c r="C190" s="1" t="s">
        <v>169</v>
      </c>
      <c r="D190">
        <v>14</v>
      </c>
      <c r="E190">
        <v>31</v>
      </c>
      <c r="F190">
        <v>5.9</v>
      </c>
      <c r="G190">
        <v>10.6</v>
      </c>
      <c r="H190">
        <v>7.8</v>
      </c>
      <c r="I190">
        <v>8.8000000000000007</v>
      </c>
      <c r="J190">
        <v>223</v>
      </c>
      <c r="K190">
        <v>431</v>
      </c>
      <c r="L190">
        <v>3.4</v>
      </c>
      <c r="M190">
        <v>13.2</v>
      </c>
      <c r="N190">
        <v>0</v>
      </c>
      <c r="O190">
        <v>0</v>
      </c>
      <c r="P190">
        <v>2200</v>
      </c>
      <c r="Q190">
        <v>4600</v>
      </c>
      <c r="R190">
        <v>3100</v>
      </c>
      <c r="S190">
        <v>7000</v>
      </c>
      <c r="T190">
        <v>2</v>
      </c>
      <c r="U190">
        <v>2</v>
      </c>
      <c r="V190">
        <f>River_data[[#This Row],[Dissolved Oxygen Min]]*River_data[[#This Row],[Dissolved Oxygen Max]]/2</f>
        <v>31.27</v>
      </c>
      <c r="W190">
        <f>River_data[[#This Row],[BOD Min]]*River_data[[#This Row],[BOD Max]]/2</f>
        <v>22.439999999999998</v>
      </c>
      <c r="X190">
        <f>AVERAGE(River_data[[#This Row],[pH Max]]-River_data[[#This Row],[pH Min]])</f>
        <v>1.0000000000000009</v>
      </c>
    </row>
    <row r="191" spans="1:24" x14ac:dyDescent="0.3">
      <c r="A191">
        <v>10157</v>
      </c>
      <c r="B191" s="1" t="s">
        <v>185</v>
      </c>
      <c r="C191" s="1" t="s">
        <v>169</v>
      </c>
      <c r="D191">
        <v>14</v>
      </c>
      <c r="E191">
        <v>30</v>
      </c>
      <c r="F191">
        <v>6</v>
      </c>
      <c r="G191">
        <v>10.4</v>
      </c>
      <c r="H191">
        <v>7.7</v>
      </c>
      <c r="I191">
        <v>8.5</v>
      </c>
      <c r="J191">
        <v>266</v>
      </c>
      <c r="K191">
        <v>630</v>
      </c>
      <c r="L191">
        <v>3.4</v>
      </c>
      <c r="M191">
        <v>4.9000000000000004</v>
      </c>
      <c r="N191">
        <v>0</v>
      </c>
      <c r="O191">
        <v>0</v>
      </c>
      <c r="P191">
        <v>2100</v>
      </c>
      <c r="Q191">
        <v>7900</v>
      </c>
      <c r="R191">
        <v>3400</v>
      </c>
      <c r="S191">
        <v>13000</v>
      </c>
      <c r="T191">
        <v>20</v>
      </c>
      <c r="U191">
        <v>20</v>
      </c>
      <c r="V191">
        <f>River_data[[#This Row],[Dissolved Oxygen Min]]*River_data[[#This Row],[Dissolved Oxygen Max]]/2</f>
        <v>31.200000000000003</v>
      </c>
      <c r="W191">
        <f>River_data[[#This Row],[BOD Min]]*River_data[[#This Row],[BOD Max]]/2</f>
        <v>8.33</v>
      </c>
      <c r="X191">
        <f>AVERAGE(River_data[[#This Row],[pH Max]]-River_data[[#This Row],[pH Min]])</f>
        <v>0.79999999999999982</v>
      </c>
    </row>
    <row r="192" spans="1:24" x14ac:dyDescent="0.3">
      <c r="A192">
        <v>1068</v>
      </c>
      <c r="B192" s="1" t="s">
        <v>186</v>
      </c>
      <c r="C192" s="1" t="s">
        <v>169</v>
      </c>
      <c r="D192">
        <v>14</v>
      </c>
      <c r="E192">
        <v>31</v>
      </c>
      <c r="F192">
        <v>5.6</v>
      </c>
      <c r="G192">
        <v>10.199999999999999</v>
      </c>
      <c r="H192">
        <v>7.4</v>
      </c>
      <c r="I192">
        <v>8.6</v>
      </c>
      <c r="J192">
        <v>269</v>
      </c>
      <c r="K192">
        <v>645</v>
      </c>
      <c r="L192">
        <v>3.7</v>
      </c>
      <c r="M192">
        <v>14.8</v>
      </c>
      <c r="N192">
        <v>0</v>
      </c>
      <c r="O192">
        <v>0</v>
      </c>
      <c r="P192">
        <v>4100</v>
      </c>
      <c r="Q192">
        <v>17000</v>
      </c>
      <c r="R192">
        <v>7800</v>
      </c>
      <c r="S192">
        <v>20000</v>
      </c>
      <c r="T192">
        <v>2</v>
      </c>
      <c r="U192">
        <v>2</v>
      </c>
      <c r="V192">
        <f>River_data[[#This Row],[Dissolved Oxygen Min]]*River_data[[#This Row],[Dissolved Oxygen Max]]/2</f>
        <v>28.559999999999995</v>
      </c>
      <c r="W192">
        <f>River_data[[#This Row],[BOD Min]]*River_data[[#This Row],[BOD Max]]/2</f>
        <v>27.380000000000003</v>
      </c>
      <c r="X192">
        <f>AVERAGE(River_data[[#This Row],[pH Max]]-River_data[[#This Row],[pH Min]])</f>
        <v>1.1999999999999993</v>
      </c>
    </row>
    <row r="193" spans="1:24" x14ac:dyDescent="0.3">
      <c r="A193">
        <v>5710</v>
      </c>
      <c r="B193" s="1" t="s">
        <v>187</v>
      </c>
      <c r="C193" s="1" t="s">
        <v>169</v>
      </c>
      <c r="D193">
        <v>15</v>
      </c>
      <c r="E193">
        <v>23</v>
      </c>
      <c r="F193">
        <v>6.1</v>
      </c>
      <c r="G193">
        <v>10.4</v>
      </c>
      <c r="H193">
        <v>7.8</v>
      </c>
      <c r="I193">
        <v>8.4</v>
      </c>
      <c r="J193">
        <v>232</v>
      </c>
      <c r="K193">
        <v>560</v>
      </c>
      <c r="L193">
        <v>3.4</v>
      </c>
      <c r="M193">
        <v>3.8</v>
      </c>
      <c r="N193">
        <v>0</v>
      </c>
      <c r="O193">
        <v>0</v>
      </c>
      <c r="P193">
        <v>2300</v>
      </c>
      <c r="Q193">
        <v>4300</v>
      </c>
      <c r="R193">
        <v>4100</v>
      </c>
      <c r="S193">
        <v>7000</v>
      </c>
      <c r="V193">
        <f>River_data[[#This Row],[Dissolved Oxygen Min]]*River_data[[#This Row],[Dissolved Oxygen Max]]/2</f>
        <v>31.72</v>
      </c>
      <c r="W193">
        <f>River_data[[#This Row],[BOD Min]]*River_data[[#This Row],[BOD Max]]/2</f>
        <v>6.46</v>
      </c>
      <c r="X193">
        <f>AVERAGE(River_data[[#This Row],[pH Max]]-River_data[[#This Row],[pH Min]])</f>
        <v>0.60000000000000053</v>
      </c>
    </row>
    <row r="194" spans="1:24" x14ac:dyDescent="0.3">
      <c r="A194">
        <v>5711</v>
      </c>
      <c r="B194" s="1" t="s">
        <v>188</v>
      </c>
      <c r="C194" s="1" t="s">
        <v>169</v>
      </c>
      <c r="D194">
        <v>26.9</v>
      </c>
      <c r="E194">
        <v>29.8</v>
      </c>
      <c r="F194">
        <v>7.5</v>
      </c>
      <c r="G194">
        <v>8.6</v>
      </c>
      <c r="H194">
        <v>7.8</v>
      </c>
      <c r="I194">
        <v>8.3000000000000007</v>
      </c>
      <c r="J194">
        <v>253</v>
      </c>
      <c r="K194">
        <v>269</v>
      </c>
      <c r="L194">
        <v>2.4</v>
      </c>
      <c r="M194">
        <v>2.7</v>
      </c>
      <c r="N194">
        <v>0.62</v>
      </c>
      <c r="O194">
        <v>0.67</v>
      </c>
      <c r="P194">
        <v>610</v>
      </c>
      <c r="Q194">
        <v>680</v>
      </c>
      <c r="R194">
        <v>1500</v>
      </c>
      <c r="S194">
        <v>2000</v>
      </c>
      <c r="V194">
        <f>River_data[[#This Row],[Dissolved Oxygen Min]]*River_data[[#This Row],[Dissolved Oxygen Max]]/2</f>
        <v>32.25</v>
      </c>
      <c r="W194">
        <f>River_data[[#This Row],[BOD Min]]*River_data[[#This Row],[BOD Max]]/2</f>
        <v>3.24</v>
      </c>
      <c r="X194">
        <f>AVERAGE(River_data[[#This Row],[pH Max]]-River_data[[#This Row],[pH Min]])</f>
        <v>0.50000000000000089</v>
      </c>
    </row>
    <row r="195" spans="1:24" x14ac:dyDescent="0.3">
      <c r="A195">
        <v>1147</v>
      </c>
      <c r="B195" s="1" t="s">
        <v>189</v>
      </c>
      <c r="C195" s="1" t="s">
        <v>169</v>
      </c>
      <c r="D195">
        <v>21</v>
      </c>
      <c r="E195">
        <v>26</v>
      </c>
      <c r="F195">
        <v>3</v>
      </c>
      <c r="G195">
        <v>10.5</v>
      </c>
      <c r="H195">
        <v>7.7</v>
      </c>
      <c r="I195">
        <v>8</v>
      </c>
      <c r="J195">
        <v>268</v>
      </c>
      <c r="K195">
        <v>377</v>
      </c>
      <c r="L195">
        <v>2.5</v>
      </c>
      <c r="M195">
        <v>3.9</v>
      </c>
      <c r="N195">
        <v>0.78</v>
      </c>
      <c r="O195">
        <v>0.98</v>
      </c>
      <c r="P195">
        <v>1300</v>
      </c>
      <c r="Q195">
        <v>2400</v>
      </c>
      <c r="R195">
        <v>2200</v>
      </c>
      <c r="S195">
        <v>3900</v>
      </c>
      <c r="T195">
        <v>8</v>
      </c>
      <c r="U195">
        <v>22</v>
      </c>
      <c r="V195">
        <f>River_data[[#This Row],[Dissolved Oxygen Min]]*River_data[[#This Row],[Dissolved Oxygen Max]]/2</f>
        <v>15.75</v>
      </c>
      <c r="W195">
        <f>River_data[[#This Row],[BOD Min]]*River_data[[#This Row],[BOD Max]]/2</f>
        <v>4.875</v>
      </c>
      <c r="X195">
        <f>AVERAGE(River_data[[#This Row],[pH Max]]-River_data[[#This Row],[pH Min]])</f>
        <v>0.29999999999999982</v>
      </c>
    </row>
    <row r="196" spans="1:24" x14ac:dyDescent="0.3">
      <c r="A196">
        <v>2498</v>
      </c>
      <c r="B196" s="1" t="s">
        <v>190</v>
      </c>
      <c r="C196" s="1" t="s">
        <v>169</v>
      </c>
      <c r="D196">
        <v>21</v>
      </c>
      <c r="E196">
        <v>26</v>
      </c>
      <c r="F196">
        <v>0.3</v>
      </c>
      <c r="G196">
        <v>10.6</v>
      </c>
      <c r="H196">
        <v>7.8</v>
      </c>
      <c r="I196">
        <v>8</v>
      </c>
      <c r="J196">
        <v>265</v>
      </c>
      <c r="K196">
        <v>373</v>
      </c>
      <c r="L196">
        <v>2.4</v>
      </c>
      <c r="M196">
        <v>3.8</v>
      </c>
      <c r="N196">
        <v>0.76</v>
      </c>
      <c r="O196">
        <v>0.88</v>
      </c>
      <c r="P196">
        <v>1100</v>
      </c>
      <c r="Q196">
        <v>2300</v>
      </c>
      <c r="R196">
        <v>2200</v>
      </c>
      <c r="S196">
        <v>3400</v>
      </c>
      <c r="T196">
        <v>7</v>
      </c>
      <c r="U196">
        <v>22</v>
      </c>
      <c r="V196">
        <f>River_data[[#This Row],[Dissolved Oxygen Min]]*River_data[[#This Row],[Dissolved Oxygen Max]]/2</f>
        <v>1.5899999999999999</v>
      </c>
      <c r="W196">
        <f>River_data[[#This Row],[BOD Min]]*River_data[[#This Row],[BOD Max]]/2</f>
        <v>4.5599999999999996</v>
      </c>
      <c r="X196">
        <f>AVERAGE(River_data[[#This Row],[pH Max]]-River_data[[#This Row],[pH Min]])</f>
        <v>0.20000000000000018</v>
      </c>
    </row>
    <row r="197" spans="1:24" x14ac:dyDescent="0.3">
      <c r="A197">
        <v>2487</v>
      </c>
      <c r="B197" s="1" t="s">
        <v>191</v>
      </c>
      <c r="C197" s="1" t="s">
        <v>169</v>
      </c>
      <c r="D197">
        <v>20.5</v>
      </c>
      <c r="E197">
        <v>30.7</v>
      </c>
      <c r="F197">
        <v>6.9</v>
      </c>
      <c r="G197">
        <v>9.3000000000000007</v>
      </c>
      <c r="H197">
        <v>7.7</v>
      </c>
      <c r="I197">
        <v>8.4</v>
      </c>
      <c r="J197">
        <v>246</v>
      </c>
      <c r="K197">
        <v>286</v>
      </c>
      <c r="L197">
        <v>2.6</v>
      </c>
      <c r="M197">
        <v>2.9</v>
      </c>
      <c r="N197">
        <v>0.64</v>
      </c>
      <c r="O197">
        <v>0.74</v>
      </c>
      <c r="P197">
        <v>400</v>
      </c>
      <c r="Q197">
        <v>680</v>
      </c>
      <c r="R197">
        <v>1300</v>
      </c>
      <c r="S197">
        <v>2000</v>
      </c>
      <c r="V197">
        <f>River_data[[#This Row],[Dissolved Oxygen Min]]*River_data[[#This Row],[Dissolved Oxygen Max]]/2</f>
        <v>32.085000000000001</v>
      </c>
      <c r="W197">
        <f>River_data[[#This Row],[BOD Min]]*River_data[[#This Row],[BOD Max]]/2</f>
        <v>3.77</v>
      </c>
      <c r="X197">
        <f>AVERAGE(River_data[[#This Row],[pH Max]]-River_data[[#This Row],[pH Min]])</f>
        <v>0.70000000000000018</v>
      </c>
    </row>
    <row r="198" spans="1:24" x14ac:dyDescent="0.3">
      <c r="A198">
        <v>5713</v>
      </c>
      <c r="B198" s="1" t="s">
        <v>192</v>
      </c>
      <c r="C198" s="1" t="s">
        <v>169</v>
      </c>
      <c r="D198">
        <v>24</v>
      </c>
      <c r="E198">
        <v>25</v>
      </c>
      <c r="F198">
        <v>7.8</v>
      </c>
      <c r="G198">
        <v>8.6</v>
      </c>
      <c r="H198">
        <v>7.8</v>
      </c>
      <c r="I198">
        <v>7.9</v>
      </c>
      <c r="J198">
        <v>271</v>
      </c>
      <c r="K198">
        <v>334</v>
      </c>
      <c r="L198">
        <v>3.1</v>
      </c>
      <c r="M198">
        <v>3.2</v>
      </c>
      <c r="N198">
        <v>0.76</v>
      </c>
      <c r="O198">
        <v>0.78</v>
      </c>
      <c r="P198">
        <v>1700</v>
      </c>
      <c r="Q198">
        <v>2200</v>
      </c>
      <c r="R198">
        <v>2700</v>
      </c>
      <c r="S198">
        <v>3200</v>
      </c>
      <c r="T198">
        <v>14</v>
      </c>
      <c r="U198">
        <v>20</v>
      </c>
      <c r="V198">
        <f>River_data[[#This Row],[Dissolved Oxygen Min]]*River_data[[#This Row],[Dissolved Oxygen Max]]/2</f>
        <v>33.54</v>
      </c>
      <c r="W198">
        <f>River_data[[#This Row],[BOD Min]]*River_data[[#This Row],[BOD Max]]/2</f>
        <v>4.9600000000000009</v>
      </c>
      <c r="X198">
        <f>AVERAGE(River_data[[#This Row],[pH Max]]-River_data[[#This Row],[pH Min]])</f>
        <v>0.10000000000000053</v>
      </c>
    </row>
    <row r="199" spans="1:24" x14ac:dyDescent="0.3">
      <c r="A199">
        <v>1046</v>
      </c>
      <c r="B199" s="1" t="s">
        <v>193</v>
      </c>
      <c r="C199" s="1" t="s">
        <v>169</v>
      </c>
      <c r="D199">
        <v>20.399999999999999</v>
      </c>
      <c r="E199">
        <v>30.8</v>
      </c>
      <c r="F199">
        <v>7.2</v>
      </c>
      <c r="G199">
        <v>9.1999999999999993</v>
      </c>
      <c r="H199">
        <v>7.8</v>
      </c>
      <c r="I199">
        <v>8.4</v>
      </c>
      <c r="J199">
        <v>220</v>
      </c>
      <c r="K199">
        <v>273</v>
      </c>
      <c r="L199">
        <v>2.7</v>
      </c>
      <c r="M199">
        <v>2.9</v>
      </c>
      <c r="N199">
        <v>0.6</v>
      </c>
      <c r="O199">
        <v>0.76</v>
      </c>
      <c r="P199">
        <v>450</v>
      </c>
      <c r="Q199">
        <v>920</v>
      </c>
      <c r="R199">
        <v>1700</v>
      </c>
      <c r="S199">
        <v>2400</v>
      </c>
      <c r="V199">
        <f>River_data[[#This Row],[Dissolved Oxygen Min]]*River_data[[#This Row],[Dissolved Oxygen Max]]/2</f>
        <v>33.119999999999997</v>
      </c>
      <c r="W199">
        <f>River_data[[#This Row],[BOD Min]]*River_data[[#This Row],[BOD Max]]/2</f>
        <v>3.915</v>
      </c>
      <c r="X199">
        <f>AVERAGE(River_data[[#This Row],[pH Max]]-River_data[[#This Row],[pH Min]])</f>
        <v>0.60000000000000053</v>
      </c>
    </row>
    <row r="200" spans="1:24" x14ac:dyDescent="0.3">
      <c r="A200">
        <v>1049</v>
      </c>
      <c r="B200" s="1" t="s">
        <v>194</v>
      </c>
      <c r="C200" s="1" t="s">
        <v>169</v>
      </c>
      <c r="D200">
        <v>20.399999999999999</v>
      </c>
      <c r="E200">
        <v>30.8</v>
      </c>
      <c r="F200">
        <v>7.1</v>
      </c>
      <c r="G200">
        <v>9.1</v>
      </c>
      <c r="H200">
        <v>7.8</v>
      </c>
      <c r="I200">
        <v>8.4</v>
      </c>
      <c r="J200">
        <v>258</v>
      </c>
      <c r="K200">
        <v>292</v>
      </c>
      <c r="L200">
        <v>2.6</v>
      </c>
      <c r="M200">
        <v>3</v>
      </c>
      <c r="N200">
        <v>0.53</v>
      </c>
      <c r="O200">
        <v>0.73</v>
      </c>
      <c r="P200">
        <v>680</v>
      </c>
      <c r="Q200">
        <v>930</v>
      </c>
      <c r="R200">
        <v>2200</v>
      </c>
      <c r="S200">
        <v>2700</v>
      </c>
      <c r="V200">
        <f>River_data[[#This Row],[Dissolved Oxygen Min]]*River_data[[#This Row],[Dissolved Oxygen Max]]/2</f>
        <v>32.305</v>
      </c>
      <c r="W200">
        <f>River_data[[#This Row],[BOD Min]]*River_data[[#This Row],[BOD Max]]/2</f>
        <v>3.9000000000000004</v>
      </c>
      <c r="X200">
        <f>AVERAGE(River_data[[#This Row],[pH Max]]-River_data[[#This Row],[pH Min]])</f>
        <v>0.60000000000000053</v>
      </c>
    </row>
    <row r="201" spans="1:24" x14ac:dyDescent="0.3">
      <c r="A201">
        <v>5714</v>
      </c>
      <c r="B201" s="1" t="s">
        <v>195</v>
      </c>
      <c r="C201" s="1" t="s">
        <v>169</v>
      </c>
      <c r="D201">
        <v>25.8</v>
      </c>
      <c r="E201">
        <v>29.7</v>
      </c>
      <c r="F201">
        <v>7.5</v>
      </c>
      <c r="G201">
        <v>8.6999999999999993</v>
      </c>
      <c r="H201">
        <v>7.7</v>
      </c>
      <c r="I201">
        <v>8.1</v>
      </c>
      <c r="J201">
        <v>260</v>
      </c>
      <c r="K201">
        <v>284</v>
      </c>
      <c r="L201">
        <v>2.5</v>
      </c>
      <c r="M201">
        <v>2.9</v>
      </c>
      <c r="N201">
        <v>0.56999999999999995</v>
      </c>
      <c r="O201">
        <v>0.7</v>
      </c>
      <c r="P201">
        <v>610</v>
      </c>
      <c r="Q201">
        <v>780</v>
      </c>
      <c r="R201">
        <v>1500</v>
      </c>
      <c r="S201">
        <v>2100</v>
      </c>
      <c r="V201">
        <f>River_data[[#This Row],[Dissolved Oxygen Min]]*River_data[[#This Row],[Dissolved Oxygen Max]]/2</f>
        <v>32.625</v>
      </c>
      <c r="W201">
        <f>River_data[[#This Row],[BOD Min]]*River_data[[#This Row],[BOD Max]]/2</f>
        <v>3.625</v>
      </c>
      <c r="X201">
        <f>AVERAGE(River_data[[#This Row],[pH Max]]-River_data[[#This Row],[pH Min]])</f>
        <v>0.39999999999999947</v>
      </c>
    </row>
    <row r="202" spans="1:24" x14ac:dyDescent="0.3">
      <c r="A202">
        <v>10158</v>
      </c>
      <c r="B202" s="1" t="s">
        <v>196</v>
      </c>
      <c r="C202" s="1" t="s">
        <v>169</v>
      </c>
      <c r="D202">
        <v>20.5</v>
      </c>
      <c r="E202">
        <v>30.7</v>
      </c>
      <c r="F202">
        <v>7.2</v>
      </c>
      <c r="G202">
        <v>8.9</v>
      </c>
      <c r="H202">
        <v>7.4</v>
      </c>
      <c r="I202">
        <v>8.4</v>
      </c>
      <c r="J202">
        <v>260</v>
      </c>
      <c r="K202">
        <v>297</v>
      </c>
      <c r="L202">
        <v>2.6</v>
      </c>
      <c r="M202">
        <v>3</v>
      </c>
      <c r="N202">
        <v>0.61</v>
      </c>
      <c r="O202">
        <v>0.72</v>
      </c>
      <c r="P202">
        <v>610</v>
      </c>
      <c r="Q202">
        <v>920</v>
      </c>
      <c r="R202">
        <v>1500</v>
      </c>
      <c r="S202">
        <v>2500</v>
      </c>
      <c r="V202">
        <f>River_data[[#This Row],[Dissolved Oxygen Min]]*River_data[[#This Row],[Dissolved Oxygen Max]]/2</f>
        <v>32.04</v>
      </c>
      <c r="W202">
        <f>River_data[[#This Row],[BOD Min]]*River_data[[#This Row],[BOD Max]]/2</f>
        <v>3.9000000000000004</v>
      </c>
      <c r="X202">
        <f>AVERAGE(River_data[[#This Row],[pH Max]]-River_data[[#This Row],[pH Min]])</f>
        <v>1</v>
      </c>
    </row>
    <row r="203" spans="1:24" x14ac:dyDescent="0.3">
      <c r="A203">
        <v>2485</v>
      </c>
      <c r="B203" s="1" t="s">
        <v>197</v>
      </c>
      <c r="C203" s="1" t="s">
        <v>169</v>
      </c>
      <c r="D203">
        <v>22.5</v>
      </c>
      <c r="E203">
        <v>31</v>
      </c>
      <c r="F203">
        <v>7.3</v>
      </c>
      <c r="G203">
        <v>9.4</v>
      </c>
      <c r="H203">
        <v>7.9</v>
      </c>
      <c r="I203">
        <v>8.4</v>
      </c>
      <c r="J203">
        <v>324</v>
      </c>
      <c r="K203">
        <v>542</v>
      </c>
      <c r="L203">
        <v>2.2000000000000002</v>
      </c>
      <c r="M203">
        <v>2.9</v>
      </c>
      <c r="N203">
        <v>0.62</v>
      </c>
      <c r="O203">
        <v>124</v>
      </c>
      <c r="P203">
        <v>700</v>
      </c>
      <c r="Q203">
        <v>1300</v>
      </c>
      <c r="R203">
        <v>1200</v>
      </c>
      <c r="S203">
        <v>2000</v>
      </c>
      <c r="T203">
        <v>380</v>
      </c>
      <c r="U203">
        <v>700</v>
      </c>
      <c r="V203">
        <f>River_data[[#This Row],[Dissolved Oxygen Min]]*River_data[[#This Row],[Dissolved Oxygen Max]]/2</f>
        <v>34.31</v>
      </c>
      <c r="W203">
        <f>River_data[[#This Row],[BOD Min]]*River_data[[#This Row],[BOD Max]]/2</f>
        <v>3.19</v>
      </c>
      <c r="X203">
        <f>AVERAGE(River_data[[#This Row],[pH Max]]-River_data[[#This Row],[pH Min]])</f>
        <v>0.5</v>
      </c>
    </row>
    <row r="204" spans="1:24" x14ac:dyDescent="0.3">
      <c r="A204">
        <v>2486</v>
      </c>
      <c r="B204" s="1" t="s">
        <v>198</v>
      </c>
      <c r="C204" s="1" t="s">
        <v>169</v>
      </c>
      <c r="D204">
        <v>22.5</v>
      </c>
      <c r="E204">
        <v>31</v>
      </c>
      <c r="F204">
        <v>6.6</v>
      </c>
      <c r="G204">
        <v>8.5</v>
      </c>
      <c r="H204">
        <v>7.6</v>
      </c>
      <c r="I204">
        <v>8</v>
      </c>
      <c r="J204">
        <v>332</v>
      </c>
      <c r="K204">
        <v>552</v>
      </c>
      <c r="L204">
        <v>3.3</v>
      </c>
      <c r="M204">
        <v>4.5</v>
      </c>
      <c r="N204">
        <v>0</v>
      </c>
      <c r="O204">
        <v>1.96</v>
      </c>
      <c r="P204">
        <v>7900</v>
      </c>
      <c r="Q204">
        <v>14000</v>
      </c>
      <c r="R204">
        <v>13000</v>
      </c>
      <c r="S204">
        <v>22000</v>
      </c>
      <c r="T204">
        <v>3400</v>
      </c>
      <c r="U204">
        <v>9400</v>
      </c>
      <c r="V204">
        <f>River_data[[#This Row],[Dissolved Oxygen Min]]*River_data[[#This Row],[Dissolved Oxygen Max]]/2</f>
        <v>28.049999999999997</v>
      </c>
      <c r="W204">
        <f>River_data[[#This Row],[BOD Min]]*River_data[[#This Row],[BOD Max]]/2</f>
        <v>7.4249999999999998</v>
      </c>
      <c r="X204">
        <f>AVERAGE(River_data[[#This Row],[pH Max]]-River_data[[#This Row],[pH Min]])</f>
        <v>0.40000000000000036</v>
      </c>
    </row>
    <row r="205" spans="1:24" x14ac:dyDescent="0.3">
      <c r="A205">
        <v>10153</v>
      </c>
      <c r="B205" s="1" t="s">
        <v>199</v>
      </c>
      <c r="C205" s="1" t="s">
        <v>169</v>
      </c>
      <c r="D205">
        <v>23</v>
      </c>
      <c r="E205">
        <v>31.5</v>
      </c>
      <c r="F205">
        <v>7</v>
      </c>
      <c r="G205">
        <v>9</v>
      </c>
      <c r="H205">
        <v>7.7</v>
      </c>
      <c r="I205">
        <v>8.1999999999999993</v>
      </c>
      <c r="J205">
        <v>328</v>
      </c>
      <c r="K205">
        <v>548</v>
      </c>
      <c r="L205">
        <v>2.8</v>
      </c>
      <c r="M205">
        <v>3.8</v>
      </c>
      <c r="N205">
        <v>0.68</v>
      </c>
      <c r="O205">
        <v>1.88</v>
      </c>
      <c r="P205">
        <v>5800</v>
      </c>
      <c r="Q205">
        <v>11000</v>
      </c>
      <c r="R205">
        <v>8400</v>
      </c>
      <c r="S205">
        <v>17000</v>
      </c>
      <c r="T205">
        <v>630</v>
      </c>
      <c r="U205">
        <v>6300</v>
      </c>
      <c r="V205">
        <f>River_data[[#This Row],[Dissolved Oxygen Min]]*River_data[[#This Row],[Dissolved Oxygen Max]]/2</f>
        <v>31.5</v>
      </c>
      <c r="W205">
        <f>River_data[[#This Row],[BOD Min]]*River_data[[#This Row],[BOD Max]]/2</f>
        <v>5.3199999999999994</v>
      </c>
      <c r="X205">
        <f>AVERAGE(River_data[[#This Row],[pH Max]]-River_data[[#This Row],[pH Min]])</f>
        <v>0.49999999999999911</v>
      </c>
    </row>
    <row r="206" spans="1:24" x14ac:dyDescent="0.3">
      <c r="A206">
        <v>1070</v>
      </c>
      <c r="B206" s="1" t="s">
        <v>200</v>
      </c>
      <c r="C206" s="1" t="s">
        <v>169</v>
      </c>
      <c r="D206">
        <v>22.5</v>
      </c>
      <c r="E206">
        <v>31</v>
      </c>
      <c r="F206">
        <v>7.2</v>
      </c>
      <c r="G206">
        <v>9.6</v>
      </c>
      <c r="H206">
        <v>7.8</v>
      </c>
      <c r="I206">
        <v>8.4</v>
      </c>
      <c r="J206">
        <v>320</v>
      </c>
      <c r="K206">
        <v>542</v>
      </c>
      <c r="L206">
        <v>2.1</v>
      </c>
      <c r="M206">
        <v>2.8</v>
      </c>
      <c r="N206">
        <v>0.57999999999999996</v>
      </c>
      <c r="O206">
        <v>1.56</v>
      </c>
      <c r="P206">
        <v>680</v>
      </c>
      <c r="Q206">
        <v>1100</v>
      </c>
      <c r="R206">
        <v>1100</v>
      </c>
      <c r="S206">
        <v>2000</v>
      </c>
      <c r="T206">
        <v>310</v>
      </c>
      <c r="U206">
        <v>550</v>
      </c>
      <c r="V206">
        <f>River_data[[#This Row],[Dissolved Oxygen Min]]*River_data[[#This Row],[Dissolved Oxygen Max]]/2</f>
        <v>34.56</v>
      </c>
      <c r="W206">
        <f>River_data[[#This Row],[BOD Min]]*River_data[[#This Row],[BOD Max]]/2</f>
        <v>2.94</v>
      </c>
      <c r="X206">
        <f>AVERAGE(River_data[[#This Row],[pH Max]]-River_data[[#This Row],[pH Min]])</f>
        <v>0.60000000000000053</v>
      </c>
    </row>
    <row r="207" spans="1:24" x14ac:dyDescent="0.3">
      <c r="A207">
        <v>1071</v>
      </c>
      <c r="B207" s="1" t="s">
        <v>201</v>
      </c>
      <c r="C207" s="1" t="s">
        <v>169</v>
      </c>
      <c r="D207">
        <v>22.5</v>
      </c>
      <c r="E207">
        <v>31</v>
      </c>
      <c r="F207">
        <v>6.7</v>
      </c>
      <c r="G207">
        <v>8.5</v>
      </c>
      <c r="H207">
        <v>7.6</v>
      </c>
      <c r="I207">
        <v>8.1</v>
      </c>
      <c r="J207">
        <v>332</v>
      </c>
      <c r="K207">
        <v>550</v>
      </c>
      <c r="L207">
        <v>3.3</v>
      </c>
      <c r="M207">
        <v>4.5</v>
      </c>
      <c r="N207">
        <v>0.72</v>
      </c>
      <c r="O207">
        <v>2.25</v>
      </c>
      <c r="P207">
        <v>7900</v>
      </c>
      <c r="Q207">
        <v>17000</v>
      </c>
      <c r="R207">
        <v>14000</v>
      </c>
      <c r="S207">
        <v>23000</v>
      </c>
      <c r="T207">
        <v>4900</v>
      </c>
      <c r="U207">
        <v>9200</v>
      </c>
      <c r="V207">
        <f>River_data[[#This Row],[Dissolved Oxygen Min]]*River_data[[#This Row],[Dissolved Oxygen Max]]/2</f>
        <v>28.475000000000001</v>
      </c>
      <c r="W207">
        <f>River_data[[#This Row],[BOD Min]]*River_data[[#This Row],[BOD Max]]/2</f>
        <v>7.4249999999999998</v>
      </c>
      <c r="X207">
        <f>AVERAGE(River_data[[#This Row],[pH Max]]-River_data[[#This Row],[pH Min]])</f>
        <v>0.5</v>
      </c>
    </row>
    <row r="208" spans="1:24" x14ac:dyDescent="0.3">
      <c r="A208">
        <v>5715</v>
      </c>
      <c r="B208" s="1" t="s">
        <v>202</v>
      </c>
      <c r="C208" s="1" t="s">
        <v>169</v>
      </c>
      <c r="D208">
        <v>27</v>
      </c>
      <c r="E208">
        <v>29</v>
      </c>
      <c r="F208">
        <v>7</v>
      </c>
      <c r="G208">
        <v>7.8</v>
      </c>
      <c r="H208">
        <v>7.7</v>
      </c>
      <c r="I208">
        <v>8</v>
      </c>
      <c r="J208">
        <v>328</v>
      </c>
      <c r="K208">
        <v>540</v>
      </c>
      <c r="L208">
        <v>3.2</v>
      </c>
      <c r="M208">
        <v>4.2</v>
      </c>
      <c r="N208">
        <v>0.68</v>
      </c>
      <c r="O208">
        <v>1.86</v>
      </c>
      <c r="P208">
        <v>6300</v>
      </c>
      <c r="Q208">
        <v>11000</v>
      </c>
      <c r="R208">
        <v>9400</v>
      </c>
      <c r="S208">
        <v>17000</v>
      </c>
      <c r="T208">
        <v>4600</v>
      </c>
      <c r="U208">
        <v>6300</v>
      </c>
      <c r="V208">
        <f>River_data[[#This Row],[Dissolved Oxygen Min]]*River_data[[#This Row],[Dissolved Oxygen Max]]/2</f>
        <v>27.3</v>
      </c>
      <c r="W208">
        <f>River_data[[#This Row],[BOD Min]]*River_data[[#This Row],[BOD Max]]/2</f>
        <v>6.7200000000000006</v>
      </c>
      <c r="X208">
        <f>AVERAGE(River_data[[#This Row],[pH Max]]-River_data[[#This Row],[pH Min]])</f>
        <v>0.29999999999999982</v>
      </c>
    </row>
    <row r="209" spans="1:24" x14ac:dyDescent="0.3">
      <c r="A209">
        <v>10152</v>
      </c>
      <c r="B209" s="1" t="s">
        <v>203</v>
      </c>
      <c r="C209" s="1" t="s">
        <v>169</v>
      </c>
      <c r="D209">
        <v>23</v>
      </c>
      <c r="E209">
        <v>33.5</v>
      </c>
      <c r="F209">
        <v>7</v>
      </c>
      <c r="G209">
        <v>8.8000000000000007</v>
      </c>
      <c r="H209">
        <v>7.8</v>
      </c>
      <c r="I209">
        <v>8.1999999999999993</v>
      </c>
      <c r="J209">
        <v>324</v>
      </c>
      <c r="K209">
        <v>546</v>
      </c>
      <c r="L209">
        <v>2.8</v>
      </c>
      <c r="M209">
        <v>3.8</v>
      </c>
      <c r="N209">
        <v>0.65</v>
      </c>
      <c r="O209">
        <v>1.98</v>
      </c>
      <c r="P209">
        <v>4600</v>
      </c>
      <c r="Q209">
        <v>11000</v>
      </c>
      <c r="R209">
        <v>8400</v>
      </c>
      <c r="S209">
        <v>17000</v>
      </c>
      <c r="T209">
        <v>4100</v>
      </c>
      <c r="U209">
        <v>9800</v>
      </c>
      <c r="V209">
        <f>River_data[[#This Row],[Dissolved Oxygen Min]]*River_data[[#This Row],[Dissolved Oxygen Max]]/2</f>
        <v>30.800000000000004</v>
      </c>
      <c r="W209">
        <f>River_data[[#This Row],[BOD Min]]*River_data[[#This Row],[BOD Max]]/2</f>
        <v>5.3199999999999994</v>
      </c>
      <c r="X209">
        <f>AVERAGE(River_data[[#This Row],[pH Max]]-River_data[[#This Row],[pH Min]])</f>
        <v>0.39999999999999947</v>
      </c>
    </row>
    <row r="210" spans="1:24" x14ac:dyDescent="0.3">
      <c r="A210">
        <v>5716</v>
      </c>
      <c r="B210" s="1" t="s">
        <v>204</v>
      </c>
      <c r="C210" s="1" t="s">
        <v>169</v>
      </c>
      <c r="D210">
        <v>27</v>
      </c>
      <c r="E210">
        <v>29</v>
      </c>
      <c r="F210">
        <v>7.4</v>
      </c>
      <c r="G210">
        <v>8.4</v>
      </c>
      <c r="H210">
        <v>7.3</v>
      </c>
      <c r="I210">
        <v>8.1999999999999993</v>
      </c>
      <c r="J210">
        <v>320</v>
      </c>
      <c r="K210">
        <v>536</v>
      </c>
      <c r="L210">
        <v>2.8</v>
      </c>
      <c r="M210">
        <v>3.6</v>
      </c>
      <c r="N210">
        <v>0.6</v>
      </c>
      <c r="O210">
        <v>1.76</v>
      </c>
      <c r="P210">
        <v>4600</v>
      </c>
      <c r="Q210">
        <v>7000</v>
      </c>
      <c r="R210">
        <v>6300</v>
      </c>
      <c r="S210">
        <v>11000</v>
      </c>
      <c r="T210">
        <v>2700</v>
      </c>
      <c r="U210">
        <v>4900</v>
      </c>
      <c r="V210">
        <f>River_data[[#This Row],[Dissolved Oxygen Min]]*River_data[[#This Row],[Dissolved Oxygen Max]]/2</f>
        <v>31.080000000000002</v>
      </c>
      <c r="W210">
        <f>River_data[[#This Row],[BOD Min]]*River_data[[#This Row],[BOD Max]]/2</f>
        <v>5.04</v>
      </c>
      <c r="X210">
        <f>AVERAGE(River_data[[#This Row],[pH Max]]-River_data[[#This Row],[pH Min]])</f>
        <v>0.89999999999999947</v>
      </c>
    </row>
    <row r="211" spans="1:24" x14ac:dyDescent="0.3">
      <c r="A211">
        <v>1073</v>
      </c>
      <c r="B211" s="1" t="s">
        <v>205</v>
      </c>
      <c r="C211" s="1" t="s">
        <v>169</v>
      </c>
      <c r="D211">
        <v>23</v>
      </c>
      <c r="E211">
        <v>31.5</v>
      </c>
      <c r="F211">
        <v>6.5</v>
      </c>
      <c r="G211">
        <v>8.1999999999999993</v>
      </c>
      <c r="H211">
        <v>7.7</v>
      </c>
      <c r="I211">
        <v>8</v>
      </c>
      <c r="J211">
        <v>336</v>
      </c>
      <c r="K211">
        <v>768</v>
      </c>
      <c r="L211">
        <v>3.5</v>
      </c>
      <c r="M211">
        <v>4.7</v>
      </c>
      <c r="N211">
        <v>0.78</v>
      </c>
      <c r="O211">
        <v>2.3199999999999998</v>
      </c>
      <c r="P211">
        <v>9400</v>
      </c>
      <c r="Q211">
        <v>17000</v>
      </c>
      <c r="R211">
        <v>15000</v>
      </c>
      <c r="S211">
        <v>26000</v>
      </c>
      <c r="T211">
        <v>6300</v>
      </c>
      <c r="U211">
        <v>13000</v>
      </c>
      <c r="V211">
        <f>River_data[[#This Row],[Dissolved Oxygen Min]]*River_data[[#This Row],[Dissolved Oxygen Max]]/2</f>
        <v>26.65</v>
      </c>
      <c r="W211">
        <f>River_data[[#This Row],[BOD Min]]*River_data[[#This Row],[BOD Max]]/2</f>
        <v>8.2249999999999996</v>
      </c>
      <c r="X211">
        <f>AVERAGE(River_data[[#This Row],[pH Max]]-River_data[[#This Row],[pH Min]])</f>
        <v>0.29999999999999982</v>
      </c>
    </row>
    <row r="212" spans="1:24" x14ac:dyDescent="0.3">
      <c r="A212">
        <v>10113</v>
      </c>
      <c r="B212" s="1" t="s">
        <v>206</v>
      </c>
      <c r="C212" s="1" t="s">
        <v>207</v>
      </c>
      <c r="D212">
        <v>16</v>
      </c>
      <c r="E212">
        <v>33</v>
      </c>
      <c r="F212">
        <v>6.9</v>
      </c>
      <c r="G212">
        <v>8.8000000000000007</v>
      </c>
      <c r="H212">
        <v>7.2</v>
      </c>
      <c r="I212">
        <v>8.1999999999999993</v>
      </c>
      <c r="J212">
        <v>225</v>
      </c>
      <c r="K212">
        <v>617</v>
      </c>
      <c r="L212">
        <v>1</v>
      </c>
      <c r="M212">
        <v>2.5</v>
      </c>
      <c r="N212">
        <v>0.3</v>
      </c>
      <c r="O212">
        <v>0.3</v>
      </c>
      <c r="P212">
        <v>780</v>
      </c>
      <c r="Q212">
        <v>92000</v>
      </c>
      <c r="R212">
        <v>2300</v>
      </c>
      <c r="S212">
        <v>160000</v>
      </c>
      <c r="T212">
        <v>2</v>
      </c>
      <c r="U212">
        <v>490</v>
      </c>
      <c r="V212">
        <f>River_data[[#This Row],[Dissolved Oxygen Min]]*River_data[[#This Row],[Dissolved Oxygen Max]]/2</f>
        <v>30.360000000000003</v>
      </c>
      <c r="W212">
        <f>River_data[[#This Row],[BOD Min]]*River_data[[#This Row],[BOD Max]]/2</f>
        <v>1.25</v>
      </c>
      <c r="X212">
        <f>AVERAGE(River_data[[#This Row],[pH Max]]-River_data[[#This Row],[pH Min]])</f>
        <v>0.99999999999999911</v>
      </c>
    </row>
    <row r="213" spans="1:24" x14ac:dyDescent="0.3">
      <c r="A213">
        <v>1074</v>
      </c>
      <c r="B213" s="1" t="s">
        <v>208</v>
      </c>
      <c r="C213" s="1" t="s">
        <v>207</v>
      </c>
      <c r="D213">
        <v>17</v>
      </c>
      <c r="E213">
        <v>32</v>
      </c>
      <c r="F213">
        <v>7</v>
      </c>
      <c r="G213">
        <v>9</v>
      </c>
      <c r="H213">
        <v>7.1</v>
      </c>
      <c r="I213">
        <v>8.3000000000000007</v>
      </c>
      <c r="J213">
        <v>247</v>
      </c>
      <c r="K213">
        <v>646</v>
      </c>
      <c r="L213">
        <v>1</v>
      </c>
      <c r="M213">
        <v>2.1</v>
      </c>
      <c r="N213">
        <v>0.3</v>
      </c>
      <c r="O213">
        <v>0.34</v>
      </c>
      <c r="P213">
        <v>2200</v>
      </c>
      <c r="Q213">
        <v>54000</v>
      </c>
      <c r="R213">
        <v>3300</v>
      </c>
      <c r="S213">
        <v>92000</v>
      </c>
      <c r="T213">
        <v>2</v>
      </c>
      <c r="U213">
        <v>330</v>
      </c>
      <c r="V213">
        <f>River_data[[#This Row],[Dissolved Oxygen Min]]*River_data[[#This Row],[Dissolved Oxygen Max]]/2</f>
        <v>31.5</v>
      </c>
      <c r="W213">
        <f>River_data[[#This Row],[BOD Min]]*River_data[[#This Row],[BOD Max]]/2</f>
        <v>1.05</v>
      </c>
      <c r="X213">
        <f>AVERAGE(River_data[[#This Row],[pH Max]]-River_data[[#This Row],[pH Min]])</f>
        <v>1.2000000000000011</v>
      </c>
    </row>
    <row r="214" spans="1:24" x14ac:dyDescent="0.3">
      <c r="A214">
        <v>2551</v>
      </c>
      <c r="B214" s="1" t="s">
        <v>209</v>
      </c>
      <c r="C214" s="1" t="s">
        <v>207</v>
      </c>
      <c r="D214">
        <v>16</v>
      </c>
      <c r="E214">
        <v>33</v>
      </c>
      <c r="F214">
        <v>6.7</v>
      </c>
      <c r="G214">
        <v>8.5</v>
      </c>
      <c r="H214">
        <v>7.3</v>
      </c>
      <c r="I214">
        <v>8.4</v>
      </c>
      <c r="J214">
        <v>243</v>
      </c>
      <c r="K214">
        <v>635</v>
      </c>
      <c r="L214">
        <v>1</v>
      </c>
      <c r="M214">
        <v>2.6</v>
      </c>
      <c r="N214">
        <v>0.3</v>
      </c>
      <c r="O214">
        <v>0.3</v>
      </c>
      <c r="P214">
        <v>1300</v>
      </c>
      <c r="Q214">
        <v>92000</v>
      </c>
      <c r="R214">
        <v>2300</v>
      </c>
      <c r="S214">
        <v>160000</v>
      </c>
      <c r="T214">
        <v>2</v>
      </c>
      <c r="U214">
        <v>1100</v>
      </c>
      <c r="V214">
        <f>River_data[[#This Row],[Dissolved Oxygen Min]]*River_data[[#This Row],[Dissolved Oxygen Max]]/2</f>
        <v>28.475000000000001</v>
      </c>
      <c r="W214">
        <f>River_data[[#This Row],[BOD Min]]*River_data[[#This Row],[BOD Max]]/2</f>
        <v>1.3</v>
      </c>
      <c r="X214">
        <f>AVERAGE(River_data[[#This Row],[pH Max]]-River_data[[#This Row],[pH Min]])</f>
        <v>1.1000000000000005</v>
      </c>
    </row>
    <row r="215" spans="1:24" x14ac:dyDescent="0.3">
      <c r="A215">
        <v>3113</v>
      </c>
      <c r="B215" s="1" t="s">
        <v>210</v>
      </c>
      <c r="C215" s="1" t="s">
        <v>207</v>
      </c>
      <c r="D215">
        <v>16</v>
      </c>
      <c r="E215">
        <v>31</v>
      </c>
      <c r="F215">
        <v>6.5</v>
      </c>
      <c r="G215">
        <v>8.9</v>
      </c>
      <c r="H215">
        <v>7.3</v>
      </c>
      <c r="I215">
        <v>8.1999999999999993</v>
      </c>
      <c r="J215">
        <v>249</v>
      </c>
      <c r="K215">
        <v>610</v>
      </c>
      <c r="L215">
        <v>1</v>
      </c>
      <c r="M215">
        <v>2.6</v>
      </c>
      <c r="N215">
        <v>0.3</v>
      </c>
      <c r="O215">
        <v>0.33</v>
      </c>
      <c r="P215">
        <v>1300</v>
      </c>
      <c r="Q215">
        <v>54000</v>
      </c>
      <c r="R215">
        <v>2300</v>
      </c>
      <c r="S215">
        <v>92000</v>
      </c>
      <c r="T215">
        <v>2</v>
      </c>
      <c r="U215">
        <v>220</v>
      </c>
      <c r="V215">
        <f>River_data[[#This Row],[Dissolved Oxygen Min]]*River_data[[#This Row],[Dissolved Oxygen Max]]/2</f>
        <v>28.925000000000001</v>
      </c>
      <c r="W215">
        <f>River_data[[#This Row],[BOD Min]]*River_data[[#This Row],[BOD Max]]/2</f>
        <v>1.3</v>
      </c>
      <c r="X215">
        <f>AVERAGE(River_data[[#This Row],[pH Max]]-River_data[[#This Row],[pH Min]])</f>
        <v>0.89999999999999947</v>
      </c>
    </row>
    <row r="216" spans="1:24" x14ac:dyDescent="0.3">
      <c r="A216">
        <v>10162</v>
      </c>
      <c r="B216" s="1" t="s">
        <v>211</v>
      </c>
      <c r="C216" s="1" t="s">
        <v>207</v>
      </c>
      <c r="D216">
        <v>17</v>
      </c>
      <c r="E216">
        <v>32</v>
      </c>
      <c r="F216">
        <v>7.3</v>
      </c>
      <c r="G216">
        <v>8.9</v>
      </c>
      <c r="H216">
        <v>7.2</v>
      </c>
      <c r="I216">
        <v>8.3000000000000007</v>
      </c>
      <c r="J216">
        <v>219</v>
      </c>
      <c r="K216">
        <v>432</v>
      </c>
      <c r="L216">
        <v>1</v>
      </c>
      <c r="M216">
        <v>2.5</v>
      </c>
      <c r="N216">
        <v>0.3</v>
      </c>
      <c r="O216">
        <v>0.35</v>
      </c>
      <c r="P216">
        <v>130</v>
      </c>
      <c r="Q216">
        <v>35000</v>
      </c>
      <c r="R216">
        <v>230</v>
      </c>
      <c r="S216">
        <v>54000</v>
      </c>
      <c r="T216">
        <v>2</v>
      </c>
      <c r="U216">
        <v>540</v>
      </c>
      <c r="V216">
        <f>River_data[[#This Row],[Dissolved Oxygen Min]]*River_data[[#This Row],[Dissolved Oxygen Max]]/2</f>
        <v>32.484999999999999</v>
      </c>
      <c r="W216">
        <f>River_data[[#This Row],[BOD Min]]*River_data[[#This Row],[BOD Max]]/2</f>
        <v>1.25</v>
      </c>
      <c r="X216">
        <f>AVERAGE(River_data[[#This Row],[pH Max]]-River_data[[#This Row],[pH Min]])</f>
        <v>1.1000000000000005</v>
      </c>
    </row>
    <row r="217" spans="1:24" x14ac:dyDescent="0.3">
      <c r="A217">
        <v>2564</v>
      </c>
      <c r="B217" s="1" t="s">
        <v>212</v>
      </c>
      <c r="C217" s="1" t="s">
        <v>207</v>
      </c>
      <c r="D217">
        <v>16</v>
      </c>
      <c r="E217">
        <v>32</v>
      </c>
      <c r="F217">
        <v>6.6</v>
      </c>
      <c r="G217">
        <v>9</v>
      </c>
      <c r="H217">
        <v>7.4</v>
      </c>
      <c r="I217">
        <v>8.4</v>
      </c>
      <c r="J217">
        <v>211</v>
      </c>
      <c r="K217">
        <v>483</v>
      </c>
      <c r="L217">
        <v>1</v>
      </c>
      <c r="M217">
        <v>2.8</v>
      </c>
      <c r="N217">
        <v>0.3</v>
      </c>
      <c r="O217">
        <v>0.32</v>
      </c>
      <c r="P217">
        <v>780</v>
      </c>
      <c r="Q217">
        <v>92000</v>
      </c>
      <c r="R217">
        <v>2300</v>
      </c>
      <c r="S217">
        <v>160000</v>
      </c>
      <c r="T217">
        <v>2</v>
      </c>
      <c r="U217">
        <v>1300</v>
      </c>
      <c r="V217">
        <f>River_data[[#This Row],[Dissolved Oxygen Min]]*River_data[[#This Row],[Dissolved Oxygen Max]]/2</f>
        <v>29.7</v>
      </c>
      <c r="W217">
        <f>River_data[[#This Row],[BOD Min]]*River_data[[#This Row],[BOD Max]]/2</f>
        <v>1.4</v>
      </c>
      <c r="X217">
        <f>AVERAGE(River_data[[#This Row],[pH Max]]-River_data[[#This Row],[pH Min]])</f>
        <v>1</v>
      </c>
    </row>
    <row r="218" spans="1:24" x14ac:dyDescent="0.3">
      <c r="A218">
        <v>10114</v>
      </c>
      <c r="B218" s="1" t="s">
        <v>213</v>
      </c>
      <c r="C218" s="1" t="s">
        <v>207</v>
      </c>
      <c r="D218">
        <v>15</v>
      </c>
      <c r="E218">
        <v>32</v>
      </c>
      <c r="F218">
        <v>6.9</v>
      </c>
      <c r="G218">
        <v>8.8000000000000007</v>
      </c>
      <c r="H218">
        <v>7.4</v>
      </c>
      <c r="I218">
        <v>8</v>
      </c>
      <c r="J218">
        <v>209</v>
      </c>
      <c r="K218">
        <v>409</v>
      </c>
      <c r="L218">
        <v>1.2</v>
      </c>
      <c r="M218">
        <v>2.6</v>
      </c>
      <c r="N218">
        <v>0.3</v>
      </c>
      <c r="O218">
        <v>0.3</v>
      </c>
      <c r="P218">
        <v>780</v>
      </c>
      <c r="Q218">
        <v>92000</v>
      </c>
      <c r="R218">
        <v>2300</v>
      </c>
      <c r="S218">
        <v>160000</v>
      </c>
      <c r="T218">
        <v>2</v>
      </c>
      <c r="U218">
        <v>790</v>
      </c>
      <c r="V218">
        <f>River_data[[#This Row],[Dissolved Oxygen Min]]*River_data[[#This Row],[Dissolved Oxygen Max]]/2</f>
        <v>30.360000000000003</v>
      </c>
      <c r="W218">
        <f>River_data[[#This Row],[BOD Min]]*River_data[[#This Row],[BOD Max]]/2</f>
        <v>1.56</v>
      </c>
      <c r="X218">
        <f>AVERAGE(River_data[[#This Row],[pH Max]]-River_data[[#This Row],[pH Min]])</f>
        <v>0.59999999999999964</v>
      </c>
    </row>
    <row r="219" spans="1:24" x14ac:dyDescent="0.3">
      <c r="A219">
        <v>3114</v>
      </c>
      <c r="B219" s="1" t="s">
        <v>214</v>
      </c>
      <c r="C219" s="1" t="s">
        <v>207</v>
      </c>
      <c r="D219">
        <v>13</v>
      </c>
      <c r="E219">
        <v>33</v>
      </c>
      <c r="F219">
        <v>6.8</v>
      </c>
      <c r="G219">
        <v>9.9</v>
      </c>
      <c r="H219">
        <v>7.2</v>
      </c>
      <c r="I219">
        <v>8.4</v>
      </c>
      <c r="J219">
        <v>268</v>
      </c>
      <c r="K219">
        <v>542</v>
      </c>
      <c r="L219">
        <v>1</v>
      </c>
      <c r="M219">
        <v>2.2000000000000002</v>
      </c>
      <c r="N219">
        <v>0.3</v>
      </c>
      <c r="O219">
        <v>0.34</v>
      </c>
      <c r="P219">
        <v>1100</v>
      </c>
      <c r="Q219">
        <v>54000</v>
      </c>
      <c r="R219">
        <v>1400</v>
      </c>
      <c r="S219">
        <v>92000</v>
      </c>
      <c r="T219">
        <v>2</v>
      </c>
      <c r="U219">
        <v>490</v>
      </c>
      <c r="V219">
        <f>River_data[[#This Row],[Dissolved Oxygen Min]]*River_data[[#This Row],[Dissolved Oxygen Max]]/2</f>
        <v>33.660000000000004</v>
      </c>
      <c r="W219">
        <f>River_data[[#This Row],[BOD Min]]*River_data[[#This Row],[BOD Max]]/2</f>
        <v>1.1000000000000001</v>
      </c>
      <c r="X219">
        <f>AVERAGE(River_data[[#This Row],[pH Max]]-River_data[[#This Row],[pH Min]])</f>
        <v>1.2000000000000002</v>
      </c>
    </row>
    <row r="220" spans="1:24" x14ac:dyDescent="0.3">
      <c r="A220">
        <v>1077</v>
      </c>
      <c r="B220" s="1" t="s">
        <v>215</v>
      </c>
      <c r="C220" s="1" t="s">
        <v>207</v>
      </c>
      <c r="D220">
        <v>13</v>
      </c>
      <c r="E220">
        <v>32</v>
      </c>
      <c r="F220">
        <v>6.9</v>
      </c>
      <c r="G220">
        <v>9.8000000000000007</v>
      </c>
      <c r="H220">
        <v>7.2</v>
      </c>
      <c r="I220">
        <v>8.4</v>
      </c>
      <c r="J220">
        <v>251</v>
      </c>
      <c r="K220">
        <v>417</v>
      </c>
      <c r="L220">
        <v>1</v>
      </c>
      <c r="M220">
        <v>2.2000000000000002</v>
      </c>
      <c r="N220">
        <v>0.3</v>
      </c>
      <c r="O220">
        <v>0.3</v>
      </c>
      <c r="P220">
        <v>2300</v>
      </c>
      <c r="Q220">
        <v>92000</v>
      </c>
      <c r="R220">
        <v>3300</v>
      </c>
      <c r="S220">
        <v>160000</v>
      </c>
      <c r="T220">
        <v>2</v>
      </c>
      <c r="U220">
        <v>490</v>
      </c>
      <c r="V220">
        <f>River_data[[#This Row],[Dissolved Oxygen Min]]*River_data[[#This Row],[Dissolved Oxygen Max]]/2</f>
        <v>33.81</v>
      </c>
      <c r="W220">
        <f>River_data[[#This Row],[BOD Min]]*River_data[[#This Row],[BOD Max]]/2</f>
        <v>1.1000000000000001</v>
      </c>
      <c r="X220">
        <f>AVERAGE(River_data[[#This Row],[pH Max]]-River_data[[#This Row],[pH Min]])</f>
        <v>1.2000000000000002</v>
      </c>
    </row>
    <row r="221" spans="1:24" x14ac:dyDescent="0.3">
      <c r="A221">
        <v>2552</v>
      </c>
      <c r="B221" s="1" t="s">
        <v>216</v>
      </c>
      <c r="C221" s="1" t="s">
        <v>207</v>
      </c>
      <c r="D221">
        <v>13</v>
      </c>
      <c r="E221">
        <v>32</v>
      </c>
      <c r="F221">
        <v>6.1</v>
      </c>
      <c r="G221">
        <v>9.5</v>
      </c>
      <c r="H221">
        <v>7.1</v>
      </c>
      <c r="I221">
        <v>8.3000000000000007</v>
      </c>
      <c r="J221">
        <v>242</v>
      </c>
      <c r="K221">
        <v>415</v>
      </c>
      <c r="L221">
        <v>1</v>
      </c>
      <c r="M221">
        <v>2.5</v>
      </c>
      <c r="N221">
        <v>0.3</v>
      </c>
      <c r="O221">
        <v>0.3</v>
      </c>
      <c r="P221">
        <v>17000</v>
      </c>
      <c r="Q221">
        <v>92000</v>
      </c>
      <c r="R221">
        <v>28000</v>
      </c>
      <c r="S221">
        <v>160000</v>
      </c>
      <c r="T221">
        <v>2</v>
      </c>
      <c r="U221">
        <v>5400</v>
      </c>
      <c r="V221">
        <f>River_data[[#This Row],[Dissolved Oxygen Min]]*River_data[[#This Row],[Dissolved Oxygen Max]]/2</f>
        <v>28.974999999999998</v>
      </c>
      <c r="W221">
        <f>River_data[[#This Row],[BOD Min]]*River_data[[#This Row],[BOD Max]]/2</f>
        <v>1.25</v>
      </c>
      <c r="X221">
        <f>AVERAGE(River_data[[#This Row],[pH Max]]-River_data[[#This Row],[pH Min]])</f>
        <v>1.2000000000000011</v>
      </c>
    </row>
    <row r="222" spans="1:24" x14ac:dyDescent="0.3">
      <c r="A222">
        <v>10115</v>
      </c>
      <c r="B222" s="1" t="s">
        <v>217</v>
      </c>
      <c r="C222" s="1" t="s">
        <v>207</v>
      </c>
      <c r="D222">
        <v>13</v>
      </c>
      <c r="E222">
        <v>31</v>
      </c>
      <c r="F222">
        <v>6.3</v>
      </c>
      <c r="G222">
        <v>9</v>
      </c>
      <c r="H222">
        <v>7.2</v>
      </c>
      <c r="I222">
        <v>8.4</v>
      </c>
      <c r="J222">
        <v>251</v>
      </c>
      <c r="K222">
        <v>398</v>
      </c>
      <c r="L222">
        <v>1.2</v>
      </c>
      <c r="M222">
        <v>2.5</v>
      </c>
      <c r="N222">
        <v>0.3</v>
      </c>
      <c r="O222">
        <v>0.3</v>
      </c>
      <c r="P222">
        <v>13000</v>
      </c>
      <c r="Q222">
        <v>92000</v>
      </c>
      <c r="R222">
        <v>22000</v>
      </c>
      <c r="S222">
        <v>160000</v>
      </c>
      <c r="T222">
        <v>2</v>
      </c>
      <c r="U222">
        <v>35000</v>
      </c>
      <c r="V222">
        <f>River_data[[#This Row],[Dissolved Oxygen Min]]*River_data[[#This Row],[Dissolved Oxygen Max]]/2</f>
        <v>28.349999999999998</v>
      </c>
      <c r="W222">
        <f>River_data[[#This Row],[BOD Min]]*River_data[[#This Row],[BOD Max]]/2</f>
        <v>1.5</v>
      </c>
      <c r="X222">
        <f>AVERAGE(River_data[[#This Row],[pH Max]]-River_data[[#This Row],[pH Min]])</f>
        <v>1.2000000000000002</v>
      </c>
    </row>
    <row r="223" spans="1:24" x14ac:dyDescent="0.3">
      <c r="A223">
        <v>1079</v>
      </c>
      <c r="B223" s="1" t="s">
        <v>218</v>
      </c>
      <c r="C223" s="1" t="s">
        <v>207</v>
      </c>
      <c r="D223">
        <v>13</v>
      </c>
      <c r="E223">
        <v>33</v>
      </c>
      <c r="F223">
        <v>6.1</v>
      </c>
      <c r="G223">
        <v>9.4</v>
      </c>
      <c r="H223">
        <v>7.22</v>
      </c>
      <c r="I223">
        <v>8.3800000000000008</v>
      </c>
      <c r="J223">
        <v>240</v>
      </c>
      <c r="K223">
        <v>418</v>
      </c>
      <c r="L223">
        <v>1.1000000000000001</v>
      </c>
      <c r="M223">
        <v>2.6</v>
      </c>
      <c r="N223">
        <v>0.3</v>
      </c>
      <c r="O223">
        <v>0.32</v>
      </c>
      <c r="P223">
        <v>2300</v>
      </c>
      <c r="Q223">
        <v>92000</v>
      </c>
      <c r="R223">
        <v>3300</v>
      </c>
      <c r="S223">
        <v>160000</v>
      </c>
      <c r="T223">
        <v>2</v>
      </c>
      <c r="U223">
        <v>2400</v>
      </c>
      <c r="V223">
        <f>River_data[[#This Row],[Dissolved Oxygen Min]]*River_data[[#This Row],[Dissolved Oxygen Max]]/2</f>
        <v>28.669999999999998</v>
      </c>
      <c r="W223">
        <f>River_data[[#This Row],[BOD Min]]*River_data[[#This Row],[BOD Max]]/2</f>
        <v>1.4300000000000002</v>
      </c>
      <c r="X223">
        <f>AVERAGE(River_data[[#This Row],[pH Max]]-River_data[[#This Row],[pH Min]])</f>
        <v>1.160000000000001</v>
      </c>
    </row>
    <row r="224" spans="1:24" x14ac:dyDescent="0.3">
      <c r="A224">
        <v>3122</v>
      </c>
      <c r="B224" s="1" t="s">
        <v>219</v>
      </c>
      <c r="C224" s="1" t="s">
        <v>207</v>
      </c>
      <c r="D224">
        <v>13</v>
      </c>
      <c r="E224">
        <v>33</v>
      </c>
      <c r="F224">
        <v>6.5</v>
      </c>
      <c r="G224">
        <v>9.3000000000000007</v>
      </c>
      <c r="H224">
        <v>7.2</v>
      </c>
      <c r="I224">
        <v>8.3000000000000007</v>
      </c>
      <c r="J224">
        <v>238</v>
      </c>
      <c r="K224">
        <v>406</v>
      </c>
      <c r="L224">
        <v>1</v>
      </c>
      <c r="M224">
        <v>2.9</v>
      </c>
      <c r="N224">
        <v>0.3</v>
      </c>
      <c r="O224">
        <v>0.3</v>
      </c>
      <c r="P224">
        <v>1300</v>
      </c>
      <c r="Q224">
        <v>92000</v>
      </c>
      <c r="R224">
        <v>2300</v>
      </c>
      <c r="S224">
        <v>160000</v>
      </c>
      <c r="T224">
        <v>2</v>
      </c>
      <c r="U224">
        <v>1300</v>
      </c>
      <c r="V224">
        <f>River_data[[#This Row],[Dissolved Oxygen Min]]*River_data[[#This Row],[Dissolved Oxygen Max]]/2</f>
        <v>30.225000000000001</v>
      </c>
      <c r="W224">
        <f>River_data[[#This Row],[BOD Min]]*River_data[[#This Row],[BOD Max]]/2</f>
        <v>1.45</v>
      </c>
      <c r="X224">
        <f>AVERAGE(River_data[[#This Row],[pH Max]]-River_data[[#This Row],[pH Min]])</f>
        <v>1.1000000000000005</v>
      </c>
    </row>
    <row r="225" spans="1:24" x14ac:dyDescent="0.3">
      <c r="A225">
        <v>4297</v>
      </c>
      <c r="B225" s="1" t="s">
        <v>220</v>
      </c>
      <c r="C225" s="1" t="s">
        <v>207</v>
      </c>
      <c r="D225">
        <v>13</v>
      </c>
      <c r="E225">
        <v>32</v>
      </c>
      <c r="F225">
        <v>6.3</v>
      </c>
      <c r="G225">
        <v>9.5</v>
      </c>
      <c r="H225">
        <v>7.1</v>
      </c>
      <c r="I225">
        <v>8.4</v>
      </c>
      <c r="J225">
        <v>240</v>
      </c>
      <c r="K225">
        <v>410</v>
      </c>
      <c r="L225">
        <v>1</v>
      </c>
      <c r="M225">
        <v>2.2999999999999998</v>
      </c>
      <c r="N225">
        <v>0.3</v>
      </c>
      <c r="O225">
        <v>0.3</v>
      </c>
      <c r="P225">
        <v>2300</v>
      </c>
      <c r="Q225">
        <v>54000</v>
      </c>
      <c r="R225">
        <v>4600</v>
      </c>
      <c r="S225">
        <v>92000</v>
      </c>
      <c r="T225">
        <v>2</v>
      </c>
      <c r="U225">
        <v>1300</v>
      </c>
      <c r="V225">
        <f>River_data[[#This Row],[Dissolved Oxygen Min]]*River_data[[#This Row],[Dissolved Oxygen Max]]/2</f>
        <v>29.925000000000001</v>
      </c>
      <c r="W225">
        <f>River_data[[#This Row],[BOD Min]]*River_data[[#This Row],[BOD Max]]/2</f>
        <v>1.1499999999999999</v>
      </c>
      <c r="X225">
        <f>AVERAGE(River_data[[#This Row],[pH Max]]-River_data[[#This Row],[pH Min]])</f>
        <v>1.3000000000000007</v>
      </c>
    </row>
    <row r="226" spans="1:24" x14ac:dyDescent="0.3">
      <c r="A226">
        <v>10122</v>
      </c>
      <c r="B226" s="1" t="s">
        <v>221</v>
      </c>
      <c r="C226" s="1" t="s">
        <v>207</v>
      </c>
      <c r="D226">
        <v>14</v>
      </c>
      <c r="E226">
        <v>33</v>
      </c>
      <c r="F226">
        <v>6.1</v>
      </c>
      <c r="G226">
        <v>8.8000000000000007</v>
      </c>
      <c r="H226">
        <v>7.2</v>
      </c>
      <c r="I226">
        <v>8.4</v>
      </c>
      <c r="J226">
        <v>232</v>
      </c>
      <c r="K226">
        <v>417</v>
      </c>
      <c r="L226">
        <v>1.2</v>
      </c>
      <c r="M226">
        <v>2.6</v>
      </c>
      <c r="N226">
        <v>0.3</v>
      </c>
      <c r="O226">
        <v>0.3</v>
      </c>
      <c r="P226">
        <v>2300</v>
      </c>
      <c r="Q226">
        <v>35000</v>
      </c>
      <c r="R226">
        <v>3300</v>
      </c>
      <c r="S226">
        <v>92000</v>
      </c>
      <c r="T226">
        <v>2</v>
      </c>
      <c r="U226">
        <v>490</v>
      </c>
      <c r="V226">
        <f>River_data[[#This Row],[Dissolved Oxygen Min]]*River_data[[#This Row],[Dissolved Oxygen Max]]/2</f>
        <v>26.84</v>
      </c>
      <c r="W226">
        <f>River_data[[#This Row],[BOD Min]]*River_data[[#This Row],[BOD Max]]/2</f>
        <v>1.56</v>
      </c>
      <c r="X226">
        <f>AVERAGE(River_data[[#This Row],[pH Max]]-River_data[[#This Row],[pH Min]])</f>
        <v>1.2000000000000002</v>
      </c>
    </row>
    <row r="227" spans="1:24" x14ac:dyDescent="0.3">
      <c r="A227">
        <v>2553</v>
      </c>
      <c r="B227" s="1" t="s">
        <v>222</v>
      </c>
      <c r="C227" s="1" t="s">
        <v>207</v>
      </c>
      <c r="D227">
        <v>14</v>
      </c>
      <c r="E227">
        <v>33</v>
      </c>
      <c r="F227">
        <v>6</v>
      </c>
      <c r="G227">
        <v>8.5</v>
      </c>
      <c r="H227">
        <v>7</v>
      </c>
      <c r="I227">
        <v>8.3000000000000007</v>
      </c>
      <c r="J227">
        <v>238</v>
      </c>
      <c r="K227">
        <v>502</v>
      </c>
      <c r="L227">
        <v>1.3</v>
      </c>
      <c r="M227">
        <v>2.5</v>
      </c>
      <c r="N227">
        <v>0.3</v>
      </c>
      <c r="O227">
        <v>0.31</v>
      </c>
      <c r="P227">
        <v>2300</v>
      </c>
      <c r="Q227">
        <v>92000</v>
      </c>
      <c r="R227">
        <v>3300</v>
      </c>
      <c r="S227">
        <v>160000</v>
      </c>
      <c r="T227">
        <v>2</v>
      </c>
      <c r="U227">
        <v>3500</v>
      </c>
      <c r="V227">
        <f>River_data[[#This Row],[Dissolved Oxygen Min]]*River_data[[#This Row],[Dissolved Oxygen Max]]/2</f>
        <v>25.5</v>
      </c>
      <c r="W227">
        <f>River_data[[#This Row],[BOD Min]]*River_data[[#This Row],[BOD Max]]/2</f>
        <v>1.625</v>
      </c>
      <c r="X227">
        <f>AVERAGE(River_data[[#This Row],[pH Max]]-River_data[[#This Row],[pH Min]])</f>
        <v>1.3000000000000007</v>
      </c>
    </row>
    <row r="228" spans="1:24" x14ac:dyDescent="0.3">
      <c r="A228">
        <v>4301</v>
      </c>
      <c r="B228" s="1" t="s">
        <v>223</v>
      </c>
      <c r="C228" s="1" t="s">
        <v>207</v>
      </c>
      <c r="D228">
        <v>15</v>
      </c>
      <c r="E228">
        <v>31</v>
      </c>
      <c r="F228">
        <v>7.2</v>
      </c>
      <c r="G228">
        <v>9.4</v>
      </c>
      <c r="H228">
        <v>7.4</v>
      </c>
      <c r="I228">
        <v>8.1999999999999993</v>
      </c>
      <c r="J228">
        <v>199</v>
      </c>
      <c r="K228">
        <v>439</v>
      </c>
      <c r="L228">
        <v>1</v>
      </c>
      <c r="M228">
        <v>2.2999999999999998</v>
      </c>
      <c r="N228">
        <v>0.3</v>
      </c>
      <c r="O228">
        <v>0.3</v>
      </c>
      <c r="P228">
        <v>130</v>
      </c>
      <c r="Q228">
        <v>54000</v>
      </c>
      <c r="R228">
        <v>230</v>
      </c>
      <c r="S228">
        <v>160000</v>
      </c>
      <c r="T228">
        <v>2</v>
      </c>
      <c r="U228">
        <v>110</v>
      </c>
      <c r="V228">
        <f>River_data[[#This Row],[Dissolved Oxygen Min]]*River_data[[#This Row],[Dissolved Oxygen Max]]/2</f>
        <v>33.840000000000003</v>
      </c>
      <c r="W228">
        <f>River_data[[#This Row],[BOD Min]]*River_data[[#This Row],[BOD Max]]/2</f>
        <v>1.1499999999999999</v>
      </c>
      <c r="X228">
        <f>AVERAGE(River_data[[#This Row],[pH Max]]-River_data[[#This Row],[pH Min]])</f>
        <v>0.79999999999999893</v>
      </c>
    </row>
    <row r="229" spans="1:24" x14ac:dyDescent="0.3">
      <c r="A229">
        <v>3115</v>
      </c>
      <c r="B229" s="1" t="s">
        <v>224</v>
      </c>
      <c r="C229" s="1" t="s">
        <v>207</v>
      </c>
      <c r="D229">
        <v>16</v>
      </c>
      <c r="E229">
        <v>32</v>
      </c>
      <c r="F229">
        <v>7.2</v>
      </c>
      <c r="G229">
        <v>9.1</v>
      </c>
      <c r="H229">
        <v>7.4</v>
      </c>
      <c r="I229">
        <v>8.1999999999999993</v>
      </c>
      <c r="J229">
        <v>188</v>
      </c>
      <c r="K229">
        <v>436</v>
      </c>
      <c r="L229">
        <v>1.1000000000000001</v>
      </c>
      <c r="M229">
        <v>2.5</v>
      </c>
      <c r="N229">
        <v>0.3</v>
      </c>
      <c r="O229">
        <v>0.31</v>
      </c>
      <c r="P229">
        <v>490</v>
      </c>
      <c r="Q229">
        <v>92000</v>
      </c>
      <c r="R229">
        <v>790</v>
      </c>
      <c r="S229">
        <v>160000</v>
      </c>
      <c r="T229">
        <v>2</v>
      </c>
      <c r="U229">
        <v>1300</v>
      </c>
      <c r="V229">
        <f>River_data[[#This Row],[Dissolved Oxygen Min]]*River_data[[#This Row],[Dissolved Oxygen Max]]/2</f>
        <v>32.76</v>
      </c>
      <c r="W229">
        <f>River_data[[#This Row],[BOD Min]]*River_data[[#This Row],[BOD Max]]/2</f>
        <v>1.375</v>
      </c>
      <c r="X229">
        <f>AVERAGE(River_data[[#This Row],[pH Max]]-River_data[[#This Row],[pH Min]])</f>
        <v>0.79999999999999893</v>
      </c>
    </row>
    <row r="230" spans="1:24" x14ac:dyDescent="0.3">
      <c r="A230">
        <v>10130</v>
      </c>
      <c r="B230" s="1" t="s">
        <v>225</v>
      </c>
      <c r="C230" s="1" t="s">
        <v>207</v>
      </c>
      <c r="D230">
        <v>16</v>
      </c>
      <c r="E230">
        <v>32</v>
      </c>
      <c r="F230">
        <v>7.3</v>
      </c>
      <c r="G230">
        <v>9.5</v>
      </c>
      <c r="H230">
        <v>7.3</v>
      </c>
      <c r="I230">
        <v>8.1999999999999993</v>
      </c>
      <c r="J230">
        <v>184</v>
      </c>
      <c r="K230">
        <v>457</v>
      </c>
      <c r="L230">
        <v>1</v>
      </c>
      <c r="M230">
        <v>2.7</v>
      </c>
      <c r="N230">
        <v>0.3</v>
      </c>
      <c r="O230">
        <v>0.3</v>
      </c>
      <c r="P230">
        <v>490</v>
      </c>
      <c r="Q230">
        <v>92000</v>
      </c>
      <c r="R230">
        <v>700</v>
      </c>
      <c r="S230">
        <v>160000</v>
      </c>
      <c r="T230">
        <v>2</v>
      </c>
      <c r="U230">
        <v>490</v>
      </c>
      <c r="V230">
        <f>River_data[[#This Row],[Dissolved Oxygen Min]]*River_data[[#This Row],[Dissolved Oxygen Max]]/2</f>
        <v>34.674999999999997</v>
      </c>
      <c r="W230">
        <f>River_data[[#This Row],[BOD Min]]*River_data[[#This Row],[BOD Max]]/2</f>
        <v>1.35</v>
      </c>
      <c r="X230">
        <f>AVERAGE(River_data[[#This Row],[pH Max]]-River_data[[#This Row],[pH Min]])</f>
        <v>0.89999999999999947</v>
      </c>
    </row>
    <row r="231" spans="1:24" x14ac:dyDescent="0.3">
      <c r="A231">
        <v>10131</v>
      </c>
      <c r="B231" s="1" t="s">
        <v>226</v>
      </c>
      <c r="C231" s="1" t="s">
        <v>207</v>
      </c>
      <c r="D231">
        <v>17</v>
      </c>
      <c r="E231">
        <v>32</v>
      </c>
      <c r="F231">
        <v>7</v>
      </c>
      <c r="G231">
        <v>8.1999999999999993</v>
      </c>
      <c r="H231">
        <v>7.4</v>
      </c>
      <c r="I231">
        <v>8.1</v>
      </c>
      <c r="J231">
        <v>179</v>
      </c>
      <c r="K231">
        <v>380</v>
      </c>
      <c r="L231">
        <v>1.5</v>
      </c>
      <c r="M231">
        <v>2.2000000000000002</v>
      </c>
      <c r="N231">
        <v>0.3</v>
      </c>
      <c r="O231">
        <v>0.3</v>
      </c>
      <c r="P231">
        <v>2300</v>
      </c>
      <c r="Q231">
        <v>17000</v>
      </c>
      <c r="R231">
        <v>3300</v>
      </c>
      <c r="S231">
        <v>22000</v>
      </c>
      <c r="T231">
        <v>2</v>
      </c>
      <c r="U231">
        <v>170</v>
      </c>
      <c r="V231">
        <f>River_data[[#This Row],[Dissolved Oxygen Min]]*River_data[[#This Row],[Dissolved Oxygen Max]]/2</f>
        <v>28.699999999999996</v>
      </c>
      <c r="W231">
        <f>River_data[[#This Row],[BOD Min]]*River_data[[#This Row],[BOD Max]]/2</f>
        <v>1.6500000000000001</v>
      </c>
      <c r="X231">
        <f>AVERAGE(River_data[[#This Row],[pH Max]]-River_data[[#This Row],[pH Min]])</f>
        <v>0.69999999999999929</v>
      </c>
    </row>
    <row r="232" spans="1:24" x14ac:dyDescent="0.3">
      <c r="A232">
        <v>1817</v>
      </c>
      <c r="B232" s="1" t="s">
        <v>227</v>
      </c>
      <c r="C232" s="1" t="s">
        <v>207</v>
      </c>
      <c r="D232">
        <v>16</v>
      </c>
      <c r="E232">
        <v>33</v>
      </c>
      <c r="F232">
        <v>7.2</v>
      </c>
      <c r="G232">
        <v>9.5</v>
      </c>
      <c r="H232">
        <v>7.2</v>
      </c>
      <c r="I232">
        <v>8.4</v>
      </c>
      <c r="J232">
        <v>190</v>
      </c>
      <c r="K232">
        <v>435</v>
      </c>
      <c r="L232">
        <v>1</v>
      </c>
      <c r="M232">
        <v>2.8</v>
      </c>
      <c r="N232">
        <v>0.3</v>
      </c>
      <c r="O232">
        <v>0.3</v>
      </c>
      <c r="P232">
        <v>2300</v>
      </c>
      <c r="Q232">
        <v>92000</v>
      </c>
      <c r="R232">
        <v>3300</v>
      </c>
      <c r="S232">
        <v>160000</v>
      </c>
      <c r="T232">
        <v>2</v>
      </c>
      <c r="U232">
        <v>330</v>
      </c>
      <c r="V232">
        <f>River_data[[#This Row],[Dissolved Oxygen Min]]*River_data[[#This Row],[Dissolved Oxygen Max]]/2</f>
        <v>34.200000000000003</v>
      </c>
      <c r="W232">
        <f>River_data[[#This Row],[BOD Min]]*River_data[[#This Row],[BOD Max]]/2</f>
        <v>1.4</v>
      </c>
      <c r="X232">
        <f>AVERAGE(River_data[[#This Row],[pH Max]]-River_data[[#This Row],[pH Min]])</f>
        <v>1.2000000000000002</v>
      </c>
    </row>
    <row r="233" spans="1:24" x14ac:dyDescent="0.3">
      <c r="A233">
        <v>1815</v>
      </c>
      <c r="B233" s="1" t="s">
        <v>228</v>
      </c>
      <c r="C233" s="1" t="s">
        <v>207</v>
      </c>
      <c r="D233">
        <v>12</v>
      </c>
      <c r="E233">
        <v>34</v>
      </c>
      <c r="F233">
        <v>7</v>
      </c>
      <c r="G233">
        <v>9.9</v>
      </c>
      <c r="H233">
        <v>7.1</v>
      </c>
      <c r="I233">
        <v>8.3000000000000007</v>
      </c>
      <c r="J233">
        <v>226</v>
      </c>
      <c r="K233">
        <v>440</v>
      </c>
      <c r="L233">
        <v>1</v>
      </c>
      <c r="M233">
        <v>2.8</v>
      </c>
      <c r="N233">
        <v>0.3</v>
      </c>
      <c r="O233">
        <v>0.3</v>
      </c>
      <c r="P233">
        <v>1700</v>
      </c>
      <c r="Q233">
        <v>92000</v>
      </c>
      <c r="R233">
        <v>3300</v>
      </c>
      <c r="S233">
        <v>160000</v>
      </c>
      <c r="T233">
        <v>2</v>
      </c>
      <c r="U233">
        <v>330</v>
      </c>
      <c r="V233">
        <f>River_data[[#This Row],[Dissolved Oxygen Min]]*River_data[[#This Row],[Dissolved Oxygen Max]]/2</f>
        <v>34.65</v>
      </c>
      <c r="W233">
        <f>River_data[[#This Row],[BOD Min]]*River_data[[#This Row],[BOD Max]]/2</f>
        <v>1.4</v>
      </c>
      <c r="X233">
        <f>AVERAGE(River_data[[#This Row],[pH Max]]-River_data[[#This Row],[pH Min]])</f>
        <v>1.2000000000000011</v>
      </c>
    </row>
    <row r="234" spans="1:24" x14ac:dyDescent="0.3">
      <c r="A234">
        <v>3123</v>
      </c>
      <c r="B234" s="1" t="s">
        <v>229</v>
      </c>
      <c r="C234" s="1" t="s">
        <v>207</v>
      </c>
      <c r="D234">
        <v>15</v>
      </c>
      <c r="E234">
        <v>33</v>
      </c>
      <c r="F234">
        <v>6.9</v>
      </c>
      <c r="G234">
        <v>9.4</v>
      </c>
      <c r="H234">
        <v>7.2</v>
      </c>
      <c r="I234">
        <v>8.3000000000000007</v>
      </c>
      <c r="J234">
        <v>198</v>
      </c>
      <c r="K234">
        <v>482</v>
      </c>
      <c r="L234">
        <v>1</v>
      </c>
      <c r="M234">
        <v>2.6</v>
      </c>
      <c r="N234">
        <v>0.3</v>
      </c>
      <c r="O234">
        <v>0.3</v>
      </c>
      <c r="P234">
        <v>1300</v>
      </c>
      <c r="Q234">
        <v>92000</v>
      </c>
      <c r="R234">
        <v>2300</v>
      </c>
      <c r="S234">
        <v>160000</v>
      </c>
      <c r="T234">
        <v>2</v>
      </c>
      <c r="U234">
        <v>330</v>
      </c>
      <c r="V234">
        <f>River_data[[#This Row],[Dissolved Oxygen Min]]*River_data[[#This Row],[Dissolved Oxygen Max]]/2</f>
        <v>32.43</v>
      </c>
      <c r="W234">
        <f>River_data[[#This Row],[BOD Min]]*River_data[[#This Row],[BOD Max]]/2</f>
        <v>1.3</v>
      </c>
      <c r="X234">
        <f>AVERAGE(River_data[[#This Row],[pH Max]]-River_data[[#This Row],[pH Min]])</f>
        <v>1.1000000000000005</v>
      </c>
    </row>
    <row r="235" spans="1:24" x14ac:dyDescent="0.3">
      <c r="A235">
        <v>3116</v>
      </c>
      <c r="B235" s="1" t="s">
        <v>230</v>
      </c>
      <c r="C235" s="1" t="s">
        <v>207</v>
      </c>
      <c r="D235">
        <v>13</v>
      </c>
      <c r="E235">
        <v>34</v>
      </c>
      <c r="F235">
        <v>6.7</v>
      </c>
      <c r="G235">
        <v>10</v>
      </c>
      <c r="H235">
        <v>7.4</v>
      </c>
      <c r="I235">
        <v>8.3000000000000007</v>
      </c>
      <c r="J235">
        <v>229</v>
      </c>
      <c r="K235">
        <v>413</v>
      </c>
      <c r="L235">
        <v>1</v>
      </c>
      <c r="M235">
        <v>3</v>
      </c>
      <c r="N235">
        <v>0.3</v>
      </c>
      <c r="O235">
        <v>0.3</v>
      </c>
      <c r="P235">
        <v>3300</v>
      </c>
      <c r="Q235">
        <v>92000</v>
      </c>
      <c r="R235">
        <v>7000</v>
      </c>
      <c r="S235">
        <v>160000</v>
      </c>
      <c r="T235">
        <v>2</v>
      </c>
      <c r="U235">
        <v>1300</v>
      </c>
      <c r="V235">
        <f>River_data[[#This Row],[Dissolved Oxygen Min]]*River_data[[#This Row],[Dissolved Oxygen Max]]/2</f>
        <v>33.5</v>
      </c>
      <c r="W235">
        <f>River_data[[#This Row],[BOD Min]]*River_data[[#This Row],[BOD Max]]/2</f>
        <v>1.5</v>
      </c>
      <c r="X235">
        <f>AVERAGE(River_data[[#This Row],[pH Max]]-River_data[[#This Row],[pH Min]])</f>
        <v>0.90000000000000036</v>
      </c>
    </row>
    <row r="236" spans="1:24" x14ac:dyDescent="0.3">
      <c r="A236">
        <v>1818</v>
      </c>
      <c r="B236" s="1" t="s">
        <v>231</v>
      </c>
      <c r="C236" s="1" t="s">
        <v>207</v>
      </c>
      <c r="D236">
        <v>13</v>
      </c>
      <c r="E236">
        <v>34</v>
      </c>
      <c r="F236">
        <v>6.6</v>
      </c>
      <c r="G236">
        <v>9.9</v>
      </c>
      <c r="H236">
        <v>7.4</v>
      </c>
      <c r="I236">
        <v>8.3000000000000007</v>
      </c>
      <c r="J236">
        <v>227</v>
      </c>
      <c r="K236">
        <v>433</v>
      </c>
      <c r="L236">
        <v>1</v>
      </c>
      <c r="M236">
        <v>2.7</v>
      </c>
      <c r="N236">
        <v>0.3</v>
      </c>
      <c r="O236">
        <v>0.3</v>
      </c>
      <c r="P236">
        <v>2300</v>
      </c>
      <c r="Q236">
        <v>92000</v>
      </c>
      <c r="R236">
        <v>3300</v>
      </c>
      <c r="S236">
        <v>160000</v>
      </c>
      <c r="T236">
        <v>2</v>
      </c>
      <c r="U236">
        <v>1300</v>
      </c>
      <c r="V236">
        <f>River_data[[#This Row],[Dissolved Oxygen Min]]*River_data[[#This Row],[Dissolved Oxygen Max]]/2</f>
        <v>32.67</v>
      </c>
      <c r="W236">
        <f>River_data[[#This Row],[BOD Min]]*River_data[[#This Row],[BOD Max]]/2</f>
        <v>1.35</v>
      </c>
      <c r="X236">
        <f>AVERAGE(River_data[[#This Row],[pH Max]]-River_data[[#This Row],[pH Min]])</f>
        <v>0.90000000000000036</v>
      </c>
    </row>
    <row r="237" spans="1:24" x14ac:dyDescent="0.3">
      <c r="A237">
        <v>3117</v>
      </c>
      <c r="B237" s="1" t="s">
        <v>232</v>
      </c>
      <c r="C237" s="1" t="s">
        <v>207</v>
      </c>
      <c r="D237">
        <v>14</v>
      </c>
      <c r="E237">
        <v>38</v>
      </c>
      <c r="F237">
        <v>6.7</v>
      </c>
      <c r="G237">
        <v>9.8000000000000007</v>
      </c>
      <c r="H237">
        <v>7.2</v>
      </c>
      <c r="I237">
        <v>8.3000000000000007</v>
      </c>
      <c r="J237">
        <v>225</v>
      </c>
      <c r="K237">
        <v>440</v>
      </c>
      <c r="L237">
        <v>1</v>
      </c>
      <c r="M237">
        <v>2.5</v>
      </c>
      <c r="N237">
        <v>0.3</v>
      </c>
      <c r="O237">
        <v>0.3</v>
      </c>
      <c r="P237">
        <v>1300</v>
      </c>
      <c r="Q237">
        <v>92000</v>
      </c>
      <c r="R237">
        <v>2300</v>
      </c>
      <c r="S237">
        <v>160000</v>
      </c>
      <c r="T237">
        <v>2</v>
      </c>
      <c r="U237">
        <v>790</v>
      </c>
      <c r="V237">
        <f>River_data[[#This Row],[Dissolved Oxygen Min]]*River_data[[#This Row],[Dissolved Oxygen Max]]/2</f>
        <v>32.830000000000005</v>
      </c>
      <c r="W237">
        <f>River_data[[#This Row],[BOD Min]]*River_data[[#This Row],[BOD Max]]/2</f>
        <v>1.25</v>
      </c>
      <c r="X237">
        <f>AVERAGE(River_data[[#This Row],[pH Max]]-River_data[[#This Row],[pH Min]])</f>
        <v>1.1000000000000005</v>
      </c>
    </row>
    <row r="238" spans="1:24" x14ac:dyDescent="0.3">
      <c r="A238">
        <v>2554</v>
      </c>
      <c r="B238" s="1" t="s">
        <v>233</v>
      </c>
      <c r="C238" s="1" t="s">
        <v>207</v>
      </c>
      <c r="D238">
        <v>14</v>
      </c>
      <c r="E238">
        <v>37</v>
      </c>
      <c r="F238">
        <v>6.3</v>
      </c>
      <c r="G238">
        <v>9.6</v>
      </c>
      <c r="H238">
        <v>7.3</v>
      </c>
      <c r="I238">
        <v>8.3000000000000007</v>
      </c>
      <c r="J238">
        <v>222</v>
      </c>
      <c r="K238">
        <v>414</v>
      </c>
      <c r="L238">
        <v>1</v>
      </c>
      <c r="M238">
        <v>2.4</v>
      </c>
      <c r="N238">
        <v>0.3</v>
      </c>
      <c r="O238">
        <v>0.31</v>
      </c>
      <c r="P238">
        <v>2300</v>
      </c>
      <c r="Q238">
        <v>92000</v>
      </c>
      <c r="R238">
        <v>3300</v>
      </c>
      <c r="S238">
        <v>160000</v>
      </c>
      <c r="T238">
        <v>2</v>
      </c>
      <c r="U238">
        <v>1300</v>
      </c>
      <c r="V238">
        <f>River_data[[#This Row],[Dissolved Oxygen Min]]*River_data[[#This Row],[Dissolved Oxygen Max]]/2</f>
        <v>30.24</v>
      </c>
      <c r="W238">
        <f>River_data[[#This Row],[BOD Min]]*River_data[[#This Row],[BOD Max]]/2</f>
        <v>1.2</v>
      </c>
      <c r="X238">
        <f>AVERAGE(River_data[[#This Row],[pH Max]]-River_data[[#This Row],[pH Min]])</f>
        <v>1.0000000000000009</v>
      </c>
    </row>
    <row r="239" spans="1:24" x14ac:dyDescent="0.3">
      <c r="A239">
        <v>10138</v>
      </c>
      <c r="B239" s="1" t="s">
        <v>234</v>
      </c>
      <c r="C239" s="1" t="s">
        <v>207</v>
      </c>
      <c r="D239">
        <v>15</v>
      </c>
      <c r="E239">
        <v>30</v>
      </c>
      <c r="F239">
        <v>6.4</v>
      </c>
      <c r="G239">
        <v>10</v>
      </c>
      <c r="H239">
        <v>7.2</v>
      </c>
      <c r="I239">
        <v>8.1999999999999993</v>
      </c>
      <c r="J239">
        <v>187</v>
      </c>
      <c r="K239">
        <v>479</v>
      </c>
      <c r="L239">
        <v>1</v>
      </c>
      <c r="M239">
        <v>2.1</v>
      </c>
      <c r="N239">
        <v>0.3</v>
      </c>
      <c r="O239">
        <v>0.3</v>
      </c>
      <c r="P239">
        <v>2300</v>
      </c>
      <c r="Q239">
        <v>92000</v>
      </c>
      <c r="R239">
        <v>3300</v>
      </c>
      <c r="S239">
        <v>160000</v>
      </c>
      <c r="T239">
        <v>2</v>
      </c>
      <c r="U239">
        <v>3500</v>
      </c>
      <c r="V239">
        <f>River_data[[#This Row],[Dissolved Oxygen Min]]*River_data[[#This Row],[Dissolved Oxygen Max]]/2</f>
        <v>32</v>
      </c>
      <c r="W239">
        <f>River_data[[#This Row],[BOD Min]]*River_data[[#This Row],[BOD Max]]/2</f>
        <v>1.05</v>
      </c>
      <c r="X239">
        <f>AVERAGE(River_data[[#This Row],[pH Max]]-River_data[[#This Row],[pH Min]])</f>
        <v>0.99999999999999911</v>
      </c>
    </row>
    <row r="240" spans="1:24" x14ac:dyDescent="0.3">
      <c r="A240">
        <v>1819</v>
      </c>
      <c r="B240" s="1" t="s">
        <v>235</v>
      </c>
      <c r="C240" s="1" t="s">
        <v>207</v>
      </c>
      <c r="D240">
        <v>10</v>
      </c>
      <c r="E240">
        <v>33</v>
      </c>
      <c r="F240">
        <v>6.3</v>
      </c>
      <c r="G240">
        <v>9</v>
      </c>
      <c r="H240">
        <v>7.2</v>
      </c>
      <c r="I240">
        <v>8.3000000000000007</v>
      </c>
      <c r="J240">
        <v>219</v>
      </c>
      <c r="K240">
        <v>463</v>
      </c>
      <c r="L240">
        <v>1</v>
      </c>
      <c r="M240">
        <v>2.9</v>
      </c>
      <c r="N240">
        <v>0.3</v>
      </c>
      <c r="O240">
        <v>0.33</v>
      </c>
      <c r="P240">
        <v>1300</v>
      </c>
      <c r="Q240">
        <v>54000</v>
      </c>
      <c r="R240">
        <v>2300</v>
      </c>
      <c r="S240">
        <v>92000</v>
      </c>
      <c r="T240">
        <v>2</v>
      </c>
      <c r="U240">
        <v>230</v>
      </c>
      <c r="V240">
        <f>River_data[[#This Row],[Dissolved Oxygen Min]]*River_data[[#This Row],[Dissolved Oxygen Max]]/2</f>
        <v>28.349999999999998</v>
      </c>
      <c r="W240">
        <f>River_data[[#This Row],[BOD Min]]*River_data[[#This Row],[BOD Max]]/2</f>
        <v>1.45</v>
      </c>
      <c r="X240">
        <f>AVERAGE(River_data[[#This Row],[pH Max]]-River_data[[#This Row],[pH Min]])</f>
        <v>1.1000000000000005</v>
      </c>
    </row>
    <row r="241" spans="1:24" x14ac:dyDescent="0.3">
      <c r="A241">
        <v>4398</v>
      </c>
      <c r="B241" s="1" t="s">
        <v>236</v>
      </c>
      <c r="C241" s="1" t="s">
        <v>207</v>
      </c>
      <c r="D241">
        <v>12</v>
      </c>
      <c r="E241">
        <v>29</v>
      </c>
      <c r="F241">
        <v>5.5</v>
      </c>
      <c r="G241">
        <v>9.6999999999999993</v>
      </c>
      <c r="H241">
        <v>7.2</v>
      </c>
      <c r="I241">
        <v>8.1</v>
      </c>
      <c r="J241">
        <v>212</v>
      </c>
      <c r="K241">
        <v>1240</v>
      </c>
      <c r="L241">
        <v>1</v>
      </c>
      <c r="M241">
        <v>2.7</v>
      </c>
      <c r="N241">
        <v>0.3</v>
      </c>
      <c r="O241">
        <v>0.31</v>
      </c>
      <c r="P241">
        <v>450</v>
      </c>
      <c r="Q241">
        <v>54000</v>
      </c>
      <c r="R241">
        <v>1300</v>
      </c>
      <c r="S241">
        <v>92000</v>
      </c>
      <c r="T241">
        <v>2</v>
      </c>
      <c r="U241">
        <v>1700</v>
      </c>
      <c r="V241">
        <f>River_data[[#This Row],[Dissolved Oxygen Min]]*River_data[[#This Row],[Dissolved Oxygen Max]]/2</f>
        <v>26.674999999999997</v>
      </c>
      <c r="W241">
        <f>River_data[[#This Row],[BOD Min]]*River_data[[#This Row],[BOD Max]]/2</f>
        <v>1.35</v>
      </c>
      <c r="X241">
        <f>AVERAGE(River_data[[#This Row],[pH Max]]-River_data[[#This Row],[pH Min]])</f>
        <v>0.89999999999999947</v>
      </c>
    </row>
    <row r="242" spans="1:24" x14ac:dyDescent="0.3">
      <c r="A242">
        <v>3118</v>
      </c>
      <c r="B242" s="1" t="s">
        <v>237</v>
      </c>
      <c r="C242" s="1" t="s">
        <v>207</v>
      </c>
      <c r="D242">
        <v>12</v>
      </c>
      <c r="E242">
        <v>29</v>
      </c>
      <c r="F242">
        <v>5.9</v>
      </c>
      <c r="G242">
        <v>12.1</v>
      </c>
      <c r="H242">
        <v>7.2</v>
      </c>
      <c r="I242">
        <v>8.1999999999999993</v>
      </c>
      <c r="J242">
        <v>211</v>
      </c>
      <c r="K242">
        <v>522</v>
      </c>
      <c r="L242">
        <v>1.1000000000000001</v>
      </c>
      <c r="M242">
        <v>5.5</v>
      </c>
      <c r="N242">
        <v>0.3</v>
      </c>
      <c r="O242">
        <v>0.39</v>
      </c>
      <c r="P242">
        <v>1300</v>
      </c>
      <c r="Q242">
        <v>92000</v>
      </c>
      <c r="R242">
        <v>2300</v>
      </c>
      <c r="S242">
        <v>160000</v>
      </c>
      <c r="T242">
        <v>2</v>
      </c>
      <c r="U242">
        <v>3500</v>
      </c>
      <c r="V242">
        <f>River_data[[#This Row],[Dissolved Oxygen Min]]*River_data[[#This Row],[Dissolved Oxygen Max]]/2</f>
        <v>35.695</v>
      </c>
      <c r="W242">
        <f>River_data[[#This Row],[BOD Min]]*River_data[[#This Row],[BOD Max]]/2</f>
        <v>3.0250000000000004</v>
      </c>
      <c r="X242">
        <f>AVERAGE(River_data[[#This Row],[pH Max]]-River_data[[#This Row],[pH Min]])</f>
        <v>0.99999999999999911</v>
      </c>
    </row>
    <row r="243" spans="1:24" x14ac:dyDescent="0.3">
      <c r="A243">
        <v>1816</v>
      </c>
      <c r="B243" s="1" t="s">
        <v>238</v>
      </c>
      <c r="C243" s="1" t="s">
        <v>207</v>
      </c>
      <c r="D243">
        <v>16</v>
      </c>
      <c r="E243">
        <v>34</v>
      </c>
      <c r="F243">
        <v>6.5</v>
      </c>
      <c r="G243">
        <v>9.1999999999999993</v>
      </c>
      <c r="H243">
        <v>7</v>
      </c>
      <c r="I243">
        <v>8.3000000000000007</v>
      </c>
      <c r="J243">
        <v>214</v>
      </c>
      <c r="K243">
        <v>434</v>
      </c>
      <c r="L243">
        <v>1</v>
      </c>
      <c r="M243">
        <v>2.6</v>
      </c>
      <c r="N243">
        <v>0.3</v>
      </c>
      <c r="O243">
        <v>0.3</v>
      </c>
      <c r="P243">
        <v>1300</v>
      </c>
      <c r="Q243">
        <v>92000</v>
      </c>
      <c r="R243">
        <v>2300</v>
      </c>
      <c r="S243">
        <v>160000</v>
      </c>
      <c r="T243">
        <v>2</v>
      </c>
      <c r="U243">
        <v>920</v>
      </c>
      <c r="V243">
        <f>River_data[[#This Row],[Dissolved Oxygen Min]]*River_data[[#This Row],[Dissolved Oxygen Max]]/2</f>
        <v>29.9</v>
      </c>
      <c r="W243">
        <f>River_data[[#This Row],[BOD Min]]*River_data[[#This Row],[BOD Max]]/2</f>
        <v>1.3</v>
      </c>
      <c r="X243">
        <f>AVERAGE(River_data[[#This Row],[pH Max]]-River_data[[#This Row],[pH Min]])</f>
        <v>1.3000000000000007</v>
      </c>
    </row>
    <row r="244" spans="1:24" x14ac:dyDescent="0.3">
      <c r="A244">
        <v>10143</v>
      </c>
      <c r="B244" s="1" t="s">
        <v>239</v>
      </c>
      <c r="C244" s="1" t="s">
        <v>207</v>
      </c>
      <c r="D244">
        <v>16</v>
      </c>
      <c r="E244">
        <v>34</v>
      </c>
      <c r="F244">
        <v>6.7</v>
      </c>
      <c r="G244">
        <v>9.1</v>
      </c>
      <c r="H244">
        <v>7.4</v>
      </c>
      <c r="I244">
        <v>8.3000000000000007</v>
      </c>
      <c r="J244">
        <v>218</v>
      </c>
      <c r="K244">
        <v>441</v>
      </c>
      <c r="L244">
        <v>1</v>
      </c>
      <c r="M244">
        <v>2.5</v>
      </c>
      <c r="N244">
        <v>0.3</v>
      </c>
      <c r="O244">
        <v>0.3</v>
      </c>
      <c r="P244">
        <v>2300</v>
      </c>
      <c r="Q244">
        <v>92000</v>
      </c>
      <c r="R244">
        <v>3300</v>
      </c>
      <c r="S244">
        <v>160000</v>
      </c>
      <c r="T244">
        <v>2</v>
      </c>
      <c r="U244">
        <v>490</v>
      </c>
      <c r="V244">
        <f>River_data[[#This Row],[Dissolved Oxygen Min]]*River_data[[#This Row],[Dissolved Oxygen Max]]/2</f>
        <v>30.484999999999999</v>
      </c>
      <c r="W244">
        <f>River_data[[#This Row],[BOD Min]]*River_data[[#This Row],[BOD Max]]/2</f>
        <v>1.25</v>
      </c>
      <c r="X244">
        <f>AVERAGE(River_data[[#This Row],[pH Max]]-River_data[[#This Row],[pH Min]])</f>
        <v>0.90000000000000036</v>
      </c>
    </row>
    <row r="245" spans="1:24" x14ac:dyDescent="0.3">
      <c r="A245">
        <v>30076</v>
      </c>
      <c r="B245" s="1" t="s">
        <v>240</v>
      </c>
      <c r="C245" s="1" t="s">
        <v>207</v>
      </c>
      <c r="D245">
        <v>22</v>
      </c>
      <c r="E245">
        <v>28.2</v>
      </c>
      <c r="F245">
        <v>7.9</v>
      </c>
      <c r="G245">
        <v>8.4</v>
      </c>
      <c r="H245">
        <v>7.8</v>
      </c>
      <c r="I245">
        <v>8.5</v>
      </c>
      <c r="J245">
        <v>296</v>
      </c>
      <c r="K245">
        <v>700</v>
      </c>
      <c r="L245">
        <v>2.1</v>
      </c>
      <c r="M245">
        <v>5.8</v>
      </c>
      <c r="N245">
        <v>0.32</v>
      </c>
      <c r="O245">
        <v>0.69</v>
      </c>
      <c r="P245">
        <v>200</v>
      </c>
      <c r="Q245">
        <v>13000</v>
      </c>
      <c r="R245">
        <v>450</v>
      </c>
      <c r="S245">
        <v>3500000</v>
      </c>
      <c r="V245">
        <f>River_data[[#This Row],[Dissolved Oxygen Min]]*River_data[[#This Row],[Dissolved Oxygen Max]]/2</f>
        <v>33.18</v>
      </c>
      <c r="W245">
        <f>River_data[[#This Row],[BOD Min]]*River_data[[#This Row],[BOD Max]]/2</f>
        <v>6.09</v>
      </c>
      <c r="X245">
        <f>AVERAGE(River_data[[#This Row],[pH Max]]-River_data[[#This Row],[pH Min]])</f>
        <v>0.70000000000000018</v>
      </c>
    </row>
    <row r="246" spans="1:24" x14ac:dyDescent="0.3">
      <c r="A246">
        <v>10144</v>
      </c>
      <c r="B246" s="1" t="s">
        <v>241</v>
      </c>
      <c r="C246" s="1" t="s">
        <v>242</v>
      </c>
      <c r="D246">
        <v>16</v>
      </c>
      <c r="E246">
        <v>39</v>
      </c>
      <c r="F246">
        <v>7</v>
      </c>
      <c r="G246">
        <v>7.5</v>
      </c>
      <c r="H246">
        <v>7.4</v>
      </c>
      <c r="I246">
        <v>7.8</v>
      </c>
      <c r="J246">
        <v>94</v>
      </c>
      <c r="K246">
        <v>236</v>
      </c>
      <c r="L246">
        <v>1.1000000000000001</v>
      </c>
      <c r="M246">
        <v>1.3</v>
      </c>
      <c r="N246">
        <v>0</v>
      </c>
      <c r="O246">
        <v>0</v>
      </c>
      <c r="V246">
        <f>River_data[[#This Row],[Dissolved Oxygen Min]]*River_data[[#This Row],[Dissolved Oxygen Max]]/2</f>
        <v>26.25</v>
      </c>
      <c r="W246">
        <f>River_data[[#This Row],[BOD Min]]*River_data[[#This Row],[BOD Max]]/2</f>
        <v>0.71500000000000008</v>
      </c>
      <c r="X246">
        <f>AVERAGE(River_data[[#This Row],[pH Max]]-River_data[[#This Row],[pH Min]])</f>
        <v>0.39999999999999947</v>
      </c>
    </row>
    <row r="247" spans="1:24" x14ac:dyDescent="0.3">
      <c r="A247">
        <v>10145</v>
      </c>
      <c r="B247" s="1" t="s">
        <v>243</v>
      </c>
      <c r="C247" s="1" t="s">
        <v>242</v>
      </c>
      <c r="D247">
        <v>15</v>
      </c>
      <c r="E247">
        <v>38</v>
      </c>
      <c r="F247">
        <v>7.1</v>
      </c>
      <c r="G247">
        <v>7.5</v>
      </c>
      <c r="H247">
        <v>7.5</v>
      </c>
      <c r="I247">
        <v>7.7</v>
      </c>
      <c r="J247">
        <v>98</v>
      </c>
      <c r="K247">
        <v>258</v>
      </c>
      <c r="L247">
        <v>1.1000000000000001</v>
      </c>
      <c r="M247">
        <v>1.4</v>
      </c>
      <c r="N247">
        <v>0</v>
      </c>
      <c r="O247">
        <v>0</v>
      </c>
      <c r="V247">
        <f>River_data[[#This Row],[Dissolved Oxygen Min]]*River_data[[#This Row],[Dissolved Oxygen Max]]/2</f>
        <v>26.625</v>
      </c>
      <c r="W247">
        <f>River_data[[#This Row],[BOD Min]]*River_data[[#This Row],[BOD Max]]/2</f>
        <v>0.77</v>
      </c>
      <c r="X247">
        <f>AVERAGE(River_data[[#This Row],[pH Max]]-River_data[[#This Row],[pH Min]])</f>
        <v>0.20000000000000018</v>
      </c>
    </row>
    <row r="248" spans="1:24" x14ac:dyDescent="0.3">
      <c r="A248">
        <v>1059</v>
      </c>
      <c r="B248" s="1" t="s">
        <v>244</v>
      </c>
      <c r="C248" s="1" t="s">
        <v>242</v>
      </c>
      <c r="D248">
        <v>15</v>
      </c>
      <c r="E248">
        <v>38</v>
      </c>
      <c r="F248">
        <v>6.7</v>
      </c>
      <c r="G248">
        <v>7.3</v>
      </c>
      <c r="H248">
        <v>7.3</v>
      </c>
      <c r="I248">
        <v>7.7</v>
      </c>
      <c r="J248">
        <v>102</v>
      </c>
      <c r="K248">
        <v>159</v>
      </c>
      <c r="L248">
        <v>1.1000000000000001</v>
      </c>
      <c r="M248">
        <v>1.4</v>
      </c>
      <c r="N248">
        <v>0</v>
      </c>
      <c r="O248">
        <v>0</v>
      </c>
      <c r="V248">
        <f>River_data[[#This Row],[Dissolved Oxygen Min]]*River_data[[#This Row],[Dissolved Oxygen Max]]/2</f>
        <v>24.454999999999998</v>
      </c>
      <c r="W248">
        <f>River_data[[#This Row],[BOD Min]]*River_data[[#This Row],[BOD Max]]/2</f>
        <v>0.77</v>
      </c>
      <c r="X248">
        <f>AVERAGE(River_data[[#This Row],[pH Max]]-River_data[[#This Row],[pH Min]])</f>
        <v>0.40000000000000036</v>
      </c>
    </row>
    <row r="249" spans="1:24" x14ac:dyDescent="0.3">
      <c r="A249">
        <v>10146</v>
      </c>
      <c r="B249" s="1" t="s">
        <v>245</v>
      </c>
      <c r="C249" s="1" t="s">
        <v>242</v>
      </c>
      <c r="D249">
        <v>16</v>
      </c>
      <c r="E249">
        <v>37</v>
      </c>
      <c r="F249">
        <v>6.9</v>
      </c>
      <c r="G249">
        <v>7.4</v>
      </c>
      <c r="H249">
        <v>7.4</v>
      </c>
      <c r="I249">
        <v>7.8</v>
      </c>
      <c r="J249">
        <v>102</v>
      </c>
      <c r="K249">
        <v>245</v>
      </c>
      <c r="L249">
        <v>1.1000000000000001</v>
      </c>
      <c r="M249">
        <v>1.3</v>
      </c>
      <c r="N249">
        <v>0</v>
      </c>
      <c r="O249">
        <v>0</v>
      </c>
      <c r="V249">
        <f>River_data[[#This Row],[Dissolved Oxygen Min]]*River_data[[#This Row],[Dissolved Oxygen Max]]/2</f>
        <v>25.53</v>
      </c>
      <c r="W249">
        <f>River_data[[#This Row],[BOD Min]]*River_data[[#This Row],[BOD Max]]/2</f>
        <v>0.71500000000000008</v>
      </c>
      <c r="X249">
        <f>AVERAGE(River_data[[#This Row],[pH Max]]-River_data[[#This Row],[pH Min]])</f>
        <v>0.39999999999999947</v>
      </c>
    </row>
    <row r="250" spans="1:24" x14ac:dyDescent="0.3">
      <c r="A250">
        <v>5162</v>
      </c>
      <c r="B250" s="1" t="s">
        <v>246</v>
      </c>
      <c r="C250" s="1" t="s">
        <v>247</v>
      </c>
      <c r="D250">
        <v>17</v>
      </c>
      <c r="E250">
        <v>35</v>
      </c>
      <c r="F250">
        <v>5.5</v>
      </c>
      <c r="G250">
        <v>9.8000000000000007</v>
      </c>
      <c r="H250">
        <v>6.7</v>
      </c>
      <c r="I250">
        <v>9</v>
      </c>
      <c r="J250">
        <v>223</v>
      </c>
      <c r="K250">
        <v>436</v>
      </c>
      <c r="L250">
        <v>1.3</v>
      </c>
      <c r="M250">
        <v>2.9</v>
      </c>
      <c r="N250">
        <v>0.32</v>
      </c>
      <c r="O250">
        <v>0.96</v>
      </c>
      <c r="P250">
        <v>130</v>
      </c>
      <c r="Q250">
        <v>1700</v>
      </c>
      <c r="R250">
        <v>220</v>
      </c>
      <c r="S250">
        <v>5400</v>
      </c>
      <c r="T250">
        <v>23</v>
      </c>
      <c r="U250">
        <v>79</v>
      </c>
      <c r="V250">
        <f>River_data[[#This Row],[Dissolved Oxygen Min]]*River_data[[#This Row],[Dissolved Oxygen Max]]/2</f>
        <v>26.950000000000003</v>
      </c>
      <c r="W250">
        <f>River_data[[#This Row],[BOD Min]]*River_data[[#This Row],[BOD Max]]/2</f>
        <v>1.885</v>
      </c>
      <c r="X250">
        <f>AVERAGE(River_data[[#This Row],[pH Max]]-River_data[[#This Row],[pH Min]])</f>
        <v>2.2999999999999998</v>
      </c>
    </row>
    <row r="251" spans="1:24" x14ac:dyDescent="0.3">
      <c r="A251">
        <v>10160</v>
      </c>
      <c r="B251" s="1" t="s">
        <v>248</v>
      </c>
      <c r="C251" s="1" t="s">
        <v>247</v>
      </c>
      <c r="D251">
        <v>16</v>
      </c>
      <c r="E251">
        <v>36</v>
      </c>
      <c r="F251">
        <v>6.4</v>
      </c>
      <c r="G251">
        <v>9.5</v>
      </c>
      <c r="H251">
        <v>6.8</v>
      </c>
      <c r="I251">
        <v>8.6999999999999993</v>
      </c>
      <c r="J251">
        <v>227</v>
      </c>
      <c r="K251">
        <v>429</v>
      </c>
      <c r="L251">
        <v>1.4</v>
      </c>
      <c r="M251">
        <v>2.9</v>
      </c>
      <c r="N251">
        <v>0.32</v>
      </c>
      <c r="O251">
        <v>0.71</v>
      </c>
      <c r="P251">
        <v>790</v>
      </c>
      <c r="Q251">
        <v>17000</v>
      </c>
      <c r="R251">
        <v>3300</v>
      </c>
      <c r="S251">
        <v>24000</v>
      </c>
      <c r="T251">
        <v>110</v>
      </c>
      <c r="U251">
        <v>790</v>
      </c>
      <c r="V251">
        <f>River_data[[#This Row],[Dissolved Oxygen Min]]*River_data[[#This Row],[Dissolved Oxygen Max]]/2</f>
        <v>30.400000000000002</v>
      </c>
      <c r="W251">
        <f>River_data[[#This Row],[BOD Min]]*River_data[[#This Row],[BOD Max]]/2</f>
        <v>2.0299999999999998</v>
      </c>
      <c r="X251">
        <f>AVERAGE(River_data[[#This Row],[pH Max]]-River_data[[#This Row],[pH Min]])</f>
        <v>1.8999999999999995</v>
      </c>
    </row>
    <row r="252" spans="1:24" x14ac:dyDescent="0.3">
      <c r="A252">
        <v>1080</v>
      </c>
      <c r="B252" s="1" t="s">
        <v>249</v>
      </c>
      <c r="C252" s="1" t="s">
        <v>247</v>
      </c>
      <c r="D252">
        <v>16</v>
      </c>
      <c r="E252">
        <v>36</v>
      </c>
      <c r="F252">
        <v>5.9</v>
      </c>
      <c r="G252">
        <v>9.9</v>
      </c>
      <c r="H252">
        <v>6.7</v>
      </c>
      <c r="I252">
        <v>9</v>
      </c>
      <c r="J252">
        <v>219</v>
      </c>
      <c r="K252">
        <v>439</v>
      </c>
      <c r="L252">
        <v>1.3</v>
      </c>
      <c r="M252">
        <v>2.8</v>
      </c>
      <c r="N252">
        <v>0.32</v>
      </c>
      <c r="O252">
        <v>0.89</v>
      </c>
      <c r="P252">
        <v>1700</v>
      </c>
      <c r="Q252">
        <v>24000</v>
      </c>
      <c r="R252">
        <v>3300</v>
      </c>
      <c r="S252">
        <v>49000</v>
      </c>
      <c r="T252">
        <v>130</v>
      </c>
      <c r="U252">
        <v>1300</v>
      </c>
      <c r="V252">
        <f>River_data[[#This Row],[Dissolved Oxygen Min]]*River_data[[#This Row],[Dissolved Oxygen Max]]/2</f>
        <v>29.205000000000002</v>
      </c>
      <c r="W252">
        <f>River_data[[#This Row],[BOD Min]]*River_data[[#This Row],[BOD Max]]/2</f>
        <v>1.8199999999999998</v>
      </c>
      <c r="X252">
        <f>AVERAGE(River_data[[#This Row],[pH Max]]-River_data[[#This Row],[pH Min]])</f>
        <v>2.2999999999999998</v>
      </c>
    </row>
    <row r="253" spans="1:24" x14ac:dyDescent="0.3">
      <c r="A253">
        <v>10159</v>
      </c>
      <c r="B253" s="1" t="s">
        <v>250</v>
      </c>
      <c r="C253" s="1" t="s">
        <v>247</v>
      </c>
      <c r="D253">
        <v>16</v>
      </c>
      <c r="E253">
        <v>36</v>
      </c>
      <c r="F253">
        <v>6</v>
      </c>
      <c r="G253">
        <v>9.8000000000000007</v>
      </c>
      <c r="H253">
        <v>6.8</v>
      </c>
      <c r="I253">
        <v>8.4</v>
      </c>
      <c r="J253">
        <v>229</v>
      </c>
      <c r="K253">
        <v>424</v>
      </c>
      <c r="L253">
        <v>1.4</v>
      </c>
      <c r="M253">
        <v>2.9</v>
      </c>
      <c r="N253">
        <v>0.32</v>
      </c>
      <c r="O253">
        <v>0.57999999999999996</v>
      </c>
      <c r="P253">
        <v>130</v>
      </c>
      <c r="Q253">
        <v>3500</v>
      </c>
      <c r="R253">
        <v>790</v>
      </c>
      <c r="S253">
        <v>9200</v>
      </c>
      <c r="T253">
        <v>23</v>
      </c>
      <c r="U253">
        <v>170</v>
      </c>
      <c r="V253">
        <f>River_data[[#This Row],[Dissolved Oxygen Min]]*River_data[[#This Row],[Dissolved Oxygen Max]]/2</f>
        <v>29.400000000000002</v>
      </c>
      <c r="W253">
        <f>River_data[[#This Row],[BOD Min]]*River_data[[#This Row],[BOD Max]]/2</f>
        <v>2.0299999999999998</v>
      </c>
      <c r="X253">
        <f>AVERAGE(River_data[[#This Row],[pH Max]]-River_data[[#This Row],[pH Min]])</f>
        <v>1.6000000000000005</v>
      </c>
    </row>
    <row r="254" spans="1:24" x14ac:dyDescent="0.3">
      <c r="A254">
        <v>2511</v>
      </c>
      <c r="B254" s="1" t="s">
        <v>251</v>
      </c>
      <c r="C254" s="1" t="s">
        <v>247</v>
      </c>
      <c r="D254">
        <v>16</v>
      </c>
      <c r="E254">
        <v>36</v>
      </c>
      <c r="F254">
        <v>5.4</v>
      </c>
      <c r="G254">
        <v>9.4</v>
      </c>
      <c r="H254">
        <v>7</v>
      </c>
      <c r="I254">
        <v>8.6</v>
      </c>
      <c r="J254">
        <v>246</v>
      </c>
      <c r="K254">
        <v>468</v>
      </c>
      <c r="L254">
        <v>1</v>
      </c>
      <c r="M254">
        <v>2.9</v>
      </c>
      <c r="N254">
        <v>0.32</v>
      </c>
      <c r="O254">
        <v>1.2</v>
      </c>
      <c r="P254">
        <v>210</v>
      </c>
      <c r="Q254">
        <v>3500</v>
      </c>
      <c r="R254">
        <v>1100</v>
      </c>
      <c r="S254">
        <v>11000</v>
      </c>
      <c r="T254">
        <v>49</v>
      </c>
      <c r="U254">
        <v>240</v>
      </c>
      <c r="V254">
        <f>River_data[[#This Row],[Dissolved Oxygen Min]]*River_data[[#This Row],[Dissolved Oxygen Max]]/2</f>
        <v>25.380000000000003</v>
      </c>
      <c r="W254">
        <f>River_data[[#This Row],[BOD Min]]*River_data[[#This Row],[BOD Max]]/2</f>
        <v>1.45</v>
      </c>
      <c r="X254">
        <f>AVERAGE(River_data[[#This Row],[pH Max]]-River_data[[#This Row],[pH Min]])</f>
        <v>1.5999999999999996</v>
      </c>
    </row>
    <row r="255" spans="1:24" x14ac:dyDescent="0.3">
      <c r="A255">
        <v>2506</v>
      </c>
      <c r="B255" s="1" t="s">
        <v>252</v>
      </c>
      <c r="C255" s="1" t="s">
        <v>247</v>
      </c>
      <c r="D255">
        <v>15</v>
      </c>
      <c r="E255">
        <v>36</v>
      </c>
      <c r="F255">
        <v>5.0999999999999996</v>
      </c>
      <c r="G255">
        <v>9.6999999999999993</v>
      </c>
      <c r="H255">
        <v>6.7</v>
      </c>
      <c r="I255">
        <v>8.5</v>
      </c>
      <c r="J255">
        <v>224</v>
      </c>
      <c r="K255">
        <v>427</v>
      </c>
      <c r="L255">
        <v>1</v>
      </c>
      <c r="M255">
        <v>3</v>
      </c>
      <c r="N255">
        <v>0.32</v>
      </c>
      <c r="O255">
        <v>0.62</v>
      </c>
      <c r="P255">
        <v>240</v>
      </c>
      <c r="Q255">
        <v>5400</v>
      </c>
      <c r="R255">
        <v>1100</v>
      </c>
      <c r="S255">
        <v>14000</v>
      </c>
      <c r="T255">
        <v>23</v>
      </c>
      <c r="U255">
        <v>790</v>
      </c>
      <c r="V255">
        <f>River_data[[#This Row],[Dissolved Oxygen Min]]*River_data[[#This Row],[Dissolved Oxygen Max]]/2</f>
        <v>24.734999999999996</v>
      </c>
      <c r="W255">
        <f>River_data[[#This Row],[BOD Min]]*River_data[[#This Row],[BOD Max]]/2</f>
        <v>1.5</v>
      </c>
      <c r="X255">
        <f>AVERAGE(River_data[[#This Row],[pH Max]]-River_data[[#This Row],[pH Min]])</f>
        <v>1.7999999999999998</v>
      </c>
    </row>
    <row r="256" spans="1:24" x14ac:dyDescent="0.3">
      <c r="A256">
        <v>1054</v>
      </c>
      <c r="B256" s="1" t="s">
        <v>253</v>
      </c>
      <c r="C256" s="1" t="s">
        <v>247</v>
      </c>
      <c r="D256">
        <v>15</v>
      </c>
      <c r="E256">
        <v>36</v>
      </c>
      <c r="F256">
        <v>5.2</v>
      </c>
      <c r="G256">
        <v>9.9</v>
      </c>
      <c r="H256">
        <v>7.1</v>
      </c>
      <c r="I256">
        <v>8.4</v>
      </c>
      <c r="J256">
        <v>232</v>
      </c>
      <c r="K256">
        <v>444</v>
      </c>
      <c r="L256">
        <v>1.4</v>
      </c>
      <c r="M256">
        <v>2.9</v>
      </c>
      <c r="N256">
        <v>0.32</v>
      </c>
      <c r="O256">
        <v>0.83</v>
      </c>
      <c r="P256">
        <v>3500</v>
      </c>
      <c r="Q256">
        <v>49000</v>
      </c>
      <c r="R256">
        <v>13000</v>
      </c>
      <c r="S256">
        <v>79000</v>
      </c>
      <c r="T256">
        <v>330</v>
      </c>
      <c r="U256">
        <v>1400</v>
      </c>
      <c r="V256">
        <f>River_data[[#This Row],[Dissolved Oxygen Min]]*River_data[[#This Row],[Dissolved Oxygen Max]]/2</f>
        <v>25.740000000000002</v>
      </c>
      <c r="W256">
        <f>River_data[[#This Row],[BOD Min]]*River_data[[#This Row],[BOD Max]]/2</f>
        <v>2.0299999999999998</v>
      </c>
      <c r="X256">
        <f>AVERAGE(River_data[[#This Row],[pH Max]]-River_data[[#This Row],[pH Min]])</f>
        <v>1.3000000000000007</v>
      </c>
    </row>
    <row r="257" spans="1:24" x14ac:dyDescent="0.3">
      <c r="A257">
        <v>10161</v>
      </c>
      <c r="B257" s="1" t="s">
        <v>254</v>
      </c>
      <c r="C257" s="1" t="s">
        <v>247</v>
      </c>
      <c r="D257">
        <v>14</v>
      </c>
      <c r="E257">
        <v>36</v>
      </c>
      <c r="F257">
        <v>5.0999999999999996</v>
      </c>
      <c r="G257">
        <v>9.6</v>
      </c>
      <c r="H257">
        <v>7.1</v>
      </c>
      <c r="I257">
        <v>8.6999999999999993</v>
      </c>
      <c r="J257">
        <v>240</v>
      </c>
      <c r="K257">
        <v>484</v>
      </c>
      <c r="L257">
        <v>1.4</v>
      </c>
      <c r="M257">
        <v>2.9</v>
      </c>
      <c r="N257">
        <v>0.32</v>
      </c>
      <c r="O257">
        <v>0.73</v>
      </c>
      <c r="P257">
        <v>1700</v>
      </c>
      <c r="Q257">
        <v>49000</v>
      </c>
      <c r="R257">
        <v>6300</v>
      </c>
      <c r="S257">
        <v>110000</v>
      </c>
      <c r="T257">
        <v>130</v>
      </c>
      <c r="U257">
        <v>1400</v>
      </c>
      <c r="V257">
        <f>River_data[[#This Row],[Dissolved Oxygen Min]]*River_data[[#This Row],[Dissolved Oxygen Max]]/2</f>
        <v>24.479999999999997</v>
      </c>
      <c r="W257">
        <f>River_data[[#This Row],[BOD Min]]*River_data[[#This Row],[BOD Max]]/2</f>
        <v>2.0299999999999998</v>
      </c>
      <c r="X257">
        <f>AVERAGE(River_data[[#This Row],[pH Max]]-River_data[[#This Row],[pH Min]])</f>
        <v>1.5999999999999996</v>
      </c>
    </row>
    <row r="258" spans="1:24" x14ac:dyDescent="0.3">
      <c r="A258">
        <v>1472</v>
      </c>
      <c r="B258" s="1" t="s">
        <v>255</v>
      </c>
      <c r="C258" s="1" t="s">
        <v>247</v>
      </c>
      <c r="D258">
        <v>16</v>
      </c>
      <c r="E258">
        <v>36</v>
      </c>
      <c r="F258">
        <v>5.3</v>
      </c>
      <c r="G258">
        <v>9.6999999999999993</v>
      </c>
      <c r="H258">
        <v>7.1</v>
      </c>
      <c r="I258">
        <v>8.4</v>
      </c>
      <c r="J258">
        <v>268</v>
      </c>
      <c r="K258">
        <v>4223</v>
      </c>
      <c r="L258">
        <v>1.4</v>
      </c>
      <c r="M258">
        <v>2.9</v>
      </c>
      <c r="N258">
        <v>0.32</v>
      </c>
      <c r="O258">
        <v>0.99</v>
      </c>
      <c r="P258">
        <v>5400</v>
      </c>
      <c r="Q258">
        <v>54000</v>
      </c>
      <c r="R258">
        <v>14000</v>
      </c>
      <c r="S258">
        <v>79000</v>
      </c>
      <c r="T258">
        <v>330</v>
      </c>
      <c r="U258">
        <v>9400</v>
      </c>
      <c r="V258">
        <f>River_data[[#This Row],[Dissolved Oxygen Min]]*River_data[[#This Row],[Dissolved Oxygen Max]]/2</f>
        <v>25.704999999999998</v>
      </c>
      <c r="W258">
        <f>River_data[[#This Row],[BOD Min]]*River_data[[#This Row],[BOD Max]]/2</f>
        <v>2.0299999999999998</v>
      </c>
      <c r="X258">
        <f>AVERAGE(River_data[[#This Row],[pH Max]]-River_data[[#This Row],[pH Min]])</f>
        <v>1.3000000000000007</v>
      </c>
    </row>
    <row r="259" spans="1:24" x14ac:dyDescent="0.3">
      <c r="A259">
        <v>1053</v>
      </c>
      <c r="B259" s="1" t="s">
        <v>256</v>
      </c>
      <c r="C259" s="1" t="s">
        <v>247</v>
      </c>
      <c r="D259">
        <v>18</v>
      </c>
      <c r="E259">
        <v>35</v>
      </c>
      <c r="F259">
        <v>5</v>
      </c>
      <c r="G259">
        <v>7.5</v>
      </c>
      <c r="H259">
        <v>6.9</v>
      </c>
      <c r="I259">
        <v>8.1</v>
      </c>
      <c r="J259">
        <v>230</v>
      </c>
      <c r="K259">
        <v>451</v>
      </c>
      <c r="L259">
        <v>2.4</v>
      </c>
      <c r="M259">
        <v>3.3</v>
      </c>
      <c r="N259">
        <v>0.32</v>
      </c>
      <c r="O259">
        <v>1.33</v>
      </c>
      <c r="P259">
        <v>23000</v>
      </c>
      <c r="Q259">
        <v>84000</v>
      </c>
      <c r="R259">
        <v>79000</v>
      </c>
      <c r="S259">
        <v>170000</v>
      </c>
      <c r="T259">
        <v>260</v>
      </c>
      <c r="U259">
        <v>540</v>
      </c>
      <c r="V259">
        <f>River_data[[#This Row],[Dissolved Oxygen Min]]*River_data[[#This Row],[Dissolved Oxygen Max]]/2</f>
        <v>18.75</v>
      </c>
      <c r="W259">
        <f>River_data[[#This Row],[BOD Min]]*River_data[[#This Row],[BOD Max]]/2</f>
        <v>3.9599999999999995</v>
      </c>
      <c r="X259">
        <f>AVERAGE(River_data[[#This Row],[pH Max]]-River_data[[#This Row],[pH Min]])</f>
        <v>1.1999999999999993</v>
      </c>
    </row>
    <row r="260" spans="1:24" x14ac:dyDescent="0.3">
      <c r="A260">
        <v>1471</v>
      </c>
      <c r="B260" s="1" t="s">
        <v>257</v>
      </c>
      <c r="C260" s="1" t="s">
        <v>247</v>
      </c>
      <c r="D260">
        <v>20</v>
      </c>
      <c r="E260">
        <v>34</v>
      </c>
      <c r="F260">
        <v>5</v>
      </c>
      <c r="G260">
        <v>7.8</v>
      </c>
      <c r="H260">
        <v>6.8</v>
      </c>
      <c r="I260">
        <v>7.9</v>
      </c>
      <c r="J260">
        <v>222</v>
      </c>
      <c r="K260">
        <v>483</v>
      </c>
      <c r="L260">
        <v>2.4</v>
      </c>
      <c r="M260">
        <v>3.6</v>
      </c>
      <c r="N260">
        <v>0.35</v>
      </c>
      <c r="O260">
        <v>1.56</v>
      </c>
      <c r="P260">
        <v>31000</v>
      </c>
      <c r="Q260">
        <v>79000</v>
      </c>
      <c r="R260">
        <v>70000</v>
      </c>
      <c r="S260">
        <v>140000</v>
      </c>
      <c r="T260">
        <v>170</v>
      </c>
      <c r="U260">
        <v>490</v>
      </c>
      <c r="V260">
        <f>River_data[[#This Row],[Dissolved Oxygen Min]]*River_data[[#This Row],[Dissolved Oxygen Max]]/2</f>
        <v>19.5</v>
      </c>
      <c r="W260">
        <f>River_data[[#This Row],[BOD Min]]*River_data[[#This Row],[BOD Max]]/2</f>
        <v>4.32</v>
      </c>
      <c r="X260">
        <f>AVERAGE(River_data[[#This Row],[pH Max]]-River_data[[#This Row],[pH Min]])</f>
        <v>1.1000000000000005</v>
      </c>
    </row>
    <row r="261" spans="1:24" x14ac:dyDescent="0.3">
      <c r="A261">
        <v>1470</v>
      </c>
      <c r="B261" s="1" t="s">
        <v>258</v>
      </c>
      <c r="C261" s="1" t="s">
        <v>247</v>
      </c>
      <c r="D261">
        <v>20</v>
      </c>
      <c r="E261">
        <v>36</v>
      </c>
      <c r="F261">
        <v>5</v>
      </c>
      <c r="G261">
        <v>7.8</v>
      </c>
      <c r="H261">
        <v>6.9</v>
      </c>
      <c r="I261">
        <v>8</v>
      </c>
      <c r="J261">
        <v>243</v>
      </c>
      <c r="K261">
        <v>469</v>
      </c>
      <c r="L261">
        <v>2</v>
      </c>
      <c r="M261">
        <v>3.9</v>
      </c>
      <c r="N261">
        <v>0.33</v>
      </c>
      <c r="O261">
        <v>1.84</v>
      </c>
      <c r="P261">
        <v>33000</v>
      </c>
      <c r="Q261">
        <v>94000</v>
      </c>
      <c r="R261">
        <v>70000</v>
      </c>
      <c r="S261">
        <v>170000</v>
      </c>
      <c r="T261">
        <v>210</v>
      </c>
      <c r="U261">
        <v>580</v>
      </c>
      <c r="V261">
        <f>River_data[[#This Row],[Dissolved Oxygen Min]]*River_data[[#This Row],[Dissolved Oxygen Max]]/2</f>
        <v>19.5</v>
      </c>
      <c r="W261">
        <f>River_data[[#This Row],[BOD Min]]*River_data[[#This Row],[BOD Max]]/2</f>
        <v>3.9</v>
      </c>
      <c r="X261">
        <f>AVERAGE(River_data[[#This Row],[pH Max]]-River_data[[#This Row],[pH Min]])</f>
        <v>1.0999999999999996</v>
      </c>
    </row>
    <row r="262" spans="1:24" x14ac:dyDescent="0.3">
      <c r="A262">
        <v>1052</v>
      </c>
      <c r="B262" s="1" t="s">
        <v>259</v>
      </c>
      <c r="C262" s="1" t="s">
        <v>247</v>
      </c>
      <c r="D262">
        <v>23</v>
      </c>
      <c r="E262">
        <v>35</v>
      </c>
      <c r="F262">
        <v>5</v>
      </c>
      <c r="G262">
        <v>6.8</v>
      </c>
      <c r="H262">
        <v>6.8</v>
      </c>
      <c r="I262">
        <v>8</v>
      </c>
      <c r="J262">
        <v>254</v>
      </c>
      <c r="K262">
        <v>1224</v>
      </c>
      <c r="L262">
        <v>2.2999999999999998</v>
      </c>
      <c r="M262">
        <v>3.1</v>
      </c>
      <c r="N262">
        <v>0.53</v>
      </c>
      <c r="O262">
        <v>1.75</v>
      </c>
      <c r="P262">
        <v>17000</v>
      </c>
      <c r="Q262">
        <v>34000</v>
      </c>
      <c r="R262">
        <v>27000</v>
      </c>
      <c r="S262">
        <v>49000</v>
      </c>
      <c r="T262">
        <v>110</v>
      </c>
      <c r="U262">
        <v>330</v>
      </c>
      <c r="V262">
        <f>River_data[[#This Row],[Dissolved Oxygen Min]]*River_data[[#This Row],[Dissolved Oxygen Max]]/2</f>
        <v>17</v>
      </c>
      <c r="W262">
        <f>River_data[[#This Row],[BOD Min]]*River_data[[#This Row],[BOD Max]]/2</f>
        <v>3.5649999999999999</v>
      </c>
      <c r="X262">
        <f>AVERAGE(River_data[[#This Row],[pH Max]]-River_data[[#This Row],[pH Min]])</f>
        <v>1.2000000000000002</v>
      </c>
    </row>
    <row r="263" spans="1:24" x14ac:dyDescent="0.3">
      <c r="A263">
        <v>1469</v>
      </c>
      <c r="B263" s="1" t="s">
        <v>260</v>
      </c>
      <c r="C263" s="1" t="s">
        <v>247</v>
      </c>
      <c r="D263">
        <v>21</v>
      </c>
      <c r="E263">
        <v>37</v>
      </c>
      <c r="F263">
        <v>5.2</v>
      </c>
      <c r="G263">
        <v>6.9</v>
      </c>
      <c r="H263">
        <v>6.8</v>
      </c>
      <c r="I263">
        <v>8.1999999999999993</v>
      </c>
      <c r="J263">
        <v>508</v>
      </c>
      <c r="K263">
        <v>10296</v>
      </c>
      <c r="L263">
        <v>2.1</v>
      </c>
      <c r="M263">
        <v>3.2</v>
      </c>
      <c r="N263">
        <v>0.61</v>
      </c>
      <c r="O263">
        <v>1.85</v>
      </c>
      <c r="P263">
        <v>1300</v>
      </c>
      <c r="Q263">
        <v>7800</v>
      </c>
      <c r="R263">
        <v>2200</v>
      </c>
      <c r="S263">
        <v>11000</v>
      </c>
      <c r="T263">
        <v>11</v>
      </c>
      <c r="U263">
        <v>110</v>
      </c>
      <c r="V263">
        <f>River_data[[#This Row],[Dissolved Oxygen Min]]*River_data[[#This Row],[Dissolved Oxygen Max]]/2</f>
        <v>17.940000000000001</v>
      </c>
      <c r="W263">
        <f>River_data[[#This Row],[BOD Min]]*River_data[[#This Row],[BOD Max]]/2</f>
        <v>3.3600000000000003</v>
      </c>
      <c r="X263">
        <f>AVERAGE(River_data[[#This Row],[pH Max]]-River_data[[#This Row],[pH Min]])</f>
        <v>1.3999999999999995</v>
      </c>
    </row>
    <row r="264" spans="1:24" x14ac:dyDescent="0.3">
      <c r="A264">
        <v>1335</v>
      </c>
      <c r="B264" s="1" t="s">
        <v>261</v>
      </c>
      <c r="C264" s="1" t="s">
        <v>247</v>
      </c>
      <c r="D264">
        <v>22</v>
      </c>
      <c r="E264">
        <v>34</v>
      </c>
      <c r="F264">
        <v>5.4</v>
      </c>
      <c r="G264">
        <v>7.5</v>
      </c>
      <c r="H264">
        <v>7.8</v>
      </c>
      <c r="I264">
        <v>8.5</v>
      </c>
      <c r="J264">
        <v>705</v>
      </c>
      <c r="K264">
        <v>17930</v>
      </c>
      <c r="L264">
        <v>1</v>
      </c>
      <c r="M264">
        <v>2.6</v>
      </c>
      <c r="N264">
        <v>0.32</v>
      </c>
      <c r="O264">
        <v>1.87</v>
      </c>
      <c r="P264">
        <v>3600</v>
      </c>
      <c r="Q264">
        <v>7900</v>
      </c>
      <c r="R264">
        <v>7900</v>
      </c>
      <c r="S264">
        <v>14000</v>
      </c>
      <c r="T264">
        <v>170</v>
      </c>
      <c r="U264">
        <v>320</v>
      </c>
      <c r="V264">
        <f>River_data[[#This Row],[Dissolved Oxygen Min]]*River_data[[#This Row],[Dissolved Oxygen Max]]/2</f>
        <v>20.25</v>
      </c>
      <c r="W264">
        <f>River_data[[#This Row],[BOD Min]]*River_data[[#This Row],[BOD Max]]/2</f>
        <v>1.3</v>
      </c>
      <c r="X264">
        <f>AVERAGE(River_data[[#This Row],[pH Max]]-River_data[[#This Row],[pH Min]])</f>
        <v>0.70000000000000018</v>
      </c>
    </row>
    <row r="265" spans="1:24" x14ac:dyDescent="0.3">
      <c r="A265">
        <v>1492</v>
      </c>
      <c r="B265" s="1" t="s">
        <v>274</v>
      </c>
      <c r="C265" s="1" t="s">
        <v>148</v>
      </c>
      <c r="D265">
        <v>4</v>
      </c>
      <c r="E265">
        <v>4</v>
      </c>
      <c r="F265">
        <v>11.2</v>
      </c>
      <c r="G265">
        <v>11.2</v>
      </c>
      <c r="H265">
        <v>7.8</v>
      </c>
      <c r="I265">
        <v>7.8</v>
      </c>
      <c r="J265">
        <v>31</v>
      </c>
      <c r="K265">
        <v>31</v>
      </c>
      <c r="L265">
        <v>1</v>
      </c>
      <c r="M265">
        <v>1</v>
      </c>
      <c r="N265">
        <v>0.32</v>
      </c>
      <c r="O265">
        <v>0.32</v>
      </c>
      <c r="P265">
        <v>2</v>
      </c>
      <c r="Q265">
        <v>2</v>
      </c>
      <c r="R265">
        <v>2</v>
      </c>
      <c r="S265">
        <v>2</v>
      </c>
      <c r="T265">
        <v>2</v>
      </c>
      <c r="U265">
        <v>2</v>
      </c>
      <c r="V265">
        <f>River_data[[#This Row],[Dissolved Oxygen Min]]*River_data[[#This Row],[Dissolved Oxygen Max]]/2</f>
        <v>62.719999999999992</v>
      </c>
      <c r="W265">
        <f>River_data[[#This Row],[BOD Min]]*River_data[[#This Row],[BOD Max]]/2</f>
        <v>0.5</v>
      </c>
      <c r="X265">
        <f>AVERAGE(River_data[[#This Row],[pH Max]]-River_data[[#This Row],[pH Min]])</f>
        <v>0</v>
      </c>
    </row>
    <row r="266" spans="1:24" x14ac:dyDescent="0.3">
      <c r="A266">
        <v>1493</v>
      </c>
      <c r="B266" s="1" t="s">
        <v>275</v>
      </c>
      <c r="C266" s="1" t="s">
        <v>148</v>
      </c>
      <c r="D266">
        <v>10</v>
      </c>
      <c r="E266">
        <v>10</v>
      </c>
      <c r="F266">
        <v>10.8</v>
      </c>
      <c r="G266">
        <v>10.8</v>
      </c>
      <c r="H266">
        <v>7.6</v>
      </c>
      <c r="I266">
        <v>7.6</v>
      </c>
      <c r="J266">
        <v>56</v>
      </c>
      <c r="K266">
        <v>56</v>
      </c>
      <c r="L266">
        <v>1</v>
      </c>
      <c r="M266">
        <v>1</v>
      </c>
      <c r="N266">
        <v>0.33</v>
      </c>
      <c r="O266">
        <v>0.33</v>
      </c>
      <c r="P266">
        <v>2</v>
      </c>
      <c r="Q266">
        <v>2</v>
      </c>
      <c r="R266">
        <v>2</v>
      </c>
      <c r="S266">
        <v>2</v>
      </c>
      <c r="T266">
        <v>2</v>
      </c>
      <c r="U266">
        <v>2</v>
      </c>
      <c r="V266">
        <f>River_data[[#This Row],[Dissolved Oxygen Min]]*River_data[[#This Row],[Dissolved Oxygen Max]]/2</f>
        <v>58.320000000000007</v>
      </c>
      <c r="W266">
        <f>River_data[[#This Row],[BOD Min]]*River_data[[#This Row],[BOD Max]]/2</f>
        <v>0.5</v>
      </c>
      <c r="X266">
        <f>AVERAGE(River_data[[#This Row],[pH Max]]-River_data[[#This Row],[pH Min]])</f>
        <v>0</v>
      </c>
    </row>
    <row r="267" spans="1:24" x14ac:dyDescent="0.3">
      <c r="A267">
        <v>1494</v>
      </c>
      <c r="B267" s="1" t="s">
        <v>276</v>
      </c>
      <c r="C267" s="1" t="s">
        <v>148</v>
      </c>
      <c r="D267">
        <v>9</v>
      </c>
      <c r="E267">
        <v>21</v>
      </c>
      <c r="F267">
        <v>9.4</v>
      </c>
      <c r="G267">
        <v>10.8</v>
      </c>
      <c r="H267">
        <v>7.7</v>
      </c>
      <c r="I267">
        <v>8.4</v>
      </c>
      <c r="J267">
        <v>105</v>
      </c>
      <c r="K267">
        <v>214</v>
      </c>
      <c r="L267">
        <v>1</v>
      </c>
      <c r="M267">
        <v>1</v>
      </c>
      <c r="N267">
        <v>0.32</v>
      </c>
      <c r="O267">
        <v>0.6</v>
      </c>
      <c r="P267">
        <v>2</v>
      </c>
      <c r="Q267">
        <v>2</v>
      </c>
      <c r="R267">
        <v>2</v>
      </c>
      <c r="S267">
        <v>2</v>
      </c>
      <c r="T267">
        <v>2</v>
      </c>
      <c r="U267">
        <v>2</v>
      </c>
      <c r="V267">
        <f>River_data[[#This Row],[Dissolved Oxygen Min]]*River_data[[#This Row],[Dissolved Oxygen Max]]/2</f>
        <v>50.760000000000005</v>
      </c>
      <c r="W267">
        <f>River_data[[#This Row],[BOD Min]]*River_data[[#This Row],[BOD Max]]/2</f>
        <v>0.5</v>
      </c>
      <c r="X267">
        <f>AVERAGE(River_data[[#This Row],[pH Max]]-River_data[[#This Row],[pH Min]])</f>
        <v>0.70000000000000018</v>
      </c>
    </row>
    <row r="268" spans="1:24" x14ac:dyDescent="0.3">
      <c r="A268">
        <v>30025</v>
      </c>
      <c r="B268" s="1" t="s">
        <v>277</v>
      </c>
      <c r="C268" s="1" t="s">
        <v>148</v>
      </c>
      <c r="D268">
        <v>17</v>
      </c>
      <c r="E268">
        <v>21</v>
      </c>
      <c r="F268">
        <v>9.4</v>
      </c>
      <c r="G268">
        <v>10.8</v>
      </c>
      <c r="H268">
        <v>8.1999999999999993</v>
      </c>
      <c r="I268">
        <v>8.4</v>
      </c>
      <c r="J268">
        <v>128</v>
      </c>
      <c r="K268">
        <v>286</v>
      </c>
      <c r="L268">
        <v>1</v>
      </c>
      <c r="M268">
        <v>9</v>
      </c>
      <c r="N268">
        <v>0.32</v>
      </c>
      <c r="O268">
        <v>0.47</v>
      </c>
      <c r="P268">
        <v>2</v>
      </c>
      <c r="Q268">
        <v>4000</v>
      </c>
      <c r="R268">
        <v>13</v>
      </c>
      <c r="S268">
        <v>17000</v>
      </c>
      <c r="T268">
        <v>2</v>
      </c>
      <c r="U268">
        <v>230</v>
      </c>
      <c r="V268">
        <f>River_data[[#This Row],[Dissolved Oxygen Min]]*River_data[[#This Row],[Dissolved Oxygen Max]]/2</f>
        <v>50.760000000000005</v>
      </c>
      <c r="W268">
        <f>River_data[[#This Row],[BOD Min]]*River_data[[#This Row],[BOD Max]]/2</f>
        <v>4.5</v>
      </c>
      <c r="X268">
        <f>AVERAGE(River_data[[#This Row],[pH Max]]-River_data[[#This Row],[pH Min]])</f>
        <v>0.20000000000000107</v>
      </c>
    </row>
    <row r="269" spans="1:24" x14ac:dyDescent="0.3">
      <c r="A269">
        <v>1490</v>
      </c>
      <c r="B269" s="1" t="s">
        <v>278</v>
      </c>
      <c r="C269" s="1" t="s">
        <v>148</v>
      </c>
      <c r="D269">
        <v>10</v>
      </c>
      <c r="E269">
        <v>22</v>
      </c>
      <c r="F269">
        <v>9.1999999999999993</v>
      </c>
      <c r="G269">
        <v>10.6</v>
      </c>
      <c r="H269">
        <v>7</v>
      </c>
      <c r="I269">
        <v>8.1</v>
      </c>
      <c r="J269">
        <v>72</v>
      </c>
      <c r="K269">
        <v>186</v>
      </c>
      <c r="L269">
        <v>1</v>
      </c>
      <c r="M269">
        <v>1</v>
      </c>
      <c r="N269">
        <v>0.32</v>
      </c>
      <c r="O269">
        <v>0.37</v>
      </c>
      <c r="P269">
        <v>41</v>
      </c>
      <c r="Q269">
        <v>84</v>
      </c>
      <c r="R269">
        <v>70</v>
      </c>
      <c r="S269">
        <v>94</v>
      </c>
      <c r="T269">
        <v>6</v>
      </c>
      <c r="U269">
        <v>14</v>
      </c>
      <c r="V269">
        <f>River_data[[#This Row],[Dissolved Oxygen Min]]*River_data[[#This Row],[Dissolved Oxygen Max]]/2</f>
        <v>48.76</v>
      </c>
      <c r="W269">
        <f>River_data[[#This Row],[BOD Min]]*River_data[[#This Row],[BOD Max]]/2</f>
        <v>0.5</v>
      </c>
      <c r="X269">
        <f>AVERAGE(River_data[[#This Row],[pH Max]]-River_data[[#This Row],[pH Min]])</f>
        <v>1.0999999999999996</v>
      </c>
    </row>
    <row r="270" spans="1:24" x14ac:dyDescent="0.3">
      <c r="A270">
        <v>30027</v>
      </c>
      <c r="B270" s="1" t="s">
        <v>279</v>
      </c>
      <c r="C270" s="1" t="s">
        <v>0</v>
      </c>
      <c r="D270">
        <v>20</v>
      </c>
      <c r="E270">
        <v>24.3</v>
      </c>
      <c r="F270">
        <v>9</v>
      </c>
      <c r="G270">
        <v>10.5</v>
      </c>
      <c r="H270">
        <v>8</v>
      </c>
      <c r="I270">
        <v>8.4</v>
      </c>
      <c r="J270">
        <v>134</v>
      </c>
      <c r="K270">
        <v>518</v>
      </c>
      <c r="L270">
        <v>1</v>
      </c>
      <c r="M270">
        <v>9</v>
      </c>
      <c r="N270">
        <v>0.49</v>
      </c>
      <c r="O270">
        <v>1.32</v>
      </c>
      <c r="P270">
        <v>7</v>
      </c>
      <c r="Q270">
        <v>7800</v>
      </c>
      <c r="R270">
        <v>170</v>
      </c>
      <c r="S270">
        <v>33000</v>
      </c>
      <c r="T270">
        <v>4</v>
      </c>
      <c r="U270">
        <v>2400</v>
      </c>
      <c r="V270">
        <f>River_data[[#This Row],[Dissolved Oxygen Min]]*River_data[[#This Row],[Dissolved Oxygen Max]]/2</f>
        <v>47.25</v>
      </c>
      <c r="W270">
        <f>River_data[[#This Row],[BOD Min]]*River_data[[#This Row],[BOD Max]]/2</f>
        <v>4.5</v>
      </c>
      <c r="X270">
        <f>AVERAGE(River_data[[#This Row],[pH Max]]-River_data[[#This Row],[pH Min]])</f>
        <v>0.40000000000000036</v>
      </c>
    </row>
    <row r="271" spans="1:24" x14ac:dyDescent="0.3">
      <c r="A271">
        <v>1553</v>
      </c>
      <c r="B271" s="1" t="s">
        <v>280</v>
      </c>
      <c r="C271" s="1" t="s">
        <v>0</v>
      </c>
      <c r="D271">
        <v>16</v>
      </c>
      <c r="E271">
        <v>23</v>
      </c>
      <c r="F271">
        <v>6.3</v>
      </c>
      <c r="G271">
        <v>8.4</v>
      </c>
      <c r="H271">
        <v>7</v>
      </c>
      <c r="I271">
        <v>8.4</v>
      </c>
      <c r="J271">
        <v>264</v>
      </c>
      <c r="K271">
        <v>702</v>
      </c>
      <c r="L271">
        <v>1</v>
      </c>
      <c r="M271">
        <v>2.5</v>
      </c>
      <c r="N271">
        <v>0.54</v>
      </c>
      <c r="O271">
        <v>0.9</v>
      </c>
      <c r="P271">
        <v>2</v>
      </c>
      <c r="Q271">
        <v>94</v>
      </c>
      <c r="R271">
        <v>49</v>
      </c>
      <c r="S271">
        <v>220</v>
      </c>
      <c r="T271">
        <v>2</v>
      </c>
      <c r="U271">
        <v>2</v>
      </c>
      <c r="V271">
        <f>River_data[[#This Row],[Dissolved Oxygen Min]]*River_data[[#This Row],[Dissolved Oxygen Max]]/2</f>
        <v>26.46</v>
      </c>
      <c r="W271">
        <f>River_data[[#This Row],[BOD Min]]*River_data[[#This Row],[BOD Max]]/2</f>
        <v>1.25</v>
      </c>
      <c r="X271">
        <f>AVERAGE(River_data[[#This Row],[pH Max]]-River_data[[#This Row],[pH Min]])</f>
        <v>1.4000000000000004</v>
      </c>
    </row>
    <row r="272" spans="1:24" x14ac:dyDescent="0.3">
      <c r="A272">
        <v>1554</v>
      </c>
      <c r="B272" s="1" t="s">
        <v>281</v>
      </c>
      <c r="C272" s="1" t="s">
        <v>0</v>
      </c>
      <c r="D272">
        <v>16</v>
      </c>
      <c r="E272">
        <v>22</v>
      </c>
      <c r="F272">
        <v>6.3</v>
      </c>
      <c r="G272">
        <v>8.4</v>
      </c>
      <c r="H272">
        <v>7.7</v>
      </c>
      <c r="I272">
        <v>8.3000000000000007</v>
      </c>
      <c r="J272">
        <v>243</v>
      </c>
      <c r="K272">
        <v>666</v>
      </c>
      <c r="L272">
        <v>1.6</v>
      </c>
      <c r="M272">
        <v>3.6</v>
      </c>
      <c r="N272">
        <v>0.54</v>
      </c>
      <c r="O272">
        <v>0.9</v>
      </c>
      <c r="P272">
        <v>2</v>
      </c>
      <c r="Q272">
        <v>220</v>
      </c>
      <c r="R272">
        <v>94</v>
      </c>
      <c r="S272">
        <v>540</v>
      </c>
      <c r="T272">
        <v>2</v>
      </c>
      <c r="U272">
        <v>2</v>
      </c>
      <c r="V272">
        <f>River_data[[#This Row],[Dissolved Oxygen Min]]*River_data[[#This Row],[Dissolved Oxygen Max]]/2</f>
        <v>26.46</v>
      </c>
      <c r="W272">
        <f>River_data[[#This Row],[BOD Min]]*River_data[[#This Row],[BOD Max]]/2</f>
        <v>2.8800000000000003</v>
      </c>
      <c r="X272">
        <f>AVERAGE(River_data[[#This Row],[pH Max]]-River_data[[#This Row],[pH Min]])</f>
        <v>0.60000000000000053</v>
      </c>
    </row>
    <row r="273" spans="1:24" x14ac:dyDescent="0.3">
      <c r="A273">
        <v>4439</v>
      </c>
      <c r="B273" s="1" t="s">
        <v>282</v>
      </c>
      <c r="C273" s="1" t="s">
        <v>0</v>
      </c>
      <c r="D273">
        <v>15</v>
      </c>
      <c r="E273">
        <v>23</v>
      </c>
      <c r="F273">
        <v>6.4</v>
      </c>
      <c r="G273">
        <v>8.5</v>
      </c>
      <c r="H273">
        <v>7.4</v>
      </c>
      <c r="I273">
        <v>8.3000000000000007</v>
      </c>
      <c r="J273">
        <v>257</v>
      </c>
      <c r="K273">
        <v>587</v>
      </c>
      <c r="L273">
        <v>1.3</v>
      </c>
      <c r="M273">
        <v>2.9</v>
      </c>
      <c r="N273">
        <v>0.54</v>
      </c>
      <c r="O273">
        <v>0.92</v>
      </c>
      <c r="P273">
        <v>40</v>
      </c>
      <c r="Q273">
        <v>240</v>
      </c>
      <c r="R273">
        <v>170</v>
      </c>
      <c r="S273">
        <v>350</v>
      </c>
      <c r="T273">
        <v>2</v>
      </c>
      <c r="U273">
        <v>2</v>
      </c>
      <c r="V273">
        <f>River_data[[#This Row],[Dissolved Oxygen Min]]*River_data[[#This Row],[Dissolved Oxygen Max]]/2</f>
        <v>27.200000000000003</v>
      </c>
      <c r="W273">
        <f>River_data[[#This Row],[BOD Min]]*River_data[[#This Row],[BOD Max]]/2</f>
        <v>1.885</v>
      </c>
      <c r="X273">
        <f>AVERAGE(River_data[[#This Row],[pH Max]]-River_data[[#This Row],[pH Min]])</f>
        <v>0.90000000000000036</v>
      </c>
    </row>
    <row r="274" spans="1:24" x14ac:dyDescent="0.3">
      <c r="A274">
        <v>4440</v>
      </c>
      <c r="B274" s="1" t="s">
        <v>283</v>
      </c>
      <c r="C274" s="1" t="s">
        <v>0</v>
      </c>
      <c r="D274">
        <v>16</v>
      </c>
      <c r="E274">
        <v>24</v>
      </c>
      <c r="F274">
        <v>6.4</v>
      </c>
      <c r="G274">
        <v>8.4</v>
      </c>
      <c r="H274">
        <v>7.7</v>
      </c>
      <c r="I274">
        <v>8.4</v>
      </c>
      <c r="J274">
        <v>301</v>
      </c>
      <c r="K274">
        <v>550</v>
      </c>
      <c r="L274">
        <v>1.2</v>
      </c>
      <c r="M274">
        <v>3.5</v>
      </c>
      <c r="N274">
        <v>0</v>
      </c>
      <c r="O274">
        <v>0.92</v>
      </c>
      <c r="P274">
        <v>46</v>
      </c>
      <c r="Q274">
        <v>350</v>
      </c>
      <c r="R274">
        <v>280</v>
      </c>
      <c r="S274">
        <v>920</v>
      </c>
      <c r="T274">
        <v>2</v>
      </c>
      <c r="U274">
        <v>2</v>
      </c>
      <c r="V274">
        <f>River_data[[#This Row],[Dissolved Oxygen Min]]*River_data[[#This Row],[Dissolved Oxygen Max]]/2</f>
        <v>26.880000000000003</v>
      </c>
      <c r="W274">
        <f>River_data[[#This Row],[BOD Min]]*River_data[[#This Row],[BOD Max]]/2</f>
        <v>2.1</v>
      </c>
      <c r="X274">
        <f>AVERAGE(River_data[[#This Row],[pH Max]]-River_data[[#This Row],[pH Min]])</f>
        <v>0.70000000000000018</v>
      </c>
    </row>
    <row r="275" spans="1:24" x14ac:dyDescent="0.3">
      <c r="A275">
        <v>30028</v>
      </c>
      <c r="B275" s="1" t="s">
        <v>284</v>
      </c>
      <c r="C275" s="1" t="s">
        <v>285</v>
      </c>
      <c r="D275">
        <v>17.5</v>
      </c>
      <c r="E275">
        <v>27.5</v>
      </c>
      <c r="F275">
        <v>7.9</v>
      </c>
      <c r="G275">
        <v>8.8000000000000007</v>
      </c>
      <c r="H275">
        <v>8</v>
      </c>
      <c r="I275">
        <v>8.4</v>
      </c>
      <c r="J275">
        <v>211</v>
      </c>
      <c r="K275">
        <v>358</v>
      </c>
      <c r="L275">
        <v>1</v>
      </c>
      <c r="M275">
        <v>15</v>
      </c>
      <c r="N275">
        <v>0.53</v>
      </c>
      <c r="O275">
        <v>0.89</v>
      </c>
      <c r="P275">
        <v>110</v>
      </c>
      <c r="Q275">
        <v>4900</v>
      </c>
      <c r="R275">
        <v>790</v>
      </c>
      <c r="S275">
        <v>92000</v>
      </c>
      <c r="T275">
        <v>2</v>
      </c>
      <c r="U275">
        <v>490</v>
      </c>
      <c r="V275">
        <f>River_data[[#This Row],[Dissolved Oxygen Min]]*River_data[[#This Row],[Dissolved Oxygen Max]]/2</f>
        <v>34.760000000000005</v>
      </c>
      <c r="W275">
        <f>River_data[[#This Row],[BOD Min]]*River_data[[#This Row],[BOD Max]]/2</f>
        <v>7.5</v>
      </c>
      <c r="X275">
        <f>AVERAGE(River_data[[#This Row],[pH Max]]-River_data[[#This Row],[pH Min]])</f>
        <v>0.40000000000000036</v>
      </c>
    </row>
    <row r="276" spans="1:24" x14ac:dyDescent="0.3">
      <c r="A276">
        <v>30035</v>
      </c>
      <c r="B276" s="1" t="s">
        <v>286</v>
      </c>
      <c r="C276" s="1" t="s">
        <v>285</v>
      </c>
      <c r="D276">
        <v>14</v>
      </c>
      <c r="E276">
        <v>20</v>
      </c>
      <c r="F276">
        <v>7.6</v>
      </c>
      <c r="G276">
        <v>9.8000000000000007</v>
      </c>
      <c r="H276">
        <v>7.8</v>
      </c>
      <c r="I276">
        <v>8.3000000000000007</v>
      </c>
      <c r="J276">
        <v>208</v>
      </c>
      <c r="K276">
        <v>390</v>
      </c>
      <c r="L276">
        <v>1</v>
      </c>
      <c r="M276">
        <v>6</v>
      </c>
      <c r="N276">
        <v>0.79</v>
      </c>
      <c r="O276">
        <v>1.07</v>
      </c>
      <c r="P276">
        <v>14</v>
      </c>
      <c r="Q276">
        <v>1300</v>
      </c>
      <c r="R276">
        <v>79</v>
      </c>
      <c r="S276">
        <v>13000</v>
      </c>
      <c r="T276">
        <v>5</v>
      </c>
      <c r="U276">
        <v>330</v>
      </c>
      <c r="V276">
        <f>River_data[[#This Row],[Dissolved Oxygen Min]]*River_data[[#This Row],[Dissolved Oxygen Max]]/2</f>
        <v>37.24</v>
      </c>
      <c r="W276">
        <f>River_data[[#This Row],[BOD Min]]*River_data[[#This Row],[BOD Max]]/2</f>
        <v>3</v>
      </c>
      <c r="X276">
        <f>AVERAGE(River_data[[#This Row],[pH Max]]-River_data[[#This Row],[pH Min]])</f>
        <v>0.50000000000000089</v>
      </c>
    </row>
    <row r="277" spans="1:24" x14ac:dyDescent="0.3">
      <c r="A277">
        <v>10006</v>
      </c>
      <c r="B277" s="1" t="s">
        <v>287</v>
      </c>
      <c r="C277" s="1" t="s">
        <v>288</v>
      </c>
      <c r="D277">
        <v>16</v>
      </c>
      <c r="E277">
        <v>16</v>
      </c>
      <c r="F277">
        <v>11.2</v>
      </c>
      <c r="G277">
        <v>11.2</v>
      </c>
      <c r="H277">
        <v>7.5</v>
      </c>
      <c r="I277">
        <v>7.5</v>
      </c>
      <c r="J277">
        <v>1172</v>
      </c>
      <c r="K277">
        <v>1172</v>
      </c>
      <c r="L277">
        <v>13</v>
      </c>
      <c r="M277">
        <v>13</v>
      </c>
      <c r="N277">
        <v>2</v>
      </c>
      <c r="O277">
        <v>2</v>
      </c>
      <c r="P277">
        <v>1400</v>
      </c>
      <c r="Q277">
        <v>1400</v>
      </c>
      <c r="R277">
        <v>2200</v>
      </c>
      <c r="S277">
        <v>2200</v>
      </c>
      <c r="T277">
        <v>33</v>
      </c>
      <c r="U277">
        <v>33</v>
      </c>
      <c r="V277">
        <f>River_data[[#This Row],[Dissolved Oxygen Min]]*River_data[[#This Row],[Dissolved Oxygen Max]]/2</f>
        <v>62.719999999999992</v>
      </c>
      <c r="W277">
        <f>River_data[[#This Row],[BOD Min]]*River_data[[#This Row],[BOD Max]]/2</f>
        <v>84.5</v>
      </c>
      <c r="X277">
        <f>AVERAGE(River_data[[#This Row],[pH Max]]-River_data[[#This Row],[pH Min]])</f>
        <v>0</v>
      </c>
    </row>
    <row r="278" spans="1:24" x14ac:dyDescent="0.3">
      <c r="A278">
        <v>30031</v>
      </c>
      <c r="B278" s="1" t="s">
        <v>289</v>
      </c>
      <c r="C278" s="1" t="s">
        <v>285</v>
      </c>
      <c r="D278">
        <v>16</v>
      </c>
      <c r="E278">
        <v>30</v>
      </c>
      <c r="F278">
        <v>0.3</v>
      </c>
      <c r="G278">
        <v>6</v>
      </c>
      <c r="H278">
        <v>7.6</v>
      </c>
      <c r="I278">
        <v>8.6999999999999993</v>
      </c>
      <c r="J278">
        <v>1034</v>
      </c>
      <c r="K278">
        <v>1358</v>
      </c>
      <c r="L278">
        <v>11</v>
      </c>
      <c r="M278">
        <v>36</v>
      </c>
      <c r="N278">
        <v>0.32</v>
      </c>
      <c r="O278">
        <v>0.67</v>
      </c>
      <c r="P278">
        <v>1700</v>
      </c>
      <c r="Q278">
        <v>490000</v>
      </c>
      <c r="R278">
        <v>6300</v>
      </c>
      <c r="S278">
        <v>790000</v>
      </c>
      <c r="T278">
        <v>330</v>
      </c>
      <c r="U278">
        <v>130000</v>
      </c>
      <c r="V278">
        <f>River_data[[#This Row],[Dissolved Oxygen Min]]*River_data[[#This Row],[Dissolved Oxygen Max]]/2</f>
        <v>0.89999999999999991</v>
      </c>
      <c r="W278">
        <f>River_data[[#This Row],[BOD Min]]*River_data[[#This Row],[BOD Max]]/2</f>
        <v>198</v>
      </c>
      <c r="X278">
        <f>AVERAGE(River_data[[#This Row],[pH Max]]-River_data[[#This Row],[pH Min]])</f>
        <v>1.0999999999999996</v>
      </c>
    </row>
    <row r="279" spans="1:24" x14ac:dyDescent="0.3">
      <c r="A279">
        <v>30024</v>
      </c>
      <c r="B279" s="1" t="s">
        <v>290</v>
      </c>
      <c r="C279" s="1" t="s">
        <v>285</v>
      </c>
      <c r="D279">
        <v>15</v>
      </c>
      <c r="E279">
        <v>28</v>
      </c>
      <c r="F279">
        <v>0.3</v>
      </c>
      <c r="G279">
        <v>1.7</v>
      </c>
      <c r="H279">
        <v>7.5</v>
      </c>
      <c r="I279">
        <v>8.1999999999999993</v>
      </c>
      <c r="J279">
        <v>1101</v>
      </c>
      <c r="K279">
        <v>1385</v>
      </c>
      <c r="L279">
        <v>12</v>
      </c>
      <c r="M279">
        <v>55</v>
      </c>
      <c r="N279">
        <v>0.37</v>
      </c>
      <c r="O279">
        <v>3.8</v>
      </c>
      <c r="P279">
        <v>130000</v>
      </c>
      <c r="Q279">
        <v>1700000</v>
      </c>
      <c r="R279">
        <v>130000</v>
      </c>
      <c r="S279">
        <v>9400000</v>
      </c>
      <c r="T279">
        <v>17000</v>
      </c>
      <c r="U279">
        <v>130000</v>
      </c>
      <c r="V279">
        <f>River_data[[#This Row],[Dissolved Oxygen Min]]*River_data[[#This Row],[Dissolved Oxygen Max]]/2</f>
        <v>0.255</v>
      </c>
      <c r="W279">
        <f>River_data[[#This Row],[BOD Min]]*River_data[[#This Row],[BOD Max]]/2</f>
        <v>330</v>
      </c>
      <c r="X279">
        <f>AVERAGE(River_data[[#This Row],[pH Max]]-River_data[[#This Row],[pH Min]])</f>
        <v>0.69999999999999929</v>
      </c>
    </row>
    <row r="280" spans="1:24" x14ac:dyDescent="0.3">
      <c r="A280">
        <v>2493</v>
      </c>
      <c r="B280" s="1" t="s">
        <v>291</v>
      </c>
      <c r="C280" s="1" t="s">
        <v>169</v>
      </c>
      <c r="D280">
        <v>12</v>
      </c>
      <c r="E280">
        <v>28</v>
      </c>
      <c r="F280">
        <v>4.2</v>
      </c>
      <c r="G280">
        <v>7.2</v>
      </c>
      <c r="H280">
        <v>7.6</v>
      </c>
      <c r="I280">
        <v>8.1</v>
      </c>
      <c r="J280">
        <v>692</v>
      </c>
      <c r="K280">
        <v>734</v>
      </c>
      <c r="L280">
        <v>9.1999999999999993</v>
      </c>
      <c r="M280">
        <v>15.6</v>
      </c>
      <c r="N280">
        <v>0</v>
      </c>
      <c r="O280">
        <v>0</v>
      </c>
      <c r="P280">
        <v>23000</v>
      </c>
      <c r="Q280">
        <v>49000</v>
      </c>
      <c r="R280">
        <v>58000</v>
      </c>
      <c r="S280">
        <v>110000</v>
      </c>
      <c r="V280">
        <f>River_data[[#This Row],[Dissolved Oxygen Min]]*River_data[[#This Row],[Dissolved Oxygen Max]]/2</f>
        <v>15.120000000000001</v>
      </c>
      <c r="W280">
        <f>River_data[[#This Row],[BOD Min]]*River_data[[#This Row],[BOD Max]]/2</f>
        <v>71.759999999999991</v>
      </c>
      <c r="X280">
        <f>AVERAGE(River_data[[#This Row],[pH Max]]-River_data[[#This Row],[pH Min]])</f>
        <v>0.5</v>
      </c>
    </row>
    <row r="281" spans="1:24" x14ac:dyDescent="0.3">
      <c r="A281">
        <v>2495</v>
      </c>
      <c r="B281" s="1" t="s">
        <v>292</v>
      </c>
      <c r="C281" s="1" t="s">
        <v>169</v>
      </c>
      <c r="D281">
        <v>11</v>
      </c>
      <c r="E281">
        <v>28</v>
      </c>
      <c r="F281">
        <v>4</v>
      </c>
      <c r="G281">
        <v>7.4</v>
      </c>
      <c r="H281">
        <v>7.6</v>
      </c>
      <c r="I281">
        <v>8.1999999999999993</v>
      </c>
      <c r="J281">
        <v>614</v>
      </c>
      <c r="K281">
        <v>642</v>
      </c>
      <c r="L281">
        <v>7.6</v>
      </c>
      <c r="M281">
        <v>11.6</v>
      </c>
      <c r="N281">
        <v>0</v>
      </c>
      <c r="O281">
        <v>0</v>
      </c>
      <c r="P281">
        <v>22000</v>
      </c>
      <c r="Q281">
        <v>33000</v>
      </c>
      <c r="R281">
        <v>49000</v>
      </c>
      <c r="S281">
        <v>94000</v>
      </c>
      <c r="V281">
        <f>River_data[[#This Row],[Dissolved Oxygen Min]]*River_data[[#This Row],[Dissolved Oxygen Max]]/2</f>
        <v>14.8</v>
      </c>
      <c r="W281">
        <f>River_data[[#This Row],[BOD Min]]*River_data[[#This Row],[BOD Max]]/2</f>
        <v>44.08</v>
      </c>
      <c r="X281">
        <f>AVERAGE(River_data[[#This Row],[pH Max]]-River_data[[#This Row],[pH Min]])</f>
        <v>0.59999999999999964</v>
      </c>
    </row>
    <row r="282" spans="1:24" x14ac:dyDescent="0.3">
      <c r="A282">
        <v>1123</v>
      </c>
      <c r="B282" s="1" t="s">
        <v>293</v>
      </c>
      <c r="C282" s="1" t="s">
        <v>169</v>
      </c>
      <c r="D282">
        <v>11</v>
      </c>
      <c r="E282">
        <v>28</v>
      </c>
      <c r="F282">
        <v>4.5999999999999996</v>
      </c>
      <c r="G282">
        <v>6.6</v>
      </c>
      <c r="H282">
        <v>7.6</v>
      </c>
      <c r="I282">
        <v>8.1999999999999993</v>
      </c>
      <c r="J282">
        <v>543</v>
      </c>
      <c r="K282">
        <v>628</v>
      </c>
      <c r="L282">
        <v>7.8</v>
      </c>
      <c r="M282">
        <v>12.2</v>
      </c>
      <c r="N282">
        <v>0</v>
      </c>
      <c r="O282">
        <v>0</v>
      </c>
      <c r="P282">
        <v>12000</v>
      </c>
      <c r="Q282">
        <v>33000</v>
      </c>
      <c r="R282">
        <v>39000</v>
      </c>
      <c r="S282">
        <v>94000</v>
      </c>
      <c r="V282">
        <f>River_data[[#This Row],[Dissolved Oxygen Min]]*River_data[[#This Row],[Dissolved Oxygen Max]]/2</f>
        <v>15.179999999999998</v>
      </c>
      <c r="W282">
        <f>River_data[[#This Row],[BOD Min]]*River_data[[#This Row],[BOD Max]]/2</f>
        <v>47.58</v>
      </c>
      <c r="X282">
        <f>AVERAGE(River_data[[#This Row],[pH Max]]-River_data[[#This Row],[pH Min]])</f>
        <v>0.59999999999999964</v>
      </c>
    </row>
    <row r="283" spans="1:24" x14ac:dyDescent="0.3">
      <c r="A283">
        <v>2494</v>
      </c>
      <c r="B283" s="1" t="s">
        <v>294</v>
      </c>
      <c r="C283" s="1" t="s">
        <v>169</v>
      </c>
      <c r="D283">
        <v>11</v>
      </c>
      <c r="E283">
        <v>28</v>
      </c>
      <c r="F283">
        <v>4.2</v>
      </c>
      <c r="G283">
        <v>6.8</v>
      </c>
      <c r="H283">
        <v>7.6</v>
      </c>
      <c r="I283">
        <v>8.1999999999999993</v>
      </c>
      <c r="J283">
        <v>572</v>
      </c>
      <c r="K283">
        <v>652</v>
      </c>
      <c r="L283">
        <v>8</v>
      </c>
      <c r="M283">
        <v>13.2</v>
      </c>
      <c r="N283">
        <v>0</v>
      </c>
      <c r="O283">
        <v>0</v>
      </c>
      <c r="P283">
        <v>14000</v>
      </c>
      <c r="Q283">
        <v>33000</v>
      </c>
      <c r="R283">
        <v>41000</v>
      </c>
      <c r="S283">
        <v>120000</v>
      </c>
      <c r="V283">
        <f>River_data[[#This Row],[Dissolved Oxygen Min]]*River_data[[#This Row],[Dissolved Oxygen Max]]/2</f>
        <v>14.28</v>
      </c>
      <c r="W283">
        <f>River_data[[#This Row],[BOD Min]]*River_data[[#This Row],[BOD Max]]/2</f>
        <v>52.8</v>
      </c>
      <c r="X283">
        <f>AVERAGE(River_data[[#This Row],[pH Max]]-River_data[[#This Row],[pH Min]])</f>
        <v>0.59999999999999964</v>
      </c>
    </row>
    <row r="284" spans="1:24" x14ac:dyDescent="0.3">
      <c r="A284">
        <v>1124</v>
      </c>
      <c r="B284" s="1" t="s">
        <v>295</v>
      </c>
      <c r="C284" s="1" t="s">
        <v>169</v>
      </c>
      <c r="D284">
        <v>11</v>
      </c>
      <c r="E284">
        <v>28</v>
      </c>
      <c r="F284">
        <v>4</v>
      </c>
      <c r="G284">
        <v>6.4</v>
      </c>
      <c r="H284">
        <v>7.8</v>
      </c>
      <c r="I284">
        <v>8.1999999999999993</v>
      </c>
      <c r="J284">
        <v>618</v>
      </c>
      <c r="K284">
        <v>668</v>
      </c>
      <c r="L284">
        <v>8.8000000000000007</v>
      </c>
      <c r="M284">
        <v>14</v>
      </c>
      <c r="N284">
        <v>0</v>
      </c>
      <c r="O284">
        <v>0</v>
      </c>
      <c r="P284">
        <v>572</v>
      </c>
      <c r="Q284">
        <v>38000</v>
      </c>
      <c r="R284">
        <v>640</v>
      </c>
      <c r="S284">
        <v>150000</v>
      </c>
      <c r="V284">
        <f>River_data[[#This Row],[Dissolved Oxygen Min]]*River_data[[#This Row],[Dissolved Oxygen Max]]/2</f>
        <v>12.8</v>
      </c>
      <c r="W284">
        <f>River_data[[#This Row],[BOD Min]]*River_data[[#This Row],[BOD Max]]/2</f>
        <v>61.600000000000009</v>
      </c>
      <c r="X284">
        <f>AVERAGE(River_data[[#This Row],[pH Max]]-River_data[[#This Row],[pH Min]])</f>
        <v>0.39999999999999947</v>
      </c>
    </row>
    <row r="285" spans="1:24" x14ac:dyDescent="0.3">
      <c r="A285">
        <v>1125</v>
      </c>
      <c r="B285" s="1" t="s">
        <v>296</v>
      </c>
      <c r="C285" s="1" t="s">
        <v>169</v>
      </c>
      <c r="D285">
        <v>24</v>
      </c>
      <c r="E285">
        <v>28</v>
      </c>
      <c r="F285">
        <v>7</v>
      </c>
      <c r="G285">
        <v>8</v>
      </c>
      <c r="H285">
        <v>7.5</v>
      </c>
      <c r="I285">
        <v>7.8</v>
      </c>
      <c r="J285">
        <v>406</v>
      </c>
      <c r="K285">
        <v>1800</v>
      </c>
      <c r="L285">
        <v>6.4</v>
      </c>
      <c r="M285">
        <v>14.4</v>
      </c>
      <c r="N285">
        <v>0</v>
      </c>
      <c r="O285">
        <v>0</v>
      </c>
      <c r="P285">
        <v>4000</v>
      </c>
      <c r="Q285">
        <v>7000</v>
      </c>
      <c r="R285">
        <v>7800</v>
      </c>
      <c r="S285">
        <v>11000</v>
      </c>
      <c r="V285">
        <f>River_data[[#This Row],[Dissolved Oxygen Min]]*River_data[[#This Row],[Dissolved Oxygen Max]]/2</f>
        <v>28</v>
      </c>
      <c r="W285">
        <f>River_data[[#This Row],[BOD Min]]*River_data[[#This Row],[BOD Max]]/2</f>
        <v>46.080000000000005</v>
      </c>
      <c r="X285">
        <f>AVERAGE(River_data[[#This Row],[pH Max]]-River_data[[#This Row],[pH Min]])</f>
        <v>0.29999999999999982</v>
      </c>
    </row>
    <row r="286" spans="1:24" x14ac:dyDescent="0.3">
      <c r="A286">
        <v>1126</v>
      </c>
      <c r="B286" s="1" t="s">
        <v>297</v>
      </c>
      <c r="C286" s="1" t="s">
        <v>169</v>
      </c>
      <c r="D286">
        <v>24</v>
      </c>
      <c r="E286">
        <v>28</v>
      </c>
      <c r="F286">
        <v>6.6</v>
      </c>
      <c r="G286">
        <v>7</v>
      </c>
      <c r="H286">
        <v>6.7</v>
      </c>
      <c r="I286">
        <v>7.5</v>
      </c>
      <c r="J286">
        <v>512</v>
      </c>
      <c r="K286">
        <v>2045</v>
      </c>
      <c r="L286">
        <v>7.2</v>
      </c>
      <c r="M286">
        <v>15.6</v>
      </c>
      <c r="N286">
        <v>0</v>
      </c>
      <c r="O286">
        <v>0</v>
      </c>
      <c r="P286">
        <v>6800</v>
      </c>
      <c r="Q286">
        <v>17000</v>
      </c>
      <c r="R286">
        <v>11000</v>
      </c>
      <c r="S286">
        <v>33000</v>
      </c>
      <c r="V286">
        <f>River_data[[#This Row],[Dissolved Oxygen Min]]*River_data[[#This Row],[Dissolved Oxygen Max]]/2</f>
        <v>23.099999999999998</v>
      </c>
      <c r="W286">
        <f>River_data[[#This Row],[BOD Min]]*River_data[[#This Row],[BOD Max]]/2</f>
        <v>56.16</v>
      </c>
      <c r="X286">
        <f>AVERAGE(River_data[[#This Row],[pH Max]]-River_data[[#This Row],[pH Min]])</f>
        <v>0.79999999999999982</v>
      </c>
    </row>
    <row r="287" spans="1:24" x14ac:dyDescent="0.3">
      <c r="A287">
        <v>1498</v>
      </c>
      <c r="B287" s="1" t="s">
        <v>298</v>
      </c>
      <c r="C287" s="1" t="s">
        <v>169</v>
      </c>
      <c r="D287">
        <v>23</v>
      </c>
      <c r="E287">
        <v>28</v>
      </c>
      <c r="F287">
        <v>6</v>
      </c>
      <c r="G287">
        <v>7.2</v>
      </c>
      <c r="H287">
        <v>7.4</v>
      </c>
      <c r="I287">
        <v>7.8</v>
      </c>
      <c r="J287">
        <v>1022</v>
      </c>
      <c r="K287">
        <v>2512</v>
      </c>
      <c r="L287">
        <v>8</v>
      </c>
      <c r="M287">
        <v>9.6</v>
      </c>
      <c r="N287">
        <v>0</v>
      </c>
      <c r="O287">
        <v>0</v>
      </c>
      <c r="P287">
        <v>6800</v>
      </c>
      <c r="Q287">
        <v>17000</v>
      </c>
      <c r="R287">
        <v>9300</v>
      </c>
      <c r="S287">
        <v>25000</v>
      </c>
      <c r="V287">
        <f>River_data[[#This Row],[Dissolved Oxygen Min]]*River_data[[#This Row],[Dissolved Oxygen Max]]/2</f>
        <v>21.6</v>
      </c>
      <c r="W287">
        <f>River_data[[#This Row],[BOD Min]]*River_data[[#This Row],[BOD Max]]/2</f>
        <v>38.4</v>
      </c>
      <c r="X287">
        <f>AVERAGE(River_data[[#This Row],[pH Max]]-River_data[[#This Row],[pH Min]])</f>
        <v>0.39999999999999947</v>
      </c>
    </row>
    <row r="288" spans="1:24" x14ac:dyDescent="0.3">
      <c r="A288">
        <v>10081</v>
      </c>
      <c r="B288" s="1" t="s">
        <v>299</v>
      </c>
      <c r="C288" s="1" t="s">
        <v>169</v>
      </c>
      <c r="D288">
        <v>16.8</v>
      </c>
      <c r="E288">
        <v>36.799999999999997</v>
      </c>
      <c r="F288">
        <v>5.0999999999999996</v>
      </c>
      <c r="G288">
        <v>7.1</v>
      </c>
      <c r="H288">
        <v>7.5</v>
      </c>
      <c r="I288">
        <v>7.9</v>
      </c>
      <c r="J288">
        <v>487</v>
      </c>
      <c r="K288">
        <v>2438</v>
      </c>
      <c r="L288">
        <v>8.4</v>
      </c>
      <c r="M288">
        <v>22</v>
      </c>
      <c r="N288">
        <v>0</v>
      </c>
      <c r="O288">
        <v>0</v>
      </c>
      <c r="P288">
        <v>7000</v>
      </c>
      <c r="Q288">
        <v>46000</v>
      </c>
      <c r="R288">
        <v>21000</v>
      </c>
      <c r="S288">
        <v>160000</v>
      </c>
      <c r="V288">
        <f>River_data[[#This Row],[Dissolved Oxygen Min]]*River_data[[#This Row],[Dissolved Oxygen Max]]/2</f>
        <v>18.104999999999997</v>
      </c>
      <c r="W288">
        <f>River_data[[#This Row],[BOD Min]]*River_data[[#This Row],[BOD Max]]/2</f>
        <v>92.4</v>
      </c>
      <c r="X288">
        <f>AVERAGE(River_data[[#This Row],[pH Max]]-River_data[[#This Row],[pH Min]])</f>
        <v>0.40000000000000036</v>
      </c>
    </row>
    <row r="289" spans="1:24" x14ac:dyDescent="0.3">
      <c r="A289">
        <v>10082</v>
      </c>
      <c r="B289" s="1" t="s">
        <v>300</v>
      </c>
      <c r="C289" s="1" t="s">
        <v>169</v>
      </c>
      <c r="D289">
        <v>17.100000000000001</v>
      </c>
      <c r="E289">
        <v>36.4</v>
      </c>
      <c r="F289">
        <v>4.9000000000000004</v>
      </c>
      <c r="G289">
        <v>6.5</v>
      </c>
      <c r="H289">
        <v>7.4</v>
      </c>
      <c r="I289">
        <v>7.8</v>
      </c>
      <c r="J289">
        <v>434</v>
      </c>
      <c r="K289">
        <v>2418</v>
      </c>
      <c r="L289">
        <v>7.2</v>
      </c>
      <c r="M289">
        <v>18.8</v>
      </c>
      <c r="N289">
        <v>0</v>
      </c>
      <c r="O289">
        <v>0</v>
      </c>
      <c r="P289">
        <v>4900</v>
      </c>
      <c r="Q289">
        <v>40000</v>
      </c>
      <c r="R289">
        <v>14000</v>
      </c>
      <c r="S289">
        <v>94000</v>
      </c>
      <c r="V289">
        <f>River_data[[#This Row],[Dissolved Oxygen Min]]*River_data[[#This Row],[Dissolved Oxygen Max]]/2</f>
        <v>15.925000000000001</v>
      </c>
      <c r="W289">
        <f>River_data[[#This Row],[BOD Min]]*River_data[[#This Row],[BOD Max]]/2</f>
        <v>67.680000000000007</v>
      </c>
      <c r="X289">
        <f>AVERAGE(River_data[[#This Row],[pH Max]]-River_data[[#This Row],[pH Min]])</f>
        <v>0.39999999999999947</v>
      </c>
    </row>
    <row r="290" spans="1:24" x14ac:dyDescent="0.3">
      <c r="A290">
        <v>1127</v>
      </c>
      <c r="B290" s="1" t="s">
        <v>301</v>
      </c>
      <c r="C290" s="1" t="s">
        <v>169</v>
      </c>
      <c r="D290">
        <v>17.2</v>
      </c>
      <c r="E290">
        <v>36.6</v>
      </c>
      <c r="F290">
        <v>5.2</v>
      </c>
      <c r="G290">
        <v>6</v>
      </c>
      <c r="H290">
        <v>7.5</v>
      </c>
      <c r="I290">
        <v>8</v>
      </c>
      <c r="J290">
        <v>460</v>
      </c>
      <c r="K290">
        <v>2722</v>
      </c>
      <c r="L290">
        <v>7.6</v>
      </c>
      <c r="M290">
        <v>18</v>
      </c>
      <c r="N290">
        <v>0</v>
      </c>
      <c r="O290">
        <v>0</v>
      </c>
      <c r="P290">
        <v>5800</v>
      </c>
      <c r="Q290">
        <v>43000</v>
      </c>
      <c r="R290">
        <v>17000</v>
      </c>
      <c r="S290">
        <v>94000</v>
      </c>
      <c r="V290">
        <f>River_data[[#This Row],[Dissolved Oxygen Min]]*River_data[[#This Row],[Dissolved Oxygen Max]]/2</f>
        <v>15.600000000000001</v>
      </c>
      <c r="W290">
        <f>River_data[[#This Row],[BOD Min]]*River_data[[#This Row],[BOD Max]]/2</f>
        <v>68.399999999999991</v>
      </c>
      <c r="X290">
        <f>AVERAGE(River_data[[#This Row],[pH Max]]-River_data[[#This Row],[pH Min]])</f>
        <v>0.5</v>
      </c>
    </row>
    <row r="291" spans="1:24" x14ac:dyDescent="0.3">
      <c r="A291">
        <v>1499</v>
      </c>
      <c r="B291" s="1" t="s">
        <v>302</v>
      </c>
      <c r="C291" s="1" t="s">
        <v>169</v>
      </c>
      <c r="D291">
        <v>18.600000000000001</v>
      </c>
      <c r="E291">
        <v>37.9</v>
      </c>
      <c r="F291">
        <v>6.2</v>
      </c>
      <c r="G291">
        <v>7.4</v>
      </c>
      <c r="H291">
        <v>7.5</v>
      </c>
      <c r="I291">
        <v>7.8</v>
      </c>
      <c r="J291">
        <v>407</v>
      </c>
      <c r="K291">
        <v>2532</v>
      </c>
      <c r="L291">
        <v>6.4</v>
      </c>
      <c r="M291">
        <v>16</v>
      </c>
      <c r="N291">
        <v>0</v>
      </c>
      <c r="O291">
        <v>0</v>
      </c>
      <c r="P291">
        <v>4100</v>
      </c>
      <c r="Q291">
        <v>27000</v>
      </c>
      <c r="R291">
        <v>13000</v>
      </c>
      <c r="S291">
        <v>70000</v>
      </c>
      <c r="V291">
        <f>River_data[[#This Row],[Dissolved Oxygen Min]]*River_data[[#This Row],[Dissolved Oxygen Max]]/2</f>
        <v>22.94</v>
      </c>
      <c r="W291">
        <f>River_data[[#This Row],[BOD Min]]*River_data[[#This Row],[BOD Max]]/2</f>
        <v>51.2</v>
      </c>
      <c r="X291">
        <f>AVERAGE(River_data[[#This Row],[pH Max]]-River_data[[#This Row],[pH Min]])</f>
        <v>0.29999999999999982</v>
      </c>
    </row>
    <row r="292" spans="1:24" x14ac:dyDescent="0.3">
      <c r="A292">
        <v>30034</v>
      </c>
      <c r="B292" s="1" t="s">
        <v>303</v>
      </c>
      <c r="C292" s="1" t="s">
        <v>169</v>
      </c>
      <c r="D292">
        <v>18</v>
      </c>
      <c r="E292">
        <v>32</v>
      </c>
      <c r="F292">
        <v>6.2</v>
      </c>
      <c r="G292">
        <v>9.3000000000000007</v>
      </c>
      <c r="H292">
        <v>7.2</v>
      </c>
      <c r="I292">
        <v>8.8000000000000007</v>
      </c>
      <c r="J292">
        <v>602</v>
      </c>
      <c r="K292">
        <v>1633</v>
      </c>
      <c r="L292">
        <v>3.9</v>
      </c>
      <c r="M292">
        <v>15.7</v>
      </c>
      <c r="N292">
        <v>3.09</v>
      </c>
      <c r="O292">
        <v>21.93</v>
      </c>
      <c r="P292">
        <v>2</v>
      </c>
      <c r="Q292">
        <v>79000</v>
      </c>
      <c r="R292">
        <v>4500</v>
      </c>
      <c r="S292">
        <v>240000</v>
      </c>
      <c r="V292">
        <f>River_data[[#This Row],[Dissolved Oxygen Min]]*River_data[[#This Row],[Dissolved Oxygen Max]]/2</f>
        <v>28.830000000000002</v>
      </c>
      <c r="W292">
        <f>River_data[[#This Row],[BOD Min]]*River_data[[#This Row],[BOD Max]]/2</f>
        <v>30.614999999999998</v>
      </c>
      <c r="X292">
        <f>AVERAGE(River_data[[#This Row],[pH Max]]-River_data[[#This Row],[pH Min]])</f>
        <v>1.6000000000000005</v>
      </c>
    </row>
    <row r="293" spans="1:24" x14ac:dyDescent="0.3">
      <c r="A293">
        <v>30033</v>
      </c>
      <c r="B293" s="1" t="s">
        <v>304</v>
      </c>
      <c r="C293" s="1" t="s">
        <v>169</v>
      </c>
      <c r="D293">
        <v>18</v>
      </c>
      <c r="E293">
        <v>31</v>
      </c>
      <c r="F293">
        <v>7.1</v>
      </c>
      <c r="G293">
        <v>9</v>
      </c>
      <c r="H293">
        <v>7.3</v>
      </c>
      <c r="I293">
        <v>8.9</v>
      </c>
      <c r="J293">
        <v>447</v>
      </c>
      <c r="K293">
        <v>1091</v>
      </c>
      <c r="L293">
        <v>2.1</v>
      </c>
      <c r="M293">
        <v>8.1</v>
      </c>
      <c r="N293">
        <v>0.32</v>
      </c>
      <c r="O293">
        <v>5.89</v>
      </c>
      <c r="P293">
        <v>2</v>
      </c>
      <c r="Q293">
        <v>33000</v>
      </c>
      <c r="R293">
        <v>2</v>
      </c>
      <c r="S293">
        <v>490000</v>
      </c>
      <c r="T293">
        <v>2</v>
      </c>
      <c r="U293">
        <v>2</v>
      </c>
      <c r="V293">
        <f>River_data[[#This Row],[Dissolved Oxygen Min]]*River_data[[#This Row],[Dissolved Oxygen Max]]/2</f>
        <v>31.95</v>
      </c>
      <c r="W293">
        <f>River_data[[#This Row],[BOD Min]]*River_data[[#This Row],[BOD Max]]/2</f>
        <v>8.5050000000000008</v>
      </c>
      <c r="X293">
        <f>AVERAGE(River_data[[#This Row],[pH Max]]-River_data[[#This Row],[pH Min]])</f>
        <v>1.6000000000000005</v>
      </c>
    </row>
    <row r="294" spans="1:24" x14ac:dyDescent="0.3">
      <c r="A294">
        <v>2283</v>
      </c>
      <c r="B294" s="1" t="s">
        <v>305</v>
      </c>
      <c r="C294" s="1" t="s">
        <v>169</v>
      </c>
      <c r="D294">
        <v>17</v>
      </c>
      <c r="E294">
        <v>28</v>
      </c>
      <c r="F294">
        <v>4.9000000000000004</v>
      </c>
      <c r="G294">
        <v>7.1</v>
      </c>
      <c r="H294">
        <v>7.4</v>
      </c>
      <c r="I294">
        <v>7.8</v>
      </c>
      <c r="J294">
        <v>659</v>
      </c>
      <c r="K294">
        <v>848</v>
      </c>
      <c r="L294">
        <v>2.6</v>
      </c>
      <c r="M294">
        <v>5.2</v>
      </c>
      <c r="N294">
        <v>0</v>
      </c>
      <c r="O294">
        <v>0</v>
      </c>
      <c r="P294">
        <v>9300</v>
      </c>
      <c r="Q294">
        <v>23000</v>
      </c>
      <c r="R294">
        <v>17000</v>
      </c>
      <c r="S294">
        <v>79000</v>
      </c>
      <c r="V294">
        <f>River_data[[#This Row],[Dissolved Oxygen Min]]*River_data[[#This Row],[Dissolved Oxygen Max]]/2</f>
        <v>17.395</v>
      </c>
      <c r="W294">
        <f>River_data[[#This Row],[BOD Min]]*River_data[[#This Row],[BOD Max]]/2</f>
        <v>6.7600000000000007</v>
      </c>
      <c r="X294">
        <f>AVERAGE(River_data[[#This Row],[pH Max]]-River_data[[#This Row],[pH Min]])</f>
        <v>0.39999999999999947</v>
      </c>
    </row>
    <row r="295" spans="1:24" x14ac:dyDescent="0.3">
      <c r="A295">
        <v>1069</v>
      </c>
      <c r="B295" s="1" t="s">
        <v>306</v>
      </c>
      <c r="C295" s="1" t="s">
        <v>169</v>
      </c>
      <c r="D295">
        <v>20.7</v>
      </c>
      <c r="E295">
        <v>30.7</v>
      </c>
      <c r="F295">
        <v>6.8</v>
      </c>
      <c r="G295">
        <v>8.4</v>
      </c>
      <c r="H295">
        <v>7.7</v>
      </c>
      <c r="I295">
        <v>8.3000000000000007</v>
      </c>
      <c r="J295">
        <v>318</v>
      </c>
      <c r="K295">
        <v>397</v>
      </c>
      <c r="L295">
        <v>2.5</v>
      </c>
      <c r="M295">
        <v>2.7</v>
      </c>
      <c r="N295">
        <v>0.55000000000000004</v>
      </c>
      <c r="O295">
        <v>0.68</v>
      </c>
      <c r="P295">
        <v>400</v>
      </c>
      <c r="Q295">
        <v>680</v>
      </c>
      <c r="R295">
        <v>1400</v>
      </c>
      <c r="S295">
        <v>1700</v>
      </c>
      <c r="V295">
        <f>River_data[[#This Row],[Dissolved Oxygen Min]]*River_data[[#This Row],[Dissolved Oxygen Max]]/2</f>
        <v>28.56</v>
      </c>
      <c r="W295">
        <f>River_data[[#This Row],[BOD Min]]*River_data[[#This Row],[BOD Max]]/2</f>
        <v>3.375</v>
      </c>
      <c r="X295">
        <f>AVERAGE(River_data[[#This Row],[pH Max]]-River_data[[#This Row],[pH Min]])</f>
        <v>0.60000000000000053</v>
      </c>
    </row>
    <row r="296" spans="1:24" x14ac:dyDescent="0.3">
      <c r="A296">
        <v>1510</v>
      </c>
      <c r="B296" s="1" t="s">
        <v>307</v>
      </c>
      <c r="C296" s="1" t="s">
        <v>0</v>
      </c>
      <c r="D296">
        <v>6.8</v>
      </c>
      <c r="E296">
        <v>10.6</v>
      </c>
      <c r="F296">
        <v>7.9</v>
      </c>
      <c r="G296">
        <v>9.3000000000000007</v>
      </c>
      <c r="H296">
        <v>7.3</v>
      </c>
      <c r="I296">
        <v>7.9</v>
      </c>
      <c r="J296">
        <v>35</v>
      </c>
      <c r="K296">
        <v>105</v>
      </c>
      <c r="L296">
        <v>1</v>
      </c>
      <c r="M296">
        <v>1</v>
      </c>
      <c r="N296">
        <v>0.32</v>
      </c>
      <c r="O296">
        <v>1.31</v>
      </c>
      <c r="P296">
        <v>2</v>
      </c>
      <c r="Q296">
        <v>20</v>
      </c>
      <c r="R296">
        <v>7</v>
      </c>
      <c r="S296">
        <v>920</v>
      </c>
      <c r="T296">
        <v>2</v>
      </c>
      <c r="U296">
        <v>2</v>
      </c>
      <c r="V296">
        <f>River_data[[#This Row],[Dissolved Oxygen Min]]*River_data[[#This Row],[Dissolved Oxygen Max]]/2</f>
        <v>36.735000000000007</v>
      </c>
      <c r="W296">
        <f>River_data[[#This Row],[BOD Min]]*River_data[[#This Row],[BOD Max]]/2</f>
        <v>0.5</v>
      </c>
      <c r="X296">
        <f>AVERAGE(River_data[[#This Row],[pH Max]]-River_data[[#This Row],[pH Min]])</f>
        <v>0.60000000000000053</v>
      </c>
    </row>
    <row r="297" spans="1:24" x14ac:dyDescent="0.3">
      <c r="A297">
        <v>30023</v>
      </c>
      <c r="B297" s="1" t="s">
        <v>308</v>
      </c>
      <c r="C297" s="1" t="s">
        <v>148</v>
      </c>
      <c r="D297">
        <v>16.5</v>
      </c>
      <c r="E297">
        <v>24</v>
      </c>
      <c r="F297">
        <v>9.4</v>
      </c>
      <c r="G297">
        <v>10.4</v>
      </c>
      <c r="H297">
        <v>8.1999999999999993</v>
      </c>
      <c r="I297">
        <v>8.5</v>
      </c>
      <c r="J297">
        <v>121</v>
      </c>
      <c r="K297">
        <v>318</v>
      </c>
      <c r="L297">
        <v>1</v>
      </c>
      <c r="M297">
        <v>13</v>
      </c>
      <c r="N297">
        <v>0.32</v>
      </c>
      <c r="O297">
        <v>0.44</v>
      </c>
      <c r="P297">
        <v>2</v>
      </c>
      <c r="Q297">
        <v>7900</v>
      </c>
      <c r="R297">
        <v>17</v>
      </c>
      <c r="S297">
        <v>13000</v>
      </c>
      <c r="T297">
        <v>2</v>
      </c>
      <c r="U297">
        <v>1300</v>
      </c>
      <c r="V297">
        <f>River_data[[#This Row],[Dissolved Oxygen Min]]*River_data[[#This Row],[Dissolved Oxygen Max]]/2</f>
        <v>48.88</v>
      </c>
      <c r="W297">
        <f>River_data[[#This Row],[BOD Min]]*River_data[[#This Row],[BOD Max]]/2</f>
        <v>6.5</v>
      </c>
      <c r="X297">
        <f>AVERAGE(River_data[[#This Row],[pH Max]]-River_data[[#This Row],[pH Min]])</f>
        <v>0.30000000000000071</v>
      </c>
    </row>
    <row r="298" spans="1:24" x14ac:dyDescent="0.3">
      <c r="A298">
        <v>4027</v>
      </c>
      <c r="B298" s="1" t="s">
        <v>309</v>
      </c>
      <c r="C298" s="1" t="s">
        <v>0</v>
      </c>
      <c r="D298">
        <v>18</v>
      </c>
      <c r="E298">
        <v>25</v>
      </c>
      <c r="F298">
        <v>7.8</v>
      </c>
      <c r="G298">
        <v>8.4</v>
      </c>
      <c r="H298">
        <v>7.6</v>
      </c>
      <c r="I298">
        <v>8.4</v>
      </c>
      <c r="J298">
        <v>292</v>
      </c>
      <c r="K298">
        <v>421</v>
      </c>
      <c r="L298">
        <v>1.2</v>
      </c>
      <c r="M298">
        <v>2.1</v>
      </c>
      <c r="N298">
        <v>0.66</v>
      </c>
      <c r="O298">
        <v>0.89</v>
      </c>
      <c r="P298">
        <v>22</v>
      </c>
      <c r="Q298">
        <v>110</v>
      </c>
      <c r="R298">
        <v>130</v>
      </c>
      <c r="S298">
        <v>280</v>
      </c>
      <c r="T298">
        <v>2</v>
      </c>
      <c r="U298">
        <v>2</v>
      </c>
      <c r="V298">
        <f>River_data[[#This Row],[Dissolved Oxygen Min]]*River_data[[#This Row],[Dissolved Oxygen Max]]/2</f>
        <v>32.76</v>
      </c>
      <c r="W298">
        <f>River_data[[#This Row],[BOD Min]]*River_data[[#This Row],[BOD Max]]/2</f>
        <v>1.26</v>
      </c>
      <c r="X298">
        <f>AVERAGE(River_data[[#This Row],[pH Max]]-River_data[[#This Row],[pH Min]])</f>
        <v>0.80000000000000071</v>
      </c>
    </row>
    <row r="299" spans="1:24" x14ac:dyDescent="0.3">
      <c r="A299">
        <v>4028</v>
      </c>
      <c r="B299" s="1" t="s">
        <v>310</v>
      </c>
      <c r="C299" s="1" t="s">
        <v>0</v>
      </c>
      <c r="D299">
        <v>18</v>
      </c>
      <c r="E299">
        <v>25</v>
      </c>
      <c r="F299">
        <v>7.7</v>
      </c>
      <c r="G299">
        <v>8.1999999999999993</v>
      </c>
      <c r="H299">
        <v>7.6</v>
      </c>
      <c r="I299">
        <v>8.4</v>
      </c>
      <c r="J299">
        <v>296</v>
      </c>
      <c r="K299">
        <v>421</v>
      </c>
      <c r="L299">
        <v>1.1000000000000001</v>
      </c>
      <c r="M299">
        <v>2.2000000000000002</v>
      </c>
      <c r="N299">
        <v>0.59</v>
      </c>
      <c r="O299">
        <v>0.9</v>
      </c>
      <c r="P299">
        <v>26</v>
      </c>
      <c r="Q299">
        <v>130</v>
      </c>
      <c r="R299">
        <v>130</v>
      </c>
      <c r="S299">
        <v>350</v>
      </c>
      <c r="T299">
        <v>2</v>
      </c>
      <c r="U299">
        <v>2</v>
      </c>
      <c r="V299">
        <f>River_data[[#This Row],[Dissolved Oxygen Min]]*River_data[[#This Row],[Dissolved Oxygen Max]]/2</f>
        <v>31.569999999999997</v>
      </c>
      <c r="W299">
        <f>River_data[[#This Row],[BOD Min]]*River_data[[#This Row],[BOD Max]]/2</f>
        <v>1.2100000000000002</v>
      </c>
      <c r="X299">
        <f>AVERAGE(River_data[[#This Row],[pH Max]]-River_data[[#This Row],[pH Min]])</f>
        <v>0.80000000000000071</v>
      </c>
    </row>
    <row r="300" spans="1:24" x14ac:dyDescent="0.3">
      <c r="A300">
        <v>2621</v>
      </c>
      <c r="B300" s="1" t="s">
        <v>311</v>
      </c>
      <c r="C300" s="1" t="s">
        <v>0</v>
      </c>
      <c r="D300">
        <v>6</v>
      </c>
      <c r="E300">
        <v>8</v>
      </c>
      <c r="F300">
        <v>6.7</v>
      </c>
      <c r="G300">
        <v>8.8000000000000007</v>
      </c>
      <c r="H300">
        <v>7.7</v>
      </c>
      <c r="I300">
        <v>8.4</v>
      </c>
      <c r="J300">
        <v>216</v>
      </c>
      <c r="K300">
        <v>366</v>
      </c>
      <c r="L300">
        <v>1</v>
      </c>
      <c r="M300">
        <v>1</v>
      </c>
      <c r="N300">
        <v>1.78</v>
      </c>
      <c r="O300">
        <v>6.64</v>
      </c>
      <c r="P300">
        <v>2</v>
      </c>
      <c r="Q300">
        <v>8</v>
      </c>
      <c r="R300">
        <v>21</v>
      </c>
      <c r="S300">
        <v>140</v>
      </c>
      <c r="T300">
        <v>2</v>
      </c>
      <c r="U300">
        <v>2</v>
      </c>
      <c r="V300">
        <f>River_data[[#This Row],[Dissolved Oxygen Min]]*River_data[[#This Row],[Dissolved Oxygen Max]]/2</f>
        <v>29.480000000000004</v>
      </c>
      <c r="W300">
        <f>River_data[[#This Row],[BOD Min]]*River_data[[#This Row],[BOD Max]]/2</f>
        <v>0.5</v>
      </c>
      <c r="X300">
        <f>AVERAGE(River_data[[#This Row],[pH Max]]-River_data[[#This Row],[pH Min]])</f>
        <v>0.70000000000000018</v>
      </c>
    </row>
    <row r="301" spans="1:24" x14ac:dyDescent="0.3">
      <c r="A301">
        <v>3876</v>
      </c>
      <c r="B301" s="1" t="s">
        <v>312</v>
      </c>
      <c r="C301" s="1" t="s">
        <v>0</v>
      </c>
      <c r="D301">
        <v>6</v>
      </c>
      <c r="E301">
        <v>18</v>
      </c>
      <c r="F301">
        <v>7.6</v>
      </c>
      <c r="G301">
        <v>9.3000000000000007</v>
      </c>
      <c r="H301">
        <v>7.5</v>
      </c>
      <c r="I301">
        <v>8.3000000000000007</v>
      </c>
      <c r="J301">
        <v>208</v>
      </c>
      <c r="K301">
        <v>446</v>
      </c>
      <c r="L301">
        <v>1</v>
      </c>
      <c r="M301">
        <v>1</v>
      </c>
      <c r="N301">
        <v>0.32</v>
      </c>
      <c r="O301">
        <v>5.25</v>
      </c>
      <c r="P301">
        <v>2</v>
      </c>
      <c r="Q301">
        <v>11</v>
      </c>
      <c r="R301">
        <v>12</v>
      </c>
      <c r="S301">
        <v>220</v>
      </c>
      <c r="T301">
        <v>2</v>
      </c>
      <c r="U301">
        <v>2</v>
      </c>
      <c r="V301">
        <f>River_data[[#This Row],[Dissolved Oxygen Min]]*River_data[[#This Row],[Dissolved Oxygen Max]]/2</f>
        <v>35.340000000000003</v>
      </c>
      <c r="W301">
        <f>River_data[[#This Row],[BOD Min]]*River_data[[#This Row],[BOD Max]]/2</f>
        <v>0.5</v>
      </c>
      <c r="X301">
        <f>AVERAGE(River_data[[#This Row],[pH Max]]-River_data[[#This Row],[pH Min]])</f>
        <v>0.80000000000000071</v>
      </c>
    </row>
    <row r="302" spans="1:24" x14ac:dyDescent="0.3">
      <c r="A302">
        <v>2622</v>
      </c>
      <c r="B302" s="1" t="s">
        <v>313</v>
      </c>
      <c r="C302" s="1" t="s">
        <v>0</v>
      </c>
      <c r="D302">
        <v>18</v>
      </c>
      <c r="E302">
        <v>25</v>
      </c>
      <c r="F302">
        <v>6.5</v>
      </c>
      <c r="G302">
        <v>8.6</v>
      </c>
      <c r="H302">
        <v>7.3</v>
      </c>
      <c r="I302">
        <v>8.1999999999999993</v>
      </c>
      <c r="J302">
        <v>348</v>
      </c>
      <c r="K302">
        <v>927</v>
      </c>
      <c r="L302">
        <v>1</v>
      </c>
      <c r="M302">
        <v>2.6</v>
      </c>
      <c r="N302">
        <v>0.47</v>
      </c>
      <c r="O302">
        <v>0.97</v>
      </c>
      <c r="P302">
        <v>13</v>
      </c>
      <c r="Q302">
        <v>70</v>
      </c>
      <c r="R302">
        <v>33</v>
      </c>
      <c r="S302">
        <v>280</v>
      </c>
      <c r="T302">
        <v>2</v>
      </c>
      <c r="U302">
        <v>2</v>
      </c>
      <c r="V302">
        <f>River_data[[#This Row],[Dissolved Oxygen Min]]*River_data[[#This Row],[Dissolved Oxygen Max]]/2</f>
        <v>27.95</v>
      </c>
      <c r="W302">
        <f>River_data[[#This Row],[BOD Min]]*River_data[[#This Row],[BOD Max]]/2</f>
        <v>1.3</v>
      </c>
      <c r="X302">
        <f>AVERAGE(River_data[[#This Row],[pH Max]]-River_data[[#This Row],[pH Min]])</f>
        <v>0.89999999999999947</v>
      </c>
    </row>
    <row r="303" spans="1:24" x14ac:dyDescent="0.3">
      <c r="A303">
        <v>2623</v>
      </c>
      <c r="B303" s="1" t="s">
        <v>314</v>
      </c>
      <c r="C303" s="1" t="s">
        <v>0</v>
      </c>
      <c r="D303">
        <v>17</v>
      </c>
      <c r="E303">
        <v>25</v>
      </c>
      <c r="F303">
        <v>6.5</v>
      </c>
      <c r="G303">
        <v>8.5</v>
      </c>
      <c r="H303">
        <v>7.9</v>
      </c>
      <c r="I303">
        <v>8.3000000000000007</v>
      </c>
      <c r="J303">
        <v>346</v>
      </c>
      <c r="K303">
        <v>889</v>
      </c>
      <c r="L303">
        <v>1.1000000000000001</v>
      </c>
      <c r="M303">
        <v>3.2</v>
      </c>
      <c r="N303">
        <v>0</v>
      </c>
      <c r="O303">
        <v>3.14</v>
      </c>
      <c r="P303">
        <v>33</v>
      </c>
      <c r="Q303">
        <v>130</v>
      </c>
      <c r="R303">
        <v>110</v>
      </c>
      <c r="S303">
        <v>350</v>
      </c>
      <c r="T303">
        <v>2</v>
      </c>
      <c r="U303">
        <v>2</v>
      </c>
      <c r="V303">
        <f>River_data[[#This Row],[Dissolved Oxygen Min]]*River_data[[#This Row],[Dissolved Oxygen Max]]/2</f>
        <v>27.625</v>
      </c>
      <c r="W303">
        <f>River_data[[#This Row],[BOD Min]]*River_data[[#This Row],[BOD Max]]/2</f>
        <v>1.7600000000000002</v>
      </c>
      <c r="X303">
        <f>AVERAGE(River_data[[#This Row],[pH Max]]-River_data[[#This Row],[pH Min]])</f>
        <v>0.40000000000000036</v>
      </c>
    </row>
    <row r="304" spans="1:24" x14ac:dyDescent="0.3">
      <c r="A304">
        <v>3877</v>
      </c>
      <c r="B304" s="1" t="s">
        <v>315</v>
      </c>
      <c r="C304" s="1" t="s">
        <v>0</v>
      </c>
      <c r="D304">
        <v>8</v>
      </c>
      <c r="E304">
        <v>12.1</v>
      </c>
      <c r="F304">
        <v>7.2</v>
      </c>
      <c r="G304">
        <v>8</v>
      </c>
      <c r="H304">
        <v>7.2</v>
      </c>
      <c r="I304">
        <v>8.1</v>
      </c>
      <c r="J304">
        <v>76</v>
      </c>
      <c r="K304">
        <v>282</v>
      </c>
      <c r="L304">
        <v>1</v>
      </c>
      <c r="M304">
        <v>1</v>
      </c>
      <c r="N304">
        <v>0.65</v>
      </c>
      <c r="O304">
        <v>2.2200000000000002</v>
      </c>
      <c r="P304">
        <v>4</v>
      </c>
      <c r="Q304">
        <v>110</v>
      </c>
      <c r="R304">
        <v>39</v>
      </c>
      <c r="S304">
        <v>280</v>
      </c>
      <c r="T304">
        <v>2</v>
      </c>
      <c r="U304">
        <v>2</v>
      </c>
      <c r="V304">
        <f>River_data[[#This Row],[Dissolved Oxygen Min]]*River_data[[#This Row],[Dissolved Oxygen Max]]/2</f>
        <v>28.8</v>
      </c>
      <c r="W304">
        <f>River_data[[#This Row],[BOD Min]]*River_data[[#This Row],[BOD Max]]/2</f>
        <v>0.5</v>
      </c>
      <c r="X304">
        <f>AVERAGE(River_data[[#This Row],[pH Max]]-River_data[[#This Row],[pH Min]])</f>
        <v>0.89999999999999947</v>
      </c>
    </row>
    <row r="305" spans="1:24" x14ac:dyDescent="0.3">
      <c r="A305">
        <v>3878</v>
      </c>
      <c r="B305" s="1" t="s">
        <v>316</v>
      </c>
      <c r="C305" s="1" t="s">
        <v>0</v>
      </c>
      <c r="D305">
        <v>8</v>
      </c>
      <c r="E305">
        <v>12.2</v>
      </c>
      <c r="F305">
        <v>7.2</v>
      </c>
      <c r="G305">
        <v>8.1</v>
      </c>
      <c r="H305">
        <v>7.2</v>
      </c>
      <c r="I305">
        <v>8.1</v>
      </c>
      <c r="J305">
        <v>72</v>
      </c>
      <c r="K305">
        <v>288</v>
      </c>
      <c r="L305">
        <v>1</v>
      </c>
      <c r="M305">
        <v>1</v>
      </c>
      <c r="N305">
        <v>0.63</v>
      </c>
      <c r="O305">
        <v>2.1800000000000002</v>
      </c>
      <c r="P305">
        <v>7</v>
      </c>
      <c r="Q305">
        <v>70</v>
      </c>
      <c r="R305">
        <v>27</v>
      </c>
      <c r="S305">
        <v>1600</v>
      </c>
      <c r="T305">
        <v>2</v>
      </c>
      <c r="U305">
        <v>2</v>
      </c>
      <c r="V305">
        <f>River_data[[#This Row],[Dissolved Oxygen Min]]*River_data[[#This Row],[Dissolved Oxygen Max]]/2</f>
        <v>29.16</v>
      </c>
      <c r="W305">
        <f>River_data[[#This Row],[BOD Min]]*River_data[[#This Row],[BOD Max]]/2</f>
        <v>0.5</v>
      </c>
      <c r="X305">
        <f>AVERAGE(River_data[[#This Row],[pH Max]]-River_data[[#This Row],[pH Min]])</f>
        <v>0.89999999999999947</v>
      </c>
    </row>
    <row r="306" spans="1:24" x14ac:dyDescent="0.3">
      <c r="A306">
        <v>3860</v>
      </c>
      <c r="B306" s="1" t="s">
        <v>317</v>
      </c>
      <c r="C306" s="1" t="s">
        <v>0</v>
      </c>
      <c r="D306">
        <v>17</v>
      </c>
      <c r="E306">
        <v>24</v>
      </c>
      <c r="F306">
        <v>6.4</v>
      </c>
      <c r="G306">
        <v>8.6999999999999993</v>
      </c>
      <c r="H306">
        <v>7.3</v>
      </c>
      <c r="I306">
        <v>8.1999999999999993</v>
      </c>
      <c r="J306">
        <v>390</v>
      </c>
      <c r="K306">
        <v>899</v>
      </c>
      <c r="L306">
        <v>1</v>
      </c>
      <c r="M306">
        <v>2.8</v>
      </c>
      <c r="N306">
        <v>0.49</v>
      </c>
      <c r="O306">
        <v>0.79</v>
      </c>
      <c r="P306">
        <v>21</v>
      </c>
      <c r="Q306">
        <v>70</v>
      </c>
      <c r="R306">
        <v>70</v>
      </c>
      <c r="S306">
        <v>280</v>
      </c>
      <c r="T306">
        <v>2</v>
      </c>
      <c r="U306">
        <v>2</v>
      </c>
      <c r="V306">
        <f>River_data[[#This Row],[Dissolved Oxygen Min]]*River_data[[#This Row],[Dissolved Oxygen Max]]/2</f>
        <v>27.84</v>
      </c>
      <c r="W306">
        <f>River_data[[#This Row],[BOD Min]]*River_data[[#This Row],[BOD Max]]/2</f>
        <v>1.4</v>
      </c>
      <c r="X306">
        <f>AVERAGE(River_data[[#This Row],[pH Max]]-River_data[[#This Row],[pH Min]])</f>
        <v>0.89999999999999947</v>
      </c>
    </row>
    <row r="307" spans="1:24" x14ac:dyDescent="0.3">
      <c r="A307">
        <v>4427</v>
      </c>
      <c r="B307" s="1" t="s">
        <v>318</v>
      </c>
      <c r="C307" s="1" t="s">
        <v>0</v>
      </c>
      <c r="D307">
        <v>8</v>
      </c>
      <c r="E307">
        <v>11.4</v>
      </c>
      <c r="F307">
        <v>7.4</v>
      </c>
      <c r="G307">
        <v>8.3000000000000007</v>
      </c>
      <c r="H307">
        <v>7.2</v>
      </c>
      <c r="I307">
        <v>8.1</v>
      </c>
      <c r="J307">
        <v>69</v>
      </c>
      <c r="K307">
        <v>250</v>
      </c>
      <c r="L307">
        <v>1</v>
      </c>
      <c r="M307">
        <v>1</v>
      </c>
      <c r="N307">
        <v>0.62</v>
      </c>
      <c r="O307">
        <v>2.3199999999999998</v>
      </c>
      <c r="P307">
        <v>4</v>
      </c>
      <c r="Q307">
        <v>26</v>
      </c>
      <c r="R307">
        <v>17</v>
      </c>
      <c r="S307">
        <v>220</v>
      </c>
      <c r="T307">
        <v>2</v>
      </c>
      <c r="U307">
        <v>2</v>
      </c>
      <c r="V307">
        <f>River_data[[#This Row],[Dissolved Oxygen Min]]*River_data[[#This Row],[Dissolved Oxygen Max]]/2</f>
        <v>30.710000000000004</v>
      </c>
      <c r="W307">
        <f>River_data[[#This Row],[BOD Min]]*River_data[[#This Row],[BOD Max]]/2</f>
        <v>0.5</v>
      </c>
      <c r="X307">
        <f>AVERAGE(River_data[[#This Row],[pH Max]]-River_data[[#This Row],[pH Min]])</f>
        <v>0.89999999999999947</v>
      </c>
    </row>
    <row r="308" spans="1:24" x14ac:dyDescent="0.3">
      <c r="A308">
        <v>4441</v>
      </c>
      <c r="B308" s="1" t="s">
        <v>319</v>
      </c>
      <c r="C308" s="1" t="s">
        <v>0</v>
      </c>
      <c r="D308">
        <v>15</v>
      </c>
      <c r="E308">
        <v>25</v>
      </c>
      <c r="F308">
        <v>7.6</v>
      </c>
      <c r="G308">
        <v>8.1</v>
      </c>
      <c r="H308">
        <v>7.6</v>
      </c>
      <c r="I308">
        <v>8.3000000000000007</v>
      </c>
      <c r="J308">
        <v>318</v>
      </c>
      <c r="K308">
        <v>443</v>
      </c>
      <c r="L308">
        <v>1</v>
      </c>
      <c r="M308">
        <v>2.2999999999999998</v>
      </c>
      <c r="N308">
        <v>0.59</v>
      </c>
      <c r="O308">
        <v>0.89</v>
      </c>
      <c r="P308">
        <v>26</v>
      </c>
      <c r="Q308">
        <v>70</v>
      </c>
      <c r="R308">
        <v>130</v>
      </c>
      <c r="S308">
        <v>280</v>
      </c>
      <c r="T308">
        <v>2</v>
      </c>
      <c r="U308">
        <v>2</v>
      </c>
      <c r="V308">
        <f>River_data[[#This Row],[Dissolved Oxygen Min]]*River_data[[#This Row],[Dissolved Oxygen Max]]/2</f>
        <v>30.779999999999998</v>
      </c>
      <c r="W308">
        <f>River_data[[#This Row],[BOD Min]]*River_data[[#This Row],[BOD Max]]/2</f>
        <v>1.1499999999999999</v>
      </c>
      <c r="X308">
        <f>AVERAGE(River_data[[#This Row],[pH Max]]-River_data[[#This Row],[pH Min]])</f>
        <v>0.70000000000000107</v>
      </c>
    </row>
    <row r="309" spans="1:24" x14ac:dyDescent="0.3">
      <c r="A309">
        <v>4442</v>
      </c>
      <c r="B309" s="1" t="s">
        <v>320</v>
      </c>
      <c r="C309" s="1" t="s">
        <v>0</v>
      </c>
      <c r="D309">
        <v>15</v>
      </c>
      <c r="E309">
        <v>25</v>
      </c>
      <c r="F309">
        <v>7.6</v>
      </c>
      <c r="G309">
        <v>8.1999999999999993</v>
      </c>
      <c r="H309">
        <v>7</v>
      </c>
      <c r="I309">
        <v>8.4</v>
      </c>
      <c r="J309">
        <v>303</v>
      </c>
      <c r="K309">
        <v>449</v>
      </c>
      <c r="L309">
        <v>1.2</v>
      </c>
      <c r="M309">
        <v>2.5</v>
      </c>
      <c r="N309">
        <v>0.61</v>
      </c>
      <c r="O309">
        <v>0.86</v>
      </c>
      <c r="P309">
        <v>27</v>
      </c>
      <c r="Q309">
        <v>94</v>
      </c>
      <c r="R309">
        <v>170</v>
      </c>
      <c r="S309">
        <v>350</v>
      </c>
      <c r="T309">
        <v>2</v>
      </c>
      <c r="U309">
        <v>2</v>
      </c>
      <c r="V309">
        <f>River_data[[#This Row],[Dissolved Oxygen Min]]*River_data[[#This Row],[Dissolved Oxygen Max]]/2</f>
        <v>31.159999999999997</v>
      </c>
      <c r="W309">
        <f>River_data[[#This Row],[BOD Min]]*River_data[[#This Row],[BOD Max]]/2</f>
        <v>1.5</v>
      </c>
      <c r="X309">
        <f>AVERAGE(River_data[[#This Row],[pH Max]]-River_data[[#This Row],[pH Min]])</f>
        <v>1.4000000000000004</v>
      </c>
    </row>
    <row r="310" spans="1:24" x14ac:dyDescent="0.3">
      <c r="A310">
        <v>4473</v>
      </c>
      <c r="B310" s="1" t="s">
        <v>321</v>
      </c>
      <c r="C310" s="1" t="s">
        <v>0</v>
      </c>
      <c r="D310">
        <v>17</v>
      </c>
      <c r="E310">
        <v>24</v>
      </c>
      <c r="F310">
        <v>7.1</v>
      </c>
      <c r="G310">
        <v>8</v>
      </c>
      <c r="H310">
        <v>7.8</v>
      </c>
      <c r="I310">
        <v>8.4</v>
      </c>
      <c r="J310">
        <v>302</v>
      </c>
      <c r="K310">
        <v>4563</v>
      </c>
      <c r="L310">
        <v>1.1000000000000001</v>
      </c>
      <c r="M310">
        <v>2.6</v>
      </c>
      <c r="N310">
        <v>0.6</v>
      </c>
      <c r="O310">
        <v>0.9</v>
      </c>
      <c r="P310">
        <v>32</v>
      </c>
      <c r="Q310">
        <v>140</v>
      </c>
      <c r="R310">
        <v>170</v>
      </c>
      <c r="S310">
        <v>350</v>
      </c>
      <c r="T310">
        <v>2</v>
      </c>
      <c r="U310">
        <v>2</v>
      </c>
      <c r="V310">
        <f>River_data[[#This Row],[Dissolved Oxygen Min]]*River_data[[#This Row],[Dissolved Oxygen Max]]/2</f>
        <v>28.4</v>
      </c>
      <c r="W310">
        <f>River_data[[#This Row],[BOD Min]]*River_data[[#This Row],[BOD Max]]/2</f>
        <v>1.4300000000000002</v>
      </c>
      <c r="X310">
        <f>AVERAGE(River_data[[#This Row],[pH Max]]-River_data[[#This Row],[pH Min]])</f>
        <v>0.60000000000000053</v>
      </c>
    </row>
    <row r="311" spans="1:24" x14ac:dyDescent="0.3">
      <c r="A311">
        <v>5292</v>
      </c>
      <c r="B311" s="1" t="s">
        <v>322</v>
      </c>
      <c r="C311" s="1" t="s">
        <v>0</v>
      </c>
      <c r="D311">
        <v>6.1</v>
      </c>
      <c r="E311">
        <v>10.3</v>
      </c>
      <c r="F311">
        <v>7.3</v>
      </c>
      <c r="G311">
        <v>9</v>
      </c>
      <c r="H311">
        <v>7.2</v>
      </c>
      <c r="I311">
        <v>8</v>
      </c>
      <c r="J311">
        <v>71</v>
      </c>
      <c r="K311">
        <v>264</v>
      </c>
      <c r="L311">
        <v>1</v>
      </c>
      <c r="M311">
        <v>1</v>
      </c>
      <c r="N311">
        <v>0.83</v>
      </c>
      <c r="O311">
        <v>2.08</v>
      </c>
      <c r="P311">
        <v>2</v>
      </c>
      <c r="Q311">
        <v>220</v>
      </c>
      <c r="R311">
        <v>9</v>
      </c>
      <c r="S311">
        <v>1600</v>
      </c>
      <c r="T311">
        <v>2</v>
      </c>
      <c r="U311">
        <v>2</v>
      </c>
      <c r="V311">
        <f>River_data[[#This Row],[Dissolved Oxygen Min]]*River_data[[#This Row],[Dissolved Oxygen Max]]/2</f>
        <v>32.85</v>
      </c>
      <c r="W311">
        <f>River_data[[#This Row],[BOD Min]]*River_data[[#This Row],[BOD Max]]/2</f>
        <v>0.5</v>
      </c>
      <c r="X311">
        <f>AVERAGE(River_data[[#This Row],[pH Max]]-River_data[[#This Row],[pH Min]])</f>
        <v>0.79999999999999982</v>
      </c>
    </row>
    <row r="312" spans="1:24" x14ac:dyDescent="0.3">
      <c r="A312">
        <v>5764</v>
      </c>
      <c r="B312" s="1" t="s">
        <v>323</v>
      </c>
      <c r="C312" s="1" t="s">
        <v>0</v>
      </c>
      <c r="D312">
        <v>6</v>
      </c>
      <c r="E312">
        <v>8</v>
      </c>
      <c r="F312">
        <v>6.7</v>
      </c>
      <c r="G312">
        <v>9.5</v>
      </c>
      <c r="H312">
        <v>7.6</v>
      </c>
      <c r="I312">
        <v>8.3000000000000007</v>
      </c>
      <c r="J312">
        <v>210</v>
      </c>
      <c r="K312">
        <v>476</v>
      </c>
      <c r="L312">
        <v>1</v>
      </c>
      <c r="M312">
        <v>1.2</v>
      </c>
      <c r="N312">
        <v>1.65</v>
      </c>
      <c r="O312">
        <v>5.16</v>
      </c>
      <c r="P312">
        <v>2</v>
      </c>
      <c r="Q312">
        <v>25</v>
      </c>
      <c r="R312">
        <v>24</v>
      </c>
      <c r="S312">
        <v>540</v>
      </c>
      <c r="T312">
        <v>2</v>
      </c>
      <c r="U312">
        <v>2</v>
      </c>
      <c r="V312">
        <f>River_data[[#This Row],[Dissolved Oxygen Min]]*River_data[[#This Row],[Dissolved Oxygen Max]]/2</f>
        <v>31.824999999999999</v>
      </c>
      <c r="W312">
        <f>River_data[[#This Row],[BOD Min]]*River_data[[#This Row],[BOD Max]]/2</f>
        <v>0.6</v>
      </c>
      <c r="X312">
        <f>AVERAGE(River_data[[#This Row],[pH Max]]-River_data[[#This Row],[pH Min]])</f>
        <v>0.70000000000000107</v>
      </c>
    </row>
    <row r="313" spans="1:24" x14ac:dyDescent="0.3">
      <c r="A313">
        <v>2617</v>
      </c>
      <c r="B313" s="1" t="s">
        <v>324</v>
      </c>
      <c r="C313" s="1" t="s">
        <v>0</v>
      </c>
      <c r="D313">
        <v>5.8</v>
      </c>
      <c r="E313">
        <v>8</v>
      </c>
      <c r="F313">
        <v>8</v>
      </c>
      <c r="G313">
        <v>9.1999999999999993</v>
      </c>
      <c r="H313">
        <v>7.2</v>
      </c>
      <c r="I313">
        <v>8</v>
      </c>
      <c r="J313">
        <v>42</v>
      </c>
      <c r="K313">
        <v>145</v>
      </c>
      <c r="L313">
        <v>1</v>
      </c>
      <c r="M313">
        <v>1</v>
      </c>
      <c r="N313">
        <v>0.33</v>
      </c>
      <c r="O313">
        <v>3.86</v>
      </c>
      <c r="P313">
        <v>2</v>
      </c>
      <c r="Q313">
        <v>17</v>
      </c>
      <c r="R313">
        <v>9</v>
      </c>
      <c r="S313">
        <v>280</v>
      </c>
      <c r="T313">
        <v>2</v>
      </c>
      <c r="U313">
        <v>2</v>
      </c>
      <c r="V313">
        <f>River_data[[#This Row],[Dissolved Oxygen Min]]*River_data[[#This Row],[Dissolved Oxygen Max]]/2</f>
        <v>36.799999999999997</v>
      </c>
      <c r="W313">
        <f>River_data[[#This Row],[BOD Min]]*River_data[[#This Row],[BOD Max]]/2</f>
        <v>0.5</v>
      </c>
      <c r="X313">
        <f>AVERAGE(River_data[[#This Row],[pH Max]]-River_data[[#This Row],[pH Min]])</f>
        <v>0.79999999999999982</v>
      </c>
    </row>
    <row r="314" spans="1:24" x14ac:dyDescent="0.3">
      <c r="A314">
        <v>2618</v>
      </c>
      <c r="B314" s="1" t="s">
        <v>325</v>
      </c>
      <c r="C314" s="1" t="s">
        <v>0</v>
      </c>
      <c r="D314">
        <v>5.9</v>
      </c>
      <c r="E314">
        <v>10</v>
      </c>
      <c r="F314">
        <v>7.9</v>
      </c>
      <c r="G314">
        <v>9.1</v>
      </c>
      <c r="H314">
        <v>7.2</v>
      </c>
      <c r="I314">
        <v>8.3000000000000007</v>
      </c>
      <c r="J314">
        <v>49</v>
      </c>
      <c r="K314">
        <v>110</v>
      </c>
      <c r="L314">
        <v>1</v>
      </c>
      <c r="M314">
        <v>1</v>
      </c>
      <c r="N314">
        <v>0.34</v>
      </c>
      <c r="O314">
        <v>1.26</v>
      </c>
      <c r="P314">
        <v>2</v>
      </c>
      <c r="Q314">
        <v>27</v>
      </c>
      <c r="R314">
        <v>5</v>
      </c>
      <c r="S314">
        <v>350</v>
      </c>
      <c r="T314">
        <v>2</v>
      </c>
      <c r="U314">
        <v>2</v>
      </c>
      <c r="V314">
        <f>River_data[[#This Row],[Dissolved Oxygen Min]]*River_data[[#This Row],[Dissolved Oxygen Max]]/2</f>
        <v>35.945</v>
      </c>
      <c r="W314">
        <f>River_data[[#This Row],[BOD Min]]*River_data[[#This Row],[BOD Max]]/2</f>
        <v>0.5</v>
      </c>
      <c r="X314">
        <f>AVERAGE(River_data[[#This Row],[pH Max]]-River_data[[#This Row],[pH Min]])</f>
        <v>1.1000000000000005</v>
      </c>
    </row>
    <row r="315" spans="1:24" x14ac:dyDescent="0.3">
      <c r="A315">
        <v>2619</v>
      </c>
      <c r="B315" s="1" t="s">
        <v>326</v>
      </c>
      <c r="C315" s="1" t="s">
        <v>0</v>
      </c>
      <c r="D315">
        <v>6.3</v>
      </c>
      <c r="E315">
        <v>10</v>
      </c>
      <c r="F315">
        <v>7.7</v>
      </c>
      <c r="G315">
        <v>8.9</v>
      </c>
      <c r="H315">
        <v>7</v>
      </c>
      <c r="I315">
        <v>8.4</v>
      </c>
      <c r="J315">
        <v>37</v>
      </c>
      <c r="K315">
        <v>132</v>
      </c>
      <c r="L315">
        <v>1</v>
      </c>
      <c r="M315">
        <v>1</v>
      </c>
      <c r="N315">
        <v>0.32</v>
      </c>
      <c r="O315">
        <v>1.36</v>
      </c>
      <c r="P315">
        <v>7</v>
      </c>
      <c r="Q315">
        <v>47</v>
      </c>
      <c r="R315">
        <v>26</v>
      </c>
      <c r="S315">
        <v>350</v>
      </c>
      <c r="T315">
        <v>2</v>
      </c>
      <c r="U315">
        <v>2</v>
      </c>
      <c r="V315">
        <f>River_data[[#This Row],[Dissolved Oxygen Min]]*River_data[[#This Row],[Dissolved Oxygen Max]]/2</f>
        <v>34.265000000000001</v>
      </c>
      <c r="W315">
        <f>River_data[[#This Row],[BOD Min]]*River_data[[#This Row],[BOD Max]]/2</f>
        <v>0.5</v>
      </c>
      <c r="X315">
        <f>AVERAGE(River_data[[#This Row],[pH Max]]-River_data[[#This Row],[pH Min]])</f>
        <v>1.4000000000000004</v>
      </c>
    </row>
    <row r="316" spans="1:24" x14ac:dyDescent="0.3">
      <c r="A316">
        <v>4039</v>
      </c>
      <c r="B316" s="1" t="s">
        <v>327</v>
      </c>
      <c r="C316" s="1" t="s">
        <v>0</v>
      </c>
      <c r="D316">
        <v>6</v>
      </c>
      <c r="E316">
        <v>10</v>
      </c>
      <c r="F316">
        <v>7.2</v>
      </c>
      <c r="G316">
        <v>8.6999999999999993</v>
      </c>
      <c r="H316">
        <v>7.2</v>
      </c>
      <c r="I316">
        <v>8.1999999999999993</v>
      </c>
      <c r="J316">
        <v>34</v>
      </c>
      <c r="K316">
        <v>109</v>
      </c>
      <c r="L316">
        <v>1</v>
      </c>
      <c r="M316">
        <v>1</v>
      </c>
      <c r="N316">
        <v>0.32</v>
      </c>
      <c r="O316">
        <v>1.31</v>
      </c>
      <c r="P316">
        <v>2</v>
      </c>
      <c r="Q316">
        <v>220</v>
      </c>
      <c r="R316">
        <v>11</v>
      </c>
      <c r="S316">
        <v>920</v>
      </c>
      <c r="T316">
        <v>2</v>
      </c>
      <c r="U316">
        <v>4</v>
      </c>
      <c r="V316">
        <f>River_data[[#This Row],[Dissolved Oxygen Min]]*River_data[[#This Row],[Dissolved Oxygen Max]]/2</f>
        <v>31.319999999999997</v>
      </c>
      <c r="W316">
        <f>River_data[[#This Row],[BOD Min]]*River_data[[#This Row],[BOD Max]]/2</f>
        <v>0.5</v>
      </c>
      <c r="X316">
        <f>AVERAGE(River_data[[#This Row],[pH Max]]-River_data[[#This Row],[pH Min]])</f>
        <v>0.99999999999999911</v>
      </c>
    </row>
    <row r="317" spans="1:24" x14ac:dyDescent="0.3">
      <c r="A317">
        <v>5488</v>
      </c>
      <c r="B317" s="1" t="s">
        <v>328</v>
      </c>
      <c r="C317" s="1" t="s">
        <v>0</v>
      </c>
      <c r="D317">
        <v>8</v>
      </c>
      <c r="E317">
        <v>9</v>
      </c>
      <c r="F317">
        <v>6.2</v>
      </c>
      <c r="G317">
        <v>7.2</v>
      </c>
      <c r="H317">
        <v>7.1</v>
      </c>
      <c r="I317">
        <v>7.8</v>
      </c>
      <c r="J317">
        <v>35</v>
      </c>
      <c r="K317">
        <v>105</v>
      </c>
      <c r="L317">
        <v>1</v>
      </c>
      <c r="M317">
        <v>1</v>
      </c>
      <c r="N317">
        <v>0.41</v>
      </c>
      <c r="O317">
        <v>1.42</v>
      </c>
      <c r="P317">
        <v>2</v>
      </c>
      <c r="Q317">
        <v>21</v>
      </c>
      <c r="R317">
        <v>2</v>
      </c>
      <c r="S317">
        <v>170</v>
      </c>
      <c r="T317">
        <v>2</v>
      </c>
      <c r="U317">
        <v>2</v>
      </c>
      <c r="V317">
        <f>River_data[[#This Row],[Dissolved Oxygen Min]]*River_data[[#This Row],[Dissolved Oxygen Max]]/2</f>
        <v>22.32</v>
      </c>
      <c r="W317">
        <f>River_data[[#This Row],[BOD Min]]*River_data[[#This Row],[BOD Max]]/2</f>
        <v>0.5</v>
      </c>
      <c r="X317">
        <f>AVERAGE(River_data[[#This Row],[pH Max]]-River_data[[#This Row],[pH Min]])</f>
        <v>0.70000000000000018</v>
      </c>
    </row>
    <row r="318" spans="1:24" x14ac:dyDescent="0.3">
      <c r="A318">
        <v>5767</v>
      </c>
      <c r="B318" s="1" t="s">
        <v>85</v>
      </c>
      <c r="C318" s="1" t="s">
        <v>0</v>
      </c>
      <c r="D318">
        <v>6</v>
      </c>
      <c r="E318">
        <v>10.4</v>
      </c>
      <c r="F318">
        <v>7.6</v>
      </c>
      <c r="G318">
        <v>8.6999999999999993</v>
      </c>
      <c r="H318">
        <v>7</v>
      </c>
      <c r="I318">
        <v>8.4</v>
      </c>
      <c r="J318">
        <v>42</v>
      </c>
      <c r="K318">
        <v>136</v>
      </c>
      <c r="L318">
        <v>1</v>
      </c>
      <c r="M318">
        <v>1</v>
      </c>
      <c r="N318">
        <v>0.32</v>
      </c>
      <c r="O318">
        <v>0.66</v>
      </c>
      <c r="P318">
        <v>2</v>
      </c>
      <c r="Q318">
        <v>20</v>
      </c>
      <c r="R318">
        <v>2</v>
      </c>
      <c r="S318">
        <v>280</v>
      </c>
      <c r="T318">
        <v>2</v>
      </c>
      <c r="U318">
        <v>2</v>
      </c>
      <c r="V318">
        <f>River_data[[#This Row],[Dissolved Oxygen Min]]*River_data[[#This Row],[Dissolved Oxygen Max]]/2</f>
        <v>33.059999999999995</v>
      </c>
      <c r="W318">
        <f>River_data[[#This Row],[BOD Min]]*River_data[[#This Row],[BOD Max]]/2</f>
        <v>0.5</v>
      </c>
      <c r="X318">
        <f>AVERAGE(River_data[[#This Row],[pH Max]]-River_data[[#This Row],[pH Min]])</f>
        <v>1.4000000000000004</v>
      </c>
    </row>
    <row r="319" spans="1:24" x14ac:dyDescent="0.3">
      <c r="A319">
        <v>2620</v>
      </c>
      <c r="B319" s="1" t="s">
        <v>329</v>
      </c>
      <c r="C319" s="1" t="s">
        <v>0</v>
      </c>
      <c r="D319">
        <v>6</v>
      </c>
      <c r="E319">
        <v>9</v>
      </c>
      <c r="F319">
        <v>6.7</v>
      </c>
      <c r="G319">
        <v>8.5</v>
      </c>
      <c r="H319">
        <v>7.7</v>
      </c>
      <c r="I319">
        <v>8.5</v>
      </c>
      <c r="J319">
        <v>260</v>
      </c>
      <c r="K319">
        <v>518</v>
      </c>
      <c r="L319">
        <v>1</v>
      </c>
      <c r="M319">
        <v>1.4</v>
      </c>
      <c r="N319">
        <v>2.02</v>
      </c>
      <c r="O319">
        <v>13.06</v>
      </c>
      <c r="P319">
        <v>2</v>
      </c>
      <c r="Q319">
        <v>21</v>
      </c>
      <c r="R319">
        <v>21</v>
      </c>
      <c r="S319">
        <v>540</v>
      </c>
      <c r="T319">
        <v>2</v>
      </c>
      <c r="U319">
        <v>2</v>
      </c>
      <c r="V319">
        <f>River_data[[#This Row],[Dissolved Oxygen Min]]*River_data[[#This Row],[Dissolved Oxygen Max]]/2</f>
        <v>28.475000000000001</v>
      </c>
      <c r="W319">
        <f>River_data[[#This Row],[BOD Min]]*River_data[[#This Row],[BOD Max]]/2</f>
        <v>0.7</v>
      </c>
      <c r="X319">
        <f>AVERAGE(River_data[[#This Row],[pH Max]]-River_data[[#This Row],[pH Min]])</f>
        <v>0.79999999999999982</v>
      </c>
    </row>
    <row r="320" spans="1:24" x14ac:dyDescent="0.3">
      <c r="A320">
        <v>2626</v>
      </c>
      <c r="B320" s="1" t="s">
        <v>330</v>
      </c>
      <c r="C320" s="1" t="s">
        <v>0</v>
      </c>
      <c r="D320">
        <v>14</v>
      </c>
      <c r="E320">
        <v>24</v>
      </c>
      <c r="F320">
        <v>6.3</v>
      </c>
      <c r="G320">
        <v>8.6</v>
      </c>
      <c r="H320">
        <v>7.1</v>
      </c>
      <c r="I320">
        <v>8.1999999999999993</v>
      </c>
      <c r="J320">
        <v>261</v>
      </c>
      <c r="K320">
        <v>633</v>
      </c>
      <c r="L320">
        <v>1.1000000000000001</v>
      </c>
      <c r="M320">
        <v>2.6</v>
      </c>
      <c r="N320">
        <v>0.57999999999999996</v>
      </c>
      <c r="O320">
        <v>0.86</v>
      </c>
      <c r="P320">
        <v>2</v>
      </c>
      <c r="Q320">
        <v>70</v>
      </c>
      <c r="R320">
        <v>70</v>
      </c>
      <c r="S320">
        <v>350</v>
      </c>
      <c r="T320">
        <v>2</v>
      </c>
      <c r="U320">
        <v>2</v>
      </c>
      <c r="V320">
        <f>River_data[[#This Row],[Dissolved Oxygen Min]]*River_data[[#This Row],[Dissolved Oxygen Max]]/2</f>
        <v>27.09</v>
      </c>
      <c r="W320">
        <f>River_data[[#This Row],[BOD Min]]*River_data[[#This Row],[BOD Max]]/2</f>
        <v>1.4300000000000002</v>
      </c>
      <c r="X320">
        <f>AVERAGE(River_data[[#This Row],[pH Max]]-River_data[[#This Row],[pH Min]])</f>
        <v>1.0999999999999996</v>
      </c>
    </row>
    <row r="321" spans="1:24" x14ac:dyDescent="0.3">
      <c r="A321">
        <v>2627</v>
      </c>
      <c r="B321" s="1" t="s">
        <v>331</v>
      </c>
      <c r="C321" s="1" t="s">
        <v>0</v>
      </c>
      <c r="D321">
        <v>15</v>
      </c>
      <c r="E321">
        <v>23</v>
      </c>
      <c r="F321">
        <v>6.4</v>
      </c>
      <c r="G321">
        <v>8.3000000000000007</v>
      </c>
      <c r="H321">
        <v>7.4</v>
      </c>
      <c r="I321">
        <v>8.3000000000000007</v>
      </c>
      <c r="J321">
        <v>237</v>
      </c>
      <c r="K321">
        <v>620</v>
      </c>
      <c r="L321">
        <v>1.2</v>
      </c>
      <c r="M321">
        <v>2.6</v>
      </c>
      <c r="N321">
        <v>0.59</v>
      </c>
      <c r="O321">
        <v>0.84</v>
      </c>
      <c r="P321">
        <v>32</v>
      </c>
      <c r="Q321">
        <v>130</v>
      </c>
      <c r="R321">
        <v>140</v>
      </c>
      <c r="S321">
        <v>430</v>
      </c>
      <c r="T321">
        <v>2</v>
      </c>
      <c r="U321">
        <v>2</v>
      </c>
      <c r="V321">
        <f>River_data[[#This Row],[Dissolved Oxygen Min]]*River_data[[#This Row],[Dissolved Oxygen Max]]/2</f>
        <v>26.560000000000002</v>
      </c>
      <c r="W321">
        <f>River_data[[#This Row],[BOD Min]]*River_data[[#This Row],[BOD Max]]/2</f>
        <v>1.56</v>
      </c>
      <c r="X321">
        <f>AVERAGE(River_data[[#This Row],[pH Max]]-River_data[[#This Row],[pH Min]])</f>
        <v>0.90000000000000036</v>
      </c>
    </row>
    <row r="322" spans="1:24" x14ac:dyDescent="0.3">
      <c r="A322">
        <v>4428</v>
      </c>
      <c r="B322" s="1" t="s">
        <v>332</v>
      </c>
      <c r="C322" s="1" t="s">
        <v>0</v>
      </c>
      <c r="D322">
        <v>9</v>
      </c>
      <c r="E322">
        <v>19.5</v>
      </c>
      <c r="F322">
        <v>7</v>
      </c>
      <c r="G322">
        <v>8.6999999999999993</v>
      </c>
      <c r="H322">
        <v>5.5</v>
      </c>
      <c r="I322">
        <v>8.3000000000000007</v>
      </c>
      <c r="J322">
        <v>81</v>
      </c>
      <c r="K322">
        <v>422</v>
      </c>
      <c r="L322">
        <v>1</v>
      </c>
      <c r="M322">
        <v>3.1</v>
      </c>
      <c r="N322">
        <v>0.33</v>
      </c>
      <c r="O322">
        <v>11.06</v>
      </c>
      <c r="P322">
        <v>8</v>
      </c>
      <c r="Q322">
        <v>110</v>
      </c>
      <c r="R322">
        <v>70</v>
      </c>
      <c r="S322">
        <v>1600</v>
      </c>
      <c r="T322">
        <v>2</v>
      </c>
      <c r="U322">
        <v>24</v>
      </c>
      <c r="V322">
        <f>River_data[[#This Row],[Dissolved Oxygen Min]]*River_data[[#This Row],[Dissolved Oxygen Max]]/2</f>
        <v>30.449999999999996</v>
      </c>
      <c r="W322">
        <f>River_data[[#This Row],[BOD Min]]*River_data[[#This Row],[BOD Max]]/2</f>
        <v>1.55</v>
      </c>
      <c r="X322">
        <f>AVERAGE(River_data[[#This Row],[pH Max]]-River_data[[#This Row],[pH Min]])</f>
        <v>2.8000000000000007</v>
      </c>
    </row>
    <row r="323" spans="1:24" x14ac:dyDescent="0.3">
      <c r="A323">
        <v>4429</v>
      </c>
      <c r="B323" s="1" t="s">
        <v>333</v>
      </c>
      <c r="C323" s="1" t="s">
        <v>0</v>
      </c>
      <c r="D323">
        <v>9</v>
      </c>
      <c r="E323">
        <v>22.7</v>
      </c>
      <c r="F323">
        <v>6.9</v>
      </c>
      <c r="G323">
        <v>8.1999999999999993</v>
      </c>
      <c r="H323">
        <v>6.8</v>
      </c>
      <c r="I323">
        <v>8.1999999999999993</v>
      </c>
      <c r="J323">
        <v>102</v>
      </c>
      <c r="K323">
        <v>473</v>
      </c>
      <c r="L323">
        <v>1</v>
      </c>
      <c r="M323">
        <v>6.8</v>
      </c>
      <c r="N323">
        <v>0.32</v>
      </c>
      <c r="O323">
        <v>7.32</v>
      </c>
      <c r="P323">
        <v>7</v>
      </c>
      <c r="Q323">
        <v>540</v>
      </c>
      <c r="R323">
        <v>17</v>
      </c>
      <c r="S323">
        <v>1600</v>
      </c>
      <c r="T323">
        <v>4</v>
      </c>
      <c r="U323">
        <v>40</v>
      </c>
      <c r="V323">
        <f>River_data[[#This Row],[Dissolved Oxygen Min]]*River_data[[#This Row],[Dissolved Oxygen Max]]/2</f>
        <v>28.29</v>
      </c>
      <c r="W323">
        <f>River_data[[#This Row],[BOD Min]]*River_data[[#This Row],[BOD Max]]/2</f>
        <v>3.4</v>
      </c>
      <c r="X323">
        <f>AVERAGE(River_data[[#This Row],[pH Max]]-River_data[[#This Row],[pH Min]])</f>
        <v>1.3999999999999995</v>
      </c>
    </row>
    <row r="324" spans="1:24" x14ac:dyDescent="0.3">
      <c r="A324">
        <v>4461</v>
      </c>
      <c r="B324" s="1" t="s">
        <v>334</v>
      </c>
      <c r="C324" s="1" t="s">
        <v>0</v>
      </c>
      <c r="D324">
        <v>7</v>
      </c>
      <c r="E324">
        <v>18</v>
      </c>
      <c r="F324">
        <v>6.7</v>
      </c>
      <c r="G324">
        <v>11</v>
      </c>
      <c r="H324">
        <v>7.2</v>
      </c>
      <c r="I324">
        <v>8.1999999999999993</v>
      </c>
      <c r="J324">
        <v>166</v>
      </c>
      <c r="K324">
        <v>530</v>
      </c>
      <c r="L324">
        <v>1</v>
      </c>
      <c r="M324">
        <v>1</v>
      </c>
      <c r="N324">
        <v>1.87</v>
      </c>
      <c r="O324">
        <v>5.8</v>
      </c>
      <c r="P324">
        <v>2</v>
      </c>
      <c r="Q324">
        <v>9</v>
      </c>
      <c r="R324">
        <v>21</v>
      </c>
      <c r="S324">
        <v>220</v>
      </c>
      <c r="T324">
        <v>2</v>
      </c>
      <c r="U324">
        <v>2</v>
      </c>
      <c r="V324">
        <f>River_data[[#This Row],[Dissolved Oxygen Min]]*River_data[[#This Row],[Dissolved Oxygen Max]]/2</f>
        <v>36.85</v>
      </c>
      <c r="W324">
        <f>River_data[[#This Row],[BOD Min]]*River_data[[#This Row],[BOD Max]]/2</f>
        <v>0.5</v>
      </c>
      <c r="X324">
        <f>AVERAGE(River_data[[#This Row],[pH Max]]-River_data[[#This Row],[pH Min]])</f>
        <v>0.99999999999999911</v>
      </c>
    </row>
    <row r="325" spans="1:24" x14ac:dyDescent="0.3">
      <c r="A325">
        <v>4479</v>
      </c>
      <c r="B325" s="1" t="s">
        <v>335</v>
      </c>
      <c r="C325" s="1" t="s">
        <v>0</v>
      </c>
      <c r="D325">
        <v>7</v>
      </c>
      <c r="E325">
        <v>20</v>
      </c>
      <c r="F325">
        <v>6.2</v>
      </c>
      <c r="G325">
        <v>10</v>
      </c>
      <c r="H325">
        <v>7.1</v>
      </c>
      <c r="I325">
        <v>8.1</v>
      </c>
      <c r="J325">
        <v>145</v>
      </c>
      <c r="K325">
        <v>769</v>
      </c>
      <c r="L325">
        <v>1</v>
      </c>
      <c r="M325">
        <v>1</v>
      </c>
      <c r="N325">
        <v>2.38</v>
      </c>
      <c r="O325">
        <v>6.61</v>
      </c>
      <c r="P325">
        <v>2</v>
      </c>
      <c r="Q325">
        <v>11</v>
      </c>
      <c r="R325">
        <v>26</v>
      </c>
      <c r="S325">
        <v>220</v>
      </c>
      <c r="T325">
        <v>2</v>
      </c>
      <c r="U325">
        <v>2</v>
      </c>
      <c r="V325">
        <f>River_data[[#This Row],[Dissolved Oxygen Min]]*River_data[[#This Row],[Dissolved Oxygen Max]]/2</f>
        <v>31</v>
      </c>
      <c r="W325">
        <f>River_data[[#This Row],[BOD Min]]*River_data[[#This Row],[BOD Max]]/2</f>
        <v>0.5</v>
      </c>
      <c r="X325">
        <f>AVERAGE(River_data[[#This Row],[pH Max]]-River_data[[#This Row],[pH Min]])</f>
        <v>1</v>
      </c>
    </row>
    <row r="326" spans="1:24" x14ac:dyDescent="0.3">
      <c r="A326">
        <v>4431</v>
      </c>
      <c r="B326" s="1" t="s">
        <v>336</v>
      </c>
      <c r="C326" s="1" t="s">
        <v>0</v>
      </c>
      <c r="D326">
        <v>7.8</v>
      </c>
      <c r="E326">
        <v>30</v>
      </c>
      <c r="F326">
        <v>6.8</v>
      </c>
      <c r="G326">
        <v>8</v>
      </c>
      <c r="H326">
        <v>7.6</v>
      </c>
      <c r="I326">
        <v>8.3000000000000007</v>
      </c>
      <c r="J326">
        <v>51</v>
      </c>
      <c r="K326">
        <v>343</v>
      </c>
      <c r="L326">
        <v>1</v>
      </c>
      <c r="M326">
        <v>1.8</v>
      </c>
      <c r="N326">
        <v>0.32</v>
      </c>
      <c r="O326">
        <v>1.9</v>
      </c>
      <c r="P326">
        <v>2</v>
      </c>
      <c r="Q326">
        <v>33</v>
      </c>
      <c r="R326">
        <v>34</v>
      </c>
      <c r="S326">
        <v>920</v>
      </c>
      <c r="T326">
        <v>2</v>
      </c>
      <c r="U326">
        <v>2</v>
      </c>
      <c r="V326">
        <f>River_data[[#This Row],[Dissolved Oxygen Min]]*River_data[[#This Row],[Dissolved Oxygen Max]]/2</f>
        <v>27.2</v>
      </c>
      <c r="W326">
        <f>River_data[[#This Row],[BOD Min]]*River_data[[#This Row],[BOD Max]]/2</f>
        <v>0.9</v>
      </c>
      <c r="X326">
        <f>AVERAGE(River_data[[#This Row],[pH Max]]-River_data[[#This Row],[pH Min]])</f>
        <v>0.70000000000000107</v>
      </c>
    </row>
    <row r="327" spans="1:24" x14ac:dyDescent="0.3">
      <c r="A327">
        <v>30037</v>
      </c>
      <c r="B327" s="1" t="s">
        <v>337</v>
      </c>
      <c r="C327" s="1" t="s">
        <v>148</v>
      </c>
      <c r="D327">
        <v>21.6</v>
      </c>
      <c r="E327">
        <v>31.2</v>
      </c>
      <c r="F327">
        <v>0.4</v>
      </c>
      <c r="G327">
        <v>6.8</v>
      </c>
      <c r="H327">
        <v>7.2</v>
      </c>
      <c r="I327">
        <v>7.5</v>
      </c>
      <c r="J327">
        <v>366</v>
      </c>
      <c r="K327">
        <v>614</v>
      </c>
      <c r="L327">
        <v>1.6</v>
      </c>
      <c r="M327">
        <v>3.1</v>
      </c>
      <c r="N327">
        <v>0.32</v>
      </c>
      <c r="O327">
        <v>1.05</v>
      </c>
      <c r="P327">
        <v>2</v>
      </c>
      <c r="Q327">
        <v>790000</v>
      </c>
      <c r="R327">
        <v>2000</v>
      </c>
      <c r="S327">
        <v>2400000</v>
      </c>
      <c r="V327">
        <f>River_data[[#This Row],[Dissolved Oxygen Min]]*River_data[[#This Row],[Dissolved Oxygen Max]]/2</f>
        <v>1.36</v>
      </c>
      <c r="W327">
        <f>River_data[[#This Row],[BOD Min]]*River_data[[#This Row],[BOD Max]]/2</f>
        <v>2.4800000000000004</v>
      </c>
      <c r="X327">
        <f>AVERAGE(River_data[[#This Row],[pH Max]]-River_data[[#This Row],[pH Min]])</f>
        <v>0.29999999999999982</v>
      </c>
    </row>
    <row r="328" spans="1:24" x14ac:dyDescent="0.3">
      <c r="A328">
        <v>30038</v>
      </c>
      <c r="B328" s="1" t="s">
        <v>338</v>
      </c>
      <c r="C328" s="1" t="s">
        <v>169</v>
      </c>
      <c r="D328">
        <v>21.6</v>
      </c>
      <c r="E328">
        <v>31.2</v>
      </c>
      <c r="F328">
        <v>5</v>
      </c>
      <c r="G328">
        <v>7.8</v>
      </c>
      <c r="H328">
        <v>7.3</v>
      </c>
      <c r="I328">
        <v>7.6</v>
      </c>
      <c r="J328">
        <v>359</v>
      </c>
      <c r="K328">
        <v>518</v>
      </c>
      <c r="L328">
        <v>1</v>
      </c>
      <c r="M328">
        <v>2.6</v>
      </c>
      <c r="N328">
        <v>0.32</v>
      </c>
      <c r="O328">
        <v>1.65</v>
      </c>
      <c r="P328">
        <v>2</v>
      </c>
      <c r="Q328">
        <v>330000</v>
      </c>
      <c r="R328">
        <v>2</v>
      </c>
      <c r="S328">
        <v>790000</v>
      </c>
      <c r="T328">
        <v>2</v>
      </c>
      <c r="U328">
        <v>2</v>
      </c>
      <c r="V328">
        <f>River_data[[#This Row],[Dissolved Oxygen Min]]*River_data[[#This Row],[Dissolved Oxygen Max]]/2</f>
        <v>19.5</v>
      </c>
      <c r="W328">
        <f>River_data[[#This Row],[BOD Min]]*River_data[[#This Row],[BOD Max]]/2</f>
        <v>1.3</v>
      </c>
      <c r="X328">
        <f>AVERAGE(River_data[[#This Row],[pH Max]]-River_data[[#This Row],[pH Min]])</f>
        <v>0.29999999999999982</v>
      </c>
    </row>
    <row r="329" spans="1:24" x14ac:dyDescent="0.3">
      <c r="A329">
        <v>10099</v>
      </c>
      <c r="B329" s="1" t="s">
        <v>339</v>
      </c>
      <c r="C329" s="1" t="s">
        <v>169</v>
      </c>
      <c r="D329">
        <v>18</v>
      </c>
      <c r="E329">
        <v>32</v>
      </c>
      <c r="F329">
        <v>1.4</v>
      </c>
      <c r="G329">
        <v>1.4</v>
      </c>
      <c r="H329">
        <v>7.2</v>
      </c>
      <c r="I329">
        <v>7.4</v>
      </c>
      <c r="J329">
        <v>380</v>
      </c>
      <c r="K329">
        <v>750</v>
      </c>
      <c r="L329">
        <v>32</v>
      </c>
      <c r="M329">
        <v>44</v>
      </c>
      <c r="N329">
        <v>0</v>
      </c>
      <c r="O329">
        <v>0</v>
      </c>
      <c r="V329">
        <f>River_data[[#This Row],[Dissolved Oxygen Min]]*River_data[[#This Row],[Dissolved Oxygen Max]]/2</f>
        <v>0.97999999999999987</v>
      </c>
      <c r="W329">
        <f>River_data[[#This Row],[BOD Min]]*River_data[[#This Row],[BOD Max]]/2</f>
        <v>704</v>
      </c>
      <c r="X329">
        <f>AVERAGE(River_data[[#This Row],[pH Max]]-River_data[[#This Row],[pH Min]])</f>
        <v>0.20000000000000018</v>
      </c>
    </row>
    <row r="330" spans="1:24" x14ac:dyDescent="0.3">
      <c r="A330">
        <v>10102</v>
      </c>
      <c r="B330" s="1" t="s">
        <v>340</v>
      </c>
      <c r="C330" s="1" t="s">
        <v>169</v>
      </c>
      <c r="D330">
        <v>18</v>
      </c>
      <c r="E330">
        <v>27</v>
      </c>
      <c r="F330">
        <v>1.2</v>
      </c>
      <c r="G330">
        <v>4.5</v>
      </c>
      <c r="H330">
        <v>6.5</v>
      </c>
      <c r="I330">
        <v>7.5</v>
      </c>
      <c r="J330">
        <v>330</v>
      </c>
      <c r="K330">
        <v>530</v>
      </c>
      <c r="L330">
        <v>15</v>
      </c>
      <c r="M330">
        <v>20</v>
      </c>
      <c r="N330">
        <v>0.4</v>
      </c>
      <c r="O330">
        <v>0.46</v>
      </c>
      <c r="P330">
        <v>130000</v>
      </c>
      <c r="Q330">
        <v>260000</v>
      </c>
      <c r="R330">
        <v>170000</v>
      </c>
      <c r="S330">
        <v>790000</v>
      </c>
      <c r="V330">
        <f>River_data[[#This Row],[Dissolved Oxygen Min]]*River_data[[#This Row],[Dissolved Oxygen Max]]/2</f>
        <v>2.6999999999999997</v>
      </c>
      <c r="W330">
        <f>River_data[[#This Row],[BOD Min]]*River_data[[#This Row],[BOD Max]]/2</f>
        <v>150</v>
      </c>
      <c r="X330">
        <f>AVERAGE(River_data[[#This Row],[pH Max]]-River_data[[#This Row],[pH Min]])</f>
        <v>1</v>
      </c>
    </row>
    <row r="331" spans="1:24" x14ac:dyDescent="0.3">
      <c r="A331">
        <v>10103</v>
      </c>
      <c r="B331" s="1" t="s">
        <v>341</v>
      </c>
      <c r="C331" s="1" t="s">
        <v>169</v>
      </c>
      <c r="D331">
        <v>18</v>
      </c>
      <c r="E331">
        <v>28</v>
      </c>
      <c r="F331">
        <v>2.1</v>
      </c>
      <c r="G331">
        <v>6.5</v>
      </c>
      <c r="H331">
        <v>6.8</v>
      </c>
      <c r="I331">
        <v>7.6</v>
      </c>
      <c r="J331">
        <v>330</v>
      </c>
      <c r="K331">
        <v>746</v>
      </c>
      <c r="L331">
        <v>10</v>
      </c>
      <c r="M331">
        <v>20</v>
      </c>
      <c r="N331">
        <v>0.35</v>
      </c>
      <c r="O331">
        <v>0.48</v>
      </c>
      <c r="P331">
        <v>110000</v>
      </c>
      <c r="Q331">
        <v>340000</v>
      </c>
      <c r="R331">
        <v>140000</v>
      </c>
      <c r="S331">
        <v>470000</v>
      </c>
      <c r="V331">
        <f>River_data[[#This Row],[Dissolved Oxygen Min]]*River_data[[#This Row],[Dissolved Oxygen Max]]/2</f>
        <v>6.8250000000000002</v>
      </c>
      <c r="W331">
        <f>River_data[[#This Row],[BOD Min]]*River_data[[#This Row],[BOD Max]]/2</f>
        <v>100</v>
      </c>
      <c r="X331">
        <f>AVERAGE(River_data[[#This Row],[pH Max]]-River_data[[#This Row],[pH Min]])</f>
        <v>0.79999999999999982</v>
      </c>
    </row>
    <row r="332" spans="1:24" x14ac:dyDescent="0.3">
      <c r="A332">
        <v>10106</v>
      </c>
      <c r="B332" s="1" t="s">
        <v>342</v>
      </c>
      <c r="C332" s="1" t="s">
        <v>169</v>
      </c>
      <c r="D332">
        <v>18</v>
      </c>
      <c r="E332">
        <v>28</v>
      </c>
      <c r="F332">
        <v>1.1000000000000001</v>
      </c>
      <c r="G332">
        <v>5.5</v>
      </c>
      <c r="H332">
        <v>6.2</v>
      </c>
      <c r="I332">
        <v>7.6</v>
      </c>
      <c r="J332">
        <v>316</v>
      </c>
      <c r="K332">
        <v>589</v>
      </c>
      <c r="L332">
        <v>12</v>
      </c>
      <c r="M332">
        <v>24</v>
      </c>
      <c r="N332">
        <v>0.41</v>
      </c>
      <c r="O332">
        <v>0.55000000000000004</v>
      </c>
      <c r="P332">
        <v>170000</v>
      </c>
      <c r="Q332">
        <v>350000</v>
      </c>
      <c r="R332">
        <v>210000</v>
      </c>
      <c r="S332">
        <v>920000</v>
      </c>
      <c r="V332">
        <f>River_data[[#This Row],[Dissolved Oxygen Min]]*River_data[[#This Row],[Dissolved Oxygen Max]]/2</f>
        <v>3.0250000000000004</v>
      </c>
      <c r="W332">
        <f>River_data[[#This Row],[BOD Min]]*River_data[[#This Row],[BOD Max]]/2</f>
        <v>144</v>
      </c>
      <c r="X332">
        <f>AVERAGE(River_data[[#This Row],[pH Max]]-River_data[[#This Row],[pH Min]])</f>
        <v>1.3999999999999995</v>
      </c>
    </row>
    <row r="333" spans="1:24" x14ac:dyDescent="0.3">
      <c r="A333">
        <v>10100</v>
      </c>
      <c r="B333" s="1" t="s">
        <v>343</v>
      </c>
      <c r="C333" s="1" t="s">
        <v>169</v>
      </c>
      <c r="D333">
        <v>16</v>
      </c>
      <c r="E333">
        <v>22</v>
      </c>
      <c r="F333">
        <v>0.3</v>
      </c>
      <c r="G333">
        <v>0.3</v>
      </c>
      <c r="H333">
        <v>7.5</v>
      </c>
      <c r="I333">
        <v>7.8</v>
      </c>
      <c r="J333">
        <v>710</v>
      </c>
      <c r="K333">
        <v>900</v>
      </c>
      <c r="L333">
        <v>42</v>
      </c>
      <c r="M333">
        <v>62</v>
      </c>
      <c r="N333">
        <v>24</v>
      </c>
      <c r="O333">
        <v>34</v>
      </c>
      <c r="P333">
        <v>100000</v>
      </c>
      <c r="Q333">
        <v>140000</v>
      </c>
      <c r="R333">
        <v>140000</v>
      </c>
      <c r="S333">
        <v>210000</v>
      </c>
      <c r="V333">
        <f>River_data[[#This Row],[Dissolved Oxygen Min]]*River_data[[#This Row],[Dissolved Oxygen Max]]/2</f>
        <v>4.4999999999999998E-2</v>
      </c>
      <c r="W333">
        <f>River_data[[#This Row],[BOD Min]]*River_data[[#This Row],[BOD Max]]/2</f>
        <v>1302</v>
      </c>
      <c r="X333">
        <f>AVERAGE(River_data[[#This Row],[pH Max]]-River_data[[#This Row],[pH Min]])</f>
        <v>0.29999999999999982</v>
      </c>
    </row>
    <row r="334" spans="1:24" x14ac:dyDescent="0.3">
      <c r="A334">
        <v>10101</v>
      </c>
      <c r="B334" s="1" t="s">
        <v>344</v>
      </c>
      <c r="C334" s="1" t="s">
        <v>169</v>
      </c>
      <c r="D334">
        <v>16</v>
      </c>
      <c r="E334">
        <v>21</v>
      </c>
      <c r="F334">
        <v>0.3</v>
      </c>
      <c r="G334">
        <v>0.3</v>
      </c>
      <c r="H334">
        <v>7.4</v>
      </c>
      <c r="I334">
        <v>7.7</v>
      </c>
      <c r="J334">
        <v>630</v>
      </c>
      <c r="K334">
        <v>820</v>
      </c>
      <c r="L334">
        <v>38</v>
      </c>
      <c r="M334">
        <v>56</v>
      </c>
      <c r="N334">
        <v>22</v>
      </c>
      <c r="O334">
        <v>30</v>
      </c>
      <c r="P334">
        <v>82000</v>
      </c>
      <c r="Q334">
        <v>120000</v>
      </c>
      <c r="R334">
        <v>120000</v>
      </c>
      <c r="S334">
        <v>170000</v>
      </c>
      <c r="V334">
        <f>River_data[[#This Row],[Dissolved Oxygen Min]]*River_data[[#This Row],[Dissolved Oxygen Max]]/2</f>
        <v>4.4999999999999998E-2</v>
      </c>
      <c r="W334">
        <f>River_data[[#This Row],[BOD Min]]*River_data[[#This Row],[BOD Max]]/2</f>
        <v>1064</v>
      </c>
      <c r="X334">
        <f>AVERAGE(River_data[[#This Row],[pH Max]]-River_data[[#This Row],[pH Min]])</f>
        <v>0.29999999999999982</v>
      </c>
    </row>
    <row r="335" spans="1:24" x14ac:dyDescent="0.3">
      <c r="A335">
        <v>1483</v>
      </c>
      <c r="B335" s="1" t="s">
        <v>345</v>
      </c>
      <c r="C335" s="1" t="s">
        <v>169</v>
      </c>
      <c r="D335">
        <v>17</v>
      </c>
      <c r="E335">
        <v>22</v>
      </c>
      <c r="F335">
        <v>0.3</v>
      </c>
      <c r="G335">
        <v>0.3</v>
      </c>
      <c r="H335">
        <v>7.5</v>
      </c>
      <c r="I335">
        <v>7.8</v>
      </c>
      <c r="J335">
        <v>750</v>
      </c>
      <c r="K335">
        <v>1000</v>
      </c>
      <c r="L335">
        <v>44</v>
      </c>
      <c r="M335">
        <v>68</v>
      </c>
      <c r="N335">
        <v>30</v>
      </c>
      <c r="O335">
        <v>38</v>
      </c>
      <c r="P335">
        <v>100000</v>
      </c>
      <c r="Q335">
        <v>170000</v>
      </c>
      <c r="R335">
        <v>150000</v>
      </c>
      <c r="S335">
        <v>220000</v>
      </c>
      <c r="V335">
        <f>River_data[[#This Row],[Dissolved Oxygen Min]]*River_data[[#This Row],[Dissolved Oxygen Max]]/2</f>
        <v>4.4999999999999998E-2</v>
      </c>
      <c r="W335">
        <f>River_data[[#This Row],[BOD Min]]*River_data[[#This Row],[BOD Max]]/2</f>
        <v>1496</v>
      </c>
      <c r="X335">
        <f>AVERAGE(River_data[[#This Row],[pH Max]]-River_data[[#This Row],[pH Min]])</f>
        <v>0.29999999999999982</v>
      </c>
    </row>
    <row r="336" spans="1:24" x14ac:dyDescent="0.3">
      <c r="A336">
        <v>2496</v>
      </c>
      <c r="B336" s="1" t="s">
        <v>346</v>
      </c>
      <c r="C336" s="1" t="s">
        <v>169</v>
      </c>
      <c r="D336">
        <v>15</v>
      </c>
      <c r="E336">
        <v>22</v>
      </c>
      <c r="F336">
        <v>0.3</v>
      </c>
      <c r="G336">
        <v>0.3</v>
      </c>
      <c r="H336">
        <v>7.6</v>
      </c>
      <c r="I336">
        <v>7.8</v>
      </c>
      <c r="J336">
        <v>750</v>
      </c>
      <c r="K336">
        <v>990</v>
      </c>
      <c r="L336">
        <v>48</v>
      </c>
      <c r="M336">
        <v>68</v>
      </c>
      <c r="N336">
        <v>32</v>
      </c>
      <c r="O336">
        <v>40</v>
      </c>
      <c r="P336">
        <v>14000</v>
      </c>
      <c r="Q336">
        <v>170000</v>
      </c>
      <c r="R336">
        <v>17000</v>
      </c>
      <c r="S336">
        <v>240000</v>
      </c>
      <c r="V336">
        <f>River_data[[#This Row],[Dissolved Oxygen Min]]*River_data[[#This Row],[Dissolved Oxygen Max]]/2</f>
        <v>4.4999999999999998E-2</v>
      </c>
      <c r="W336">
        <f>River_data[[#This Row],[BOD Min]]*River_data[[#This Row],[BOD Max]]/2</f>
        <v>1632</v>
      </c>
      <c r="X336">
        <f>AVERAGE(River_data[[#This Row],[pH Max]]-River_data[[#This Row],[pH Min]])</f>
        <v>0.20000000000000018</v>
      </c>
    </row>
    <row r="337" spans="1:24" x14ac:dyDescent="0.3">
      <c r="A337">
        <v>1358</v>
      </c>
      <c r="B337" s="1" t="s">
        <v>347</v>
      </c>
      <c r="C337" s="1" t="s">
        <v>169</v>
      </c>
      <c r="D337">
        <v>20</v>
      </c>
      <c r="E337">
        <v>25</v>
      </c>
      <c r="F337">
        <v>0.3</v>
      </c>
      <c r="G337">
        <v>8.8000000000000007</v>
      </c>
      <c r="H337">
        <v>6.4</v>
      </c>
      <c r="I337">
        <v>8.4</v>
      </c>
      <c r="J337">
        <v>304</v>
      </c>
      <c r="K337">
        <v>1375</v>
      </c>
      <c r="L337">
        <v>3.2</v>
      </c>
      <c r="M337">
        <v>48</v>
      </c>
      <c r="N337">
        <v>0.75</v>
      </c>
      <c r="O337">
        <v>0.96</v>
      </c>
      <c r="P337">
        <v>2100</v>
      </c>
      <c r="Q337">
        <v>340000</v>
      </c>
      <c r="R337">
        <v>3800</v>
      </c>
      <c r="S337">
        <v>470000</v>
      </c>
      <c r="T337">
        <v>1100</v>
      </c>
      <c r="U337">
        <v>1100</v>
      </c>
      <c r="V337">
        <f>River_data[[#This Row],[Dissolved Oxygen Min]]*River_data[[#This Row],[Dissolved Oxygen Max]]/2</f>
        <v>1.32</v>
      </c>
      <c r="W337">
        <f>River_data[[#This Row],[BOD Min]]*River_data[[#This Row],[BOD Max]]/2</f>
        <v>76.800000000000011</v>
      </c>
      <c r="X337">
        <f>AVERAGE(River_data[[#This Row],[pH Max]]-River_data[[#This Row],[pH Min]])</f>
        <v>2</v>
      </c>
    </row>
    <row r="338" spans="1:24" x14ac:dyDescent="0.3">
      <c r="A338">
        <v>10105</v>
      </c>
      <c r="B338" s="1" t="s">
        <v>348</v>
      </c>
      <c r="C338" s="1" t="s">
        <v>169</v>
      </c>
      <c r="D338">
        <v>26</v>
      </c>
      <c r="E338">
        <v>26</v>
      </c>
      <c r="F338">
        <v>1.1000000000000001</v>
      </c>
      <c r="G338">
        <v>4.8</v>
      </c>
      <c r="H338">
        <v>7</v>
      </c>
      <c r="I338">
        <v>7.9</v>
      </c>
      <c r="J338">
        <v>450</v>
      </c>
      <c r="K338">
        <v>1082</v>
      </c>
      <c r="L338">
        <v>12</v>
      </c>
      <c r="M338">
        <v>27</v>
      </c>
      <c r="N338">
        <v>0</v>
      </c>
      <c r="O338">
        <v>0.42</v>
      </c>
      <c r="P338">
        <v>170000</v>
      </c>
      <c r="Q338">
        <v>2700000</v>
      </c>
      <c r="R338">
        <v>270000</v>
      </c>
      <c r="S338">
        <v>3800000</v>
      </c>
      <c r="V338">
        <f>River_data[[#This Row],[Dissolved Oxygen Min]]*River_data[[#This Row],[Dissolved Oxygen Max]]/2</f>
        <v>2.64</v>
      </c>
      <c r="W338">
        <f>River_data[[#This Row],[BOD Min]]*River_data[[#This Row],[BOD Max]]/2</f>
        <v>162</v>
      </c>
      <c r="X338">
        <f>AVERAGE(River_data[[#This Row],[pH Max]]-River_data[[#This Row],[pH Min]])</f>
        <v>0.90000000000000036</v>
      </c>
    </row>
    <row r="339" spans="1:24" x14ac:dyDescent="0.3">
      <c r="A339">
        <v>1477</v>
      </c>
      <c r="B339" s="1" t="s">
        <v>349</v>
      </c>
      <c r="C339" s="1" t="s">
        <v>169</v>
      </c>
      <c r="D339">
        <v>19</v>
      </c>
      <c r="E339">
        <v>25.5</v>
      </c>
      <c r="F339">
        <v>2.9</v>
      </c>
      <c r="G339">
        <v>3.4</v>
      </c>
      <c r="H339">
        <v>7.2</v>
      </c>
      <c r="I339">
        <v>7.7</v>
      </c>
      <c r="J339">
        <v>300</v>
      </c>
      <c r="K339">
        <v>340</v>
      </c>
      <c r="L339">
        <v>12</v>
      </c>
      <c r="M339">
        <v>16</v>
      </c>
      <c r="N339">
        <v>0</v>
      </c>
      <c r="O339">
        <v>0</v>
      </c>
      <c r="V339">
        <f>River_data[[#This Row],[Dissolved Oxygen Min]]*River_data[[#This Row],[Dissolved Oxygen Max]]/2</f>
        <v>4.93</v>
      </c>
      <c r="W339">
        <f>River_data[[#This Row],[BOD Min]]*River_data[[#This Row],[BOD Max]]/2</f>
        <v>96</v>
      </c>
      <c r="X339">
        <f>AVERAGE(River_data[[#This Row],[pH Max]]-River_data[[#This Row],[pH Min]])</f>
        <v>0.5</v>
      </c>
    </row>
    <row r="340" spans="1:24" x14ac:dyDescent="0.3">
      <c r="A340">
        <v>1478</v>
      </c>
      <c r="B340" s="1" t="s">
        <v>350</v>
      </c>
      <c r="C340" s="1" t="s">
        <v>169</v>
      </c>
      <c r="D340">
        <v>19</v>
      </c>
      <c r="E340">
        <v>25.8</v>
      </c>
      <c r="F340">
        <v>0.3</v>
      </c>
      <c r="G340">
        <v>0.3</v>
      </c>
      <c r="H340">
        <v>7</v>
      </c>
      <c r="I340">
        <v>7.3</v>
      </c>
      <c r="J340">
        <v>480</v>
      </c>
      <c r="K340">
        <v>670</v>
      </c>
      <c r="L340">
        <v>32</v>
      </c>
      <c r="M340">
        <v>40</v>
      </c>
      <c r="N340">
        <v>0</v>
      </c>
      <c r="O340">
        <v>0</v>
      </c>
      <c r="V340">
        <f>River_data[[#This Row],[Dissolved Oxygen Min]]*River_data[[#This Row],[Dissolved Oxygen Max]]/2</f>
        <v>4.4999999999999998E-2</v>
      </c>
      <c r="W340">
        <f>River_data[[#This Row],[BOD Min]]*River_data[[#This Row],[BOD Max]]/2</f>
        <v>640</v>
      </c>
      <c r="X340">
        <f>AVERAGE(River_data[[#This Row],[pH Max]]-River_data[[#This Row],[pH Min]])</f>
        <v>0.29999999999999982</v>
      </c>
    </row>
    <row r="341" spans="1:24" x14ac:dyDescent="0.3">
      <c r="A341">
        <v>4606</v>
      </c>
      <c r="B341" s="1" t="s">
        <v>351</v>
      </c>
      <c r="C341" s="1" t="s">
        <v>352</v>
      </c>
      <c r="D341">
        <v>21</v>
      </c>
      <c r="E341">
        <v>31</v>
      </c>
      <c r="F341">
        <v>6.4</v>
      </c>
      <c r="G341">
        <v>9.1999999999999993</v>
      </c>
      <c r="H341">
        <v>7.2</v>
      </c>
      <c r="I341">
        <v>8</v>
      </c>
      <c r="J341">
        <v>229</v>
      </c>
      <c r="K341">
        <v>354</v>
      </c>
      <c r="L341">
        <v>1</v>
      </c>
      <c r="M341">
        <v>2.2000000000000002</v>
      </c>
      <c r="N341">
        <v>0.33</v>
      </c>
      <c r="O341">
        <v>1.62</v>
      </c>
      <c r="P341">
        <v>2</v>
      </c>
      <c r="Q341">
        <v>2</v>
      </c>
      <c r="R341">
        <v>31</v>
      </c>
      <c r="S341">
        <v>41</v>
      </c>
      <c r="T341">
        <v>2</v>
      </c>
      <c r="U341">
        <v>2</v>
      </c>
      <c r="V341">
        <f>River_data[[#This Row],[Dissolved Oxygen Min]]*River_data[[#This Row],[Dissolved Oxygen Max]]/2</f>
        <v>29.439999999999998</v>
      </c>
      <c r="W341">
        <f>River_data[[#This Row],[BOD Min]]*River_data[[#This Row],[BOD Max]]/2</f>
        <v>1.1000000000000001</v>
      </c>
      <c r="X341">
        <f>AVERAGE(River_data[[#This Row],[pH Max]]-River_data[[#This Row],[pH Min]])</f>
        <v>0.79999999999999982</v>
      </c>
    </row>
    <row r="342" spans="1:24" x14ac:dyDescent="0.3">
      <c r="A342">
        <v>1356</v>
      </c>
      <c r="B342" s="1" t="s">
        <v>353</v>
      </c>
      <c r="C342" s="1" t="s">
        <v>169</v>
      </c>
      <c r="D342">
        <v>17</v>
      </c>
      <c r="E342">
        <v>24</v>
      </c>
      <c r="F342">
        <v>5.4</v>
      </c>
      <c r="G342">
        <v>7.6</v>
      </c>
      <c r="H342">
        <v>7.2</v>
      </c>
      <c r="I342">
        <v>7.9</v>
      </c>
      <c r="J342">
        <v>344</v>
      </c>
      <c r="K342">
        <v>3400</v>
      </c>
      <c r="L342">
        <v>2.2000000000000002</v>
      </c>
      <c r="M342">
        <v>3.1</v>
      </c>
      <c r="N342">
        <v>0</v>
      </c>
      <c r="O342">
        <v>0</v>
      </c>
      <c r="P342">
        <v>7800</v>
      </c>
      <c r="Q342">
        <v>9300</v>
      </c>
      <c r="R342">
        <v>13000</v>
      </c>
      <c r="S342">
        <v>17000</v>
      </c>
      <c r="V342">
        <f>River_data[[#This Row],[Dissolved Oxygen Min]]*River_data[[#This Row],[Dissolved Oxygen Max]]/2</f>
        <v>20.52</v>
      </c>
      <c r="W342">
        <f>River_data[[#This Row],[BOD Min]]*River_data[[#This Row],[BOD Max]]/2</f>
        <v>3.4100000000000006</v>
      </c>
      <c r="X342">
        <f>AVERAGE(River_data[[#This Row],[pH Max]]-River_data[[#This Row],[pH Min]])</f>
        <v>0.70000000000000018</v>
      </c>
    </row>
    <row r="343" spans="1:24" x14ac:dyDescent="0.3">
      <c r="A343">
        <v>5538</v>
      </c>
      <c r="B343" s="1" t="s">
        <v>354</v>
      </c>
      <c r="C343" s="1" t="s">
        <v>352</v>
      </c>
      <c r="D343">
        <v>19</v>
      </c>
      <c r="E343">
        <v>27</v>
      </c>
      <c r="F343">
        <v>5.8</v>
      </c>
      <c r="G343">
        <v>8.5</v>
      </c>
      <c r="H343">
        <v>7.4</v>
      </c>
      <c r="I343">
        <v>8.6999999999999993</v>
      </c>
      <c r="J343">
        <v>186</v>
      </c>
      <c r="K343">
        <v>300</v>
      </c>
      <c r="L343">
        <v>1</v>
      </c>
      <c r="M343">
        <v>2.2000000000000002</v>
      </c>
      <c r="N343">
        <v>1.49</v>
      </c>
      <c r="O343">
        <v>3.5</v>
      </c>
      <c r="P343">
        <v>2</v>
      </c>
      <c r="Q343">
        <v>22</v>
      </c>
      <c r="R343">
        <v>2</v>
      </c>
      <c r="S343">
        <v>540</v>
      </c>
      <c r="T343">
        <v>2</v>
      </c>
      <c r="U343">
        <v>2</v>
      </c>
      <c r="V343">
        <f>River_data[[#This Row],[Dissolved Oxygen Min]]*River_data[[#This Row],[Dissolved Oxygen Max]]/2</f>
        <v>24.65</v>
      </c>
      <c r="W343">
        <f>River_data[[#This Row],[BOD Min]]*River_data[[#This Row],[BOD Max]]/2</f>
        <v>1.1000000000000001</v>
      </c>
      <c r="X343">
        <f>AVERAGE(River_data[[#This Row],[pH Max]]-River_data[[#This Row],[pH Min]])</f>
        <v>1.2999999999999989</v>
      </c>
    </row>
    <row r="344" spans="1:24" x14ac:dyDescent="0.3">
      <c r="A344">
        <v>5539</v>
      </c>
      <c r="B344" s="1" t="s">
        <v>355</v>
      </c>
      <c r="C344" s="1" t="s">
        <v>352</v>
      </c>
      <c r="D344">
        <v>23</v>
      </c>
      <c r="E344">
        <v>28</v>
      </c>
      <c r="F344">
        <v>5.7</v>
      </c>
      <c r="G344">
        <v>7.2</v>
      </c>
      <c r="H344">
        <v>7.2</v>
      </c>
      <c r="I344">
        <v>8.1999999999999993</v>
      </c>
      <c r="J344">
        <v>512</v>
      </c>
      <c r="K344">
        <v>1696</v>
      </c>
      <c r="L344">
        <v>4.5</v>
      </c>
      <c r="M344">
        <v>12</v>
      </c>
      <c r="N344">
        <v>1.22</v>
      </c>
      <c r="O344">
        <v>2.4900000000000002</v>
      </c>
      <c r="P344">
        <v>14</v>
      </c>
      <c r="Q344">
        <v>1600</v>
      </c>
      <c r="R344">
        <v>920</v>
      </c>
      <c r="S344">
        <v>1600</v>
      </c>
      <c r="T344">
        <v>11</v>
      </c>
      <c r="U344">
        <v>11</v>
      </c>
      <c r="V344">
        <f>River_data[[#This Row],[Dissolved Oxygen Min]]*River_data[[#This Row],[Dissolved Oxygen Max]]/2</f>
        <v>20.52</v>
      </c>
      <c r="W344">
        <f>River_data[[#This Row],[BOD Min]]*River_data[[#This Row],[BOD Max]]/2</f>
        <v>27</v>
      </c>
      <c r="X344">
        <f>AVERAGE(River_data[[#This Row],[pH Max]]-River_data[[#This Row],[pH Min]])</f>
        <v>0.99999999999999911</v>
      </c>
    </row>
    <row r="345" spans="1:24" x14ac:dyDescent="0.3">
      <c r="A345">
        <v>5540</v>
      </c>
      <c r="B345" s="1" t="s">
        <v>356</v>
      </c>
      <c r="C345" s="1" t="s">
        <v>352</v>
      </c>
      <c r="D345">
        <v>27.4</v>
      </c>
      <c r="E345">
        <v>32.5</v>
      </c>
      <c r="F345">
        <v>3.4</v>
      </c>
      <c r="G345">
        <v>7.4</v>
      </c>
      <c r="H345">
        <v>7.1</v>
      </c>
      <c r="I345">
        <v>8</v>
      </c>
      <c r="J345">
        <v>354</v>
      </c>
      <c r="K345">
        <v>6783</v>
      </c>
      <c r="L345">
        <v>1</v>
      </c>
      <c r="M345">
        <v>2.1</v>
      </c>
      <c r="N345">
        <v>0</v>
      </c>
      <c r="O345">
        <v>0</v>
      </c>
      <c r="P345">
        <v>2</v>
      </c>
      <c r="Q345">
        <v>2</v>
      </c>
      <c r="R345">
        <v>4</v>
      </c>
      <c r="S345">
        <v>72</v>
      </c>
      <c r="T345">
        <v>2</v>
      </c>
      <c r="U345">
        <v>2</v>
      </c>
      <c r="V345">
        <f>River_data[[#This Row],[Dissolved Oxygen Min]]*River_data[[#This Row],[Dissolved Oxygen Max]]/2</f>
        <v>12.58</v>
      </c>
      <c r="W345">
        <f>River_data[[#This Row],[BOD Min]]*River_data[[#This Row],[BOD Max]]/2</f>
        <v>1.05</v>
      </c>
      <c r="X345">
        <f>AVERAGE(River_data[[#This Row],[pH Max]]-River_data[[#This Row],[pH Min]])</f>
        <v>0.90000000000000036</v>
      </c>
    </row>
    <row r="346" spans="1:24" x14ac:dyDescent="0.3">
      <c r="A346">
        <v>5544</v>
      </c>
      <c r="B346" s="1" t="s">
        <v>357</v>
      </c>
      <c r="C346" s="1" t="s">
        <v>352</v>
      </c>
      <c r="D346">
        <v>18</v>
      </c>
      <c r="E346">
        <v>29</v>
      </c>
      <c r="F346">
        <v>7</v>
      </c>
      <c r="G346">
        <v>7.9</v>
      </c>
      <c r="H346">
        <v>7.1</v>
      </c>
      <c r="I346">
        <v>7.7</v>
      </c>
      <c r="J346">
        <v>220</v>
      </c>
      <c r="K346">
        <v>690</v>
      </c>
      <c r="L346">
        <v>1.2</v>
      </c>
      <c r="M346">
        <v>1.8</v>
      </c>
      <c r="N346">
        <v>0.52</v>
      </c>
      <c r="O346">
        <v>2.42</v>
      </c>
      <c r="P346">
        <v>2</v>
      </c>
      <c r="Q346">
        <v>3</v>
      </c>
      <c r="R346">
        <v>26</v>
      </c>
      <c r="S346">
        <v>42</v>
      </c>
      <c r="V346">
        <f>River_data[[#This Row],[Dissolved Oxygen Min]]*River_data[[#This Row],[Dissolved Oxygen Max]]/2</f>
        <v>27.650000000000002</v>
      </c>
      <c r="W346">
        <f>River_data[[#This Row],[BOD Min]]*River_data[[#This Row],[BOD Max]]/2</f>
        <v>1.08</v>
      </c>
      <c r="X346">
        <f>AVERAGE(River_data[[#This Row],[pH Max]]-River_data[[#This Row],[pH Min]])</f>
        <v>0.60000000000000053</v>
      </c>
    </row>
    <row r="347" spans="1:24" x14ac:dyDescent="0.3">
      <c r="A347">
        <v>2955</v>
      </c>
      <c r="B347" s="1" t="s">
        <v>358</v>
      </c>
      <c r="C347" s="1" t="s">
        <v>359</v>
      </c>
      <c r="D347">
        <v>16</v>
      </c>
      <c r="E347">
        <v>30</v>
      </c>
      <c r="F347">
        <v>4</v>
      </c>
      <c r="G347">
        <v>6.3</v>
      </c>
      <c r="H347">
        <v>6.9</v>
      </c>
      <c r="I347">
        <v>7.8</v>
      </c>
      <c r="J347">
        <v>443</v>
      </c>
      <c r="K347">
        <v>627</v>
      </c>
      <c r="L347">
        <v>2.2000000000000002</v>
      </c>
      <c r="M347">
        <v>3</v>
      </c>
      <c r="N347">
        <v>1.22</v>
      </c>
      <c r="O347">
        <v>3.19</v>
      </c>
      <c r="P347">
        <v>84</v>
      </c>
      <c r="Q347">
        <v>170</v>
      </c>
      <c r="R347">
        <v>150</v>
      </c>
      <c r="S347">
        <v>300</v>
      </c>
      <c r="T347">
        <v>14</v>
      </c>
      <c r="U347">
        <v>21</v>
      </c>
      <c r="V347">
        <f>River_data[[#This Row],[Dissolved Oxygen Min]]*River_data[[#This Row],[Dissolved Oxygen Max]]/2</f>
        <v>12.6</v>
      </c>
      <c r="W347">
        <f>River_data[[#This Row],[BOD Min]]*River_data[[#This Row],[BOD Max]]/2</f>
        <v>3.3000000000000003</v>
      </c>
      <c r="X347">
        <f>AVERAGE(River_data[[#This Row],[pH Max]]-River_data[[#This Row],[pH Min]])</f>
        <v>0.89999999999999947</v>
      </c>
    </row>
    <row r="348" spans="1:24" x14ac:dyDescent="0.3">
      <c r="A348">
        <v>1288</v>
      </c>
      <c r="B348" s="1" t="s">
        <v>360</v>
      </c>
      <c r="C348" s="1" t="s">
        <v>359</v>
      </c>
      <c r="D348">
        <v>18</v>
      </c>
      <c r="E348">
        <v>33</v>
      </c>
      <c r="F348">
        <v>5.3</v>
      </c>
      <c r="G348">
        <v>6.8</v>
      </c>
      <c r="H348">
        <v>7.9</v>
      </c>
      <c r="I348">
        <v>8.5</v>
      </c>
      <c r="J348">
        <v>339</v>
      </c>
      <c r="K348">
        <v>481</v>
      </c>
      <c r="L348">
        <v>1</v>
      </c>
      <c r="M348">
        <v>1.3</v>
      </c>
      <c r="N348">
        <v>0.62</v>
      </c>
      <c r="O348">
        <v>1.22</v>
      </c>
      <c r="P348">
        <v>26</v>
      </c>
      <c r="Q348">
        <v>49</v>
      </c>
      <c r="R348">
        <v>46</v>
      </c>
      <c r="S348">
        <v>120</v>
      </c>
      <c r="T348">
        <v>14</v>
      </c>
      <c r="U348">
        <v>26</v>
      </c>
      <c r="V348">
        <f>River_data[[#This Row],[Dissolved Oxygen Min]]*River_data[[#This Row],[Dissolved Oxygen Max]]/2</f>
        <v>18.02</v>
      </c>
      <c r="W348">
        <f>River_data[[#This Row],[BOD Min]]*River_data[[#This Row],[BOD Max]]/2</f>
        <v>0.65</v>
      </c>
      <c r="X348">
        <f>AVERAGE(River_data[[#This Row],[pH Max]]-River_data[[#This Row],[pH Min]])</f>
        <v>0.59999999999999964</v>
      </c>
    </row>
    <row r="349" spans="1:24" x14ac:dyDescent="0.3">
      <c r="A349">
        <v>1289</v>
      </c>
      <c r="B349" s="1" t="s">
        <v>361</v>
      </c>
      <c r="C349" s="1" t="s">
        <v>359</v>
      </c>
      <c r="D349">
        <v>19</v>
      </c>
      <c r="E349">
        <v>34</v>
      </c>
      <c r="F349">
        <v>4.0999999999999996</v>
      </c>
      <c r="G349">
        <v>5.9</v>
      </c>
      <c r="H349">
        <v>7.9</v>
      </c>
      <c r="I349">
        <v>8.9</v>
      </c>
      <c r="J349">
        <v>382</v>
      </c>
      <c r="K349">
        <v>900</v>
      </c>
      <c r="L349">
        <v>1.3</v>
      </c>
      <c r="M349">
        <v>2.8</v>
      </c>
      <c r="N349">
        <v>0.82</v>
      </c>
      <c r="O349">
        <v>2.72</v>
      </c>
      <c r="P349">
        <v>220</v>
      </c>
      <c r="Q349">
        <v>350</v>
      </c>
      <c r="R349">
        <v>350</v>
      </c>
      <c r="S349">
        <v>540</v>
      </c>
      <c r="T349">
        <v>47</v>
      </c>
      <c r="U349">
        <v>130</v>
      </c>
      <c r="V349">
        <f>River_data[[#This Row],[Dissolved Oxygen Min]]*River_data[[#This Row],[Dissolved Oxygen Max]]/2</f>
        <v>12.094999999999999</v>
      </c>
      <c r="W349">
        <f>River_data[[#This Row],[BOD Min]]*River_data[[#This Row],[BOD Max]]/2</f>
        <v>1.8199999999999998</v>
      </c>
      <c r="X349">
        <f>AVERAGE(River_data[[#This Row],[pH Max]]-River_data[[#This Row],[pH Min]])</f>
        <v>1</v>
      </c>
    </row>
    <row r="350" spans="1:24" x14ac:dyDescent="0.3">
      <c r="A350">
        <v>10029</v>
      </c>
      <c r="B350" s="1" t="s">
        <v>362</v>
      </c>
      <c r="C350" s="1" t="s">
        <v>359</v>
      </c>
      <c r="D350">
        <v>15</v>
      </c>
      <c r="E350">
        <v>33</v>
      </c>
      <c r="F350">
        <v>4.0999999999999996</v>
      </c>
      <c r="G350">
        <v>6.3</v>
      </c>
      <c r="H350">
        <v>8.1999999999999993</v>
      </c>
      <c r="I350">
        <v>8.6999999999999993</v>
      </c>
      <c r="J350">
        <v>382</v>
      </c>
      <c r="K350">
        <v>945</v>
      </c>
      <c r="L350">
        <v>1.2</v>
      </c>
      <c r="M350">
        <v>2.8</v>
      </c>
      <c r="N350">
        <v>1.07</v>
      </c>
      <c r="O350">
        <v>3.63</v>
      </c>
      <c r="P350">
        <v>170</v>
      </c>
      <c r="Q350">
        <v>350</v>
      </c>
      <c r="R350">
        <v>350</v>
      </c>
      <c r="S350">
        <v>540</v>
      </c>
      <c r="T350">
        <v>31</v>
      </c>
      <c r="U350">
        <v>79</v>
      </c>
      <c r="V350">
        <f>River_data[[#This Row],[Dissolved Oxygen Min]]*River_data[[#This Row],[Dissolved Oxygen Max]]/2</f>
        <v>12.914999999999999</v>
      </c>
      <c r="W350">
        <f>River_data[[#This Row],[BOD Min]]*River_data[[#This Row],[BOD Max]]/2</f>
        <v>1.68</v>
      </c>
      <c r="X350">
        <f>AVERAGE(River_data[[#This Row],[pH Max]]-River_data[[#This Row],[pH Min]])</f>
        <v>0.5</v>
      </c>
    </row>
    <row r="351" spans="1:24" x14ac:dyDescent="0.3">
      <c r="A351">
        <v>10030</v>
      </c>
      <c r="B351" s="1" t="s">
        <v>363</v>
      </c>
      <c r="C351" s="1" t="s">
        <v>359</v>
      </c>
      <c r="D351">
        <v>15</v>
      </c>
      <c r="E351">
        <v>34</v>
      </c>
      <c r="F351">
        <v>3.3</v>
      </c>
      <c r="G351">
        <v>6.1</v>
      </c>
      <c r="H351">
        <v>8.1</v>
      </c>
      <c r="I351">
        <v>8.9</v>
      </c>
      <c r="J351">
        <v>388</v>
      </c>
      <c r="K351">
        <v>1362</v>
      </c>
      <c r="L351">
        <v>1.9</v>
      </c>
      <c r="M351">
        <v>3.8</v>
      </c>
      <c r="N351">
        <v>1.1399999999999999</v>
      </c>
      <c r="O351">
        <v>4.9400000000000004</v>
      </c>
      <c r="P351">
        <v>240</v>
      </c>
      <c r="Q351">
        <v>350</v>
      </c>
      <c r="R351">
        <v>350</v>
      </c>
      <c r="S351">
        <v>920</v>
      </c>
      <c r="T351">
        <v>49</v>
      </c>
      <c r="U351">
        <v>79</v>
      </c>
      <c r="V351">
        <f>River_data[[#This Row],[Dissolved Oxygen Min]]*River_data[[#This Row],[Dissolved Oxygen Max]]/2</f>
        <v>10.065</v>
      </c>
      <c r="W351">
        <f>River_data[[#This Row],[BOD Min]]*River_data[[#This Row],[BOD Max]]/2</f>
        <v>3.61</v>
      </c>
      <c r="X351">
        <f>AVERAGE(River_data[[#This Row],[pH Max]]-River_data[[#This Row],[pH Min]])</f>
        <v>0.80000000000000071</v>
      </c>
    </row>
    <row r="352" spans="1:24" x14ac:dyDescent="0.3">
      <c r="A352">
        <v>4769</v>
      </c>
      <c r="B352" s="1" t="s">
        <v>364</v>
      </c>
      <c r="C352" s="1" t="s">
        <v>359</v>
      </c>
      <c r="D352">
        <v>12</v>
      </c>
      <c r="E352">
        <v>31</v>
      </c>
      <c r="F352">
        <v>4.7</v>
      </c>
      <c r="G352">
        <v>6.3</v>
      </c>
      <c r="H352">
        <v>7</v>
      </c>
      <c r="I352">
        <v>8.5</v>
      </c>
      <c r="J352">
        <v>370</v>
      </c>
      <c r="K352">
        <v>775</v>
      </c>
      <c r="L352">
        <v>1</v>
      </c>
      <c r="M352">
        <v>3.1</v>
      </c>
      <c r="N352">
        <v>0.64</v>
      </c>
      <c r="O352">
        <v>5.63</v>
      </c>
      <c r="P352">
        <v>22</v>
      </c>
      <c r="Q352">
        <v>140</v>
      </c>
      <c r="R352">
        <v>40</v>
      </c>
      <c r="S352">
        <v>280</v>
      </c>
      <c r="T352">
        <v>6</v>
      </c>
      <c r="U352">
        <v>28</v>
      </c>
      <c r="V352">
        <f>River_data[[#This Row],[Dissolved Oxygen Min]]*River_data[[#This Row],[Dissolved Oxygen Max]]/2</f>
        <v>14.805</v>
      </c>
      <c r="W352">
        <f>River_data[[#This Row],[BOD Min]]*River_data[[#This Row],[BOD Max]]/2</f>
        <v>1.55</v>
      </c>
      <c r="X352">
        <f>AVERAGE(River_data[[#This Row],[pH Max]]-River_data[[#This Row],[pH Min]])</f>
        <v>1.5</v>
      </c>
    </row>
    <row r="353" spans="1:24" x14ac:dyDescent="0.3">
      <c r="A353">
        <v>30086</v>
      </c>
      <c r="B353" s="1" t="s">
        <v>365</v>
      </c>
      <c r="C353" s="1" t="s">
        <v>169</v>
      </c>
      <c r="D353">
        <v>18</v>
      </c>
      <c r="E353">
        <v>31</v>
      </c>
      <c r="F353">
        <v>7.4</v>
      </c>
      <c r="G353">
        <v>9.3000000000000007</v>
      </c>
      <c r="H353">
        <v>7.1</v>
      </c>
      <c r="I353">
        <v>8</v>
      </c>
      <c r="J353">
        <v>343</v>
      </c>
      <c r="K353">
        <v>663</v>
      </c>
      <c r="L353">
        <v>1.7</v>
      </c>
      <c r="M353">
        <v>6.5</v>
      </c>
      <c r="N353">
        <v>0.32</v>
      </c>
      <c r="O353">
        <v>0.7</v>
      </c>
      <c r="P353">
        <v>2</v>
      </c>
      <c r="Q353">
        <v>33000</v>
      </c>
      <c r="R353">
        <v>2</v>
      </c>
      <c r="S353">
        <v>49000</v>
      </c>
      <c r="T353">
        <v>2</v>
      </c>
      <c r="U353">
        <v>2</v>
      </c>
      <c r="V353">
        <f>River_data[[#This Row],[Dissolved Oxygen Min]]*River_data[[#This Row],[Dissolved Oxygen Max]]/2</f>
        <v>34.410000000000004</v>
      </c>
      <c r="W353">
        <f>River_data[[#This Row],[BOD Min]]*River_data[[#This Row],[BOD Max]]/2</f>
        <v>5.5249999999999995</v>
      </c>
      <c r="X353">
        <f>AVERAGE(River_data[[#This Row],[pH Max]]-River_data[[#This Row],[pH Min]])</f>
        <v>0.90000000000000036</v>
      </c>
    </row>
    <row r="354" spans="1:24" x14ac:dyDescent="0.3">
      <c r="A354">
        <v>30060</v>
      </c>
      <c r="B354" s="1" t="s">
        <v>366</v>
      </c>
      <c r="C354" s="1" t="s">
        <v>352</v>
      </c>
      <c r="D354">
        <v>20</v>
      </c>
      <c r="E354">
        <v>33</v>
      </c>
      <c r="F354">
        <v>7.4</v>
      </c>
      <c r="G354">
        <v>10.7</v>
      </c>
      <c r="H354">
        <v>7.7</v>
      </c>
      <c r="I354">
        <v>8.1999999999999993</v>
      </c>
      <c r="J354">
        <v>174</v>
      </c>
      <c r="K354">
        <v>445</v>
      </c>
      <c r="L354">
        <v>1.2</v>
      </c>
      <c r="M354">
        <v>2.6</v>
      </c>
      <c r="N354">
        <v>0.32</v>
      </c>
      <c r="O354">
        <v>0.51</v>
      </c>
      <c r="P354">
        <v>2</v>
      </c>
      <c r="Q354">
        <v>15</v>
      </c>
      <c r="R354">
        <v>68</v>
      </c>
      <c r="S354">
        <v>120</v>
      </c>
      <c r="T354">
        <v>2</v>
      </c>
      <c r="U354">
        <v>2</v>
      </c>
      <c r="V354">
        <f>River_data[[#This Row],[Dissolved Oxygen Min]]*River_data[[#This Row],[Dissolved Oxygen Max]]/2</f>
        <v>39.589999999999996</v>
      </c>
      <c r="W354">
        <f>River_data[[#This Row],[BOD Min]]*River_data[[#This Row],[BOD Max]]/2</f>
        <v>1.56</v>
      </c>
      <c r="X354">
        <f>AVERAGE(River_data[[#This Row],[pH Max]]-River_data[[#This Row],[pH Min]])</f>
        <v>0.49999999999999911</v>
      </c>
    </row>
    <row r="355" spans="1:24" x14ac:dyDescent="0.3">
      <c r="A355">
        <v>1418</v>
      </c>
      <c r="B355" s="1" t="s">
        <v>367</v>
      </c>
      <c r="C355" s="1" t="s">
        <v>352</v>
      </c>
      <c r="D355">
        <v>22</v>
      </c>
      <c r="E355">
        <v>28</v>
      </c>
      <c r="F355">
        <v>7.4</v>
      </c>
      <c r="G355">
        <v>7.5</v>
      </c>
      <c r="H355">
        <v>7.6</v>
      </c>
      <c r="I355">
        <v>7.9</v>
      </c>
      <c r="J355">
        <v>304</v>
      </c>
      <c r="K355">
        <v>324</v>
      </c>
      <c r="L355">
        <v>1.8</v>
      </c>
      <c r="M355">
        <v>2</v>
      </c>
      <c r="N355">
        <v>0.51</v>
      </c>
      <c r="O355">
        <v>0.93</v>
      </c>
      <c r="P355">
        <v>2</v>
      </c>
      <c r="Q355">
        <v>2</v>
      </c>
      <c r="R355">
        <v>47</v>
      </c>
      <c r="S355">
        <v>49</v>
      </c>
      <c r="T355">
        <v>2</v>
      </c>
      <c r="U355">
        <v>2</v>
      </c>
      <c r="V355">
        <f>River_data[[#This Row],[Dissolved Oxygen Min]]*River_data[[#This Row],[Dissolved Oxygen Max]]/2</f>
        <v>27.75</v>
      </c>
      <c r="W355">
        <f>River_data[[#This Row],[BOD Min]]*River_data[[#This Row],[BOD Max]]/2</f>
        <v>1.8</v>
      </c>
      <c r="X355">
        <f>AVERAGE(River_data[[#This Row],[pH Max]]-River_data[[#This Row],[pH Min]])</f>
        <v>0.30000000000000071</v>
      </c>
    </row>
    <row r="356" spans="1:24" x14ac:dyDescent="0.3">
      <c r="A356">
        <v>3309</v>
      </c>
      <c r="B356" s="1" t="s">
        <v>368</v>
      </c>
      <c r="C356" s="1" t="s">
        <v>352</v>
      </c>
      <c r="D356">
        <v>22</v>
      </c>
      <c r="E356">
        <v>28</v>
      </c>
      <c r="F356">
        <v>7</v>
      </c>
      <c r="G356">
        <v>7.8</v>
      </c>
      <c r="H356">
        <v>7.3</v>
      </c>
      <c r="I356">
        <v>8.5</v>
      </c>
      <c r="J356">
        <v>277</v>
      </c>
      <c r="K356">
        <v>2449</v>
      </c>
      <c r="L356">
        <v>1.6</v>
      </c>
      <c r="M356">
        <v>3.4</v>
      </c>
      <c r="N356">
        <v>0.32</v>
      </c>
      <c r="O356">
        <v>4.9800000000000004</v>
      </c>
      <c r="P356">
        <v>2</v>
      </c>
      <c r="Q356">
        <v>25</v>
      </c>
      <c r="R356">
        <v>43</v>
      </c>
      <c r="S356">
        <v>1600</v>
      </c>
      <c r="T356">
        <v>2</v>
      </c>
      <c r="U356">
        <v>2</v>
      </c>
      <c r="V356">
        <f>River_data[[#This Row],[Dissolved Oxygen Min]]*River_data[[#This Row],[Dissolved Oxygen Max]]/2</f>
        <v>27.3</v>
      </c>
      <c r="W356">
        <f>River_data[[#This Row],[BOD Min]]*River_data[[#This Row],[BOD Max]]/2</f>
        <v>2.72</v>
      </c>
      <c r="X356">
        <f>AVERAGE(River_data[[#This Row],[pH Max]]-River_data[[#This Row],[pH Min]])</f>
        <v>1.2000000000000002</v>
      </c>
    </row>
    <row r="357" spans="1:24" x14ac:dyDescent="0.3">
      <c r="A357">
        <v>1365</v>
      </c>
      <c r="B357" s="1" t="s">
        <v>369</v>
      </c>
      <c r="C357" s="1" t="s">
        <v>352</v>
      </c>
      <c r="D357">
        <v>22</v>
      </c>
      <c r="E357">
        <v>27</v>
      </c>
      <c r="F357">
        <v>6.9</v>
      </c>
      <c r="G357">
        <v>7.9</v>
      </c>
      <c r="H357">
        <v>7.3</v>
      </c>
      <c r="I357">
        <v>8.1</v>
      </c>
      <c r="J357">
        <v>405</v>
      </c>
      <c r="K357">
        <v>907</v>
      </c>
      <c r="L357">
        <v>1.8</v>
      </c>
      <c r="M357">
        <v>2</v>
      </c>
      <c r="N357">
        <v>0.64</v>
      </c>
      <c r="O357">
        <v>1.07</v>
      </c>
      <c r="P357">
        <v>2</v>
      </c>
      <c r="Q357">
        <v>4</v>
      </c>
      <c r="R357">
        <v>43</v>
      </c>
      <c r="S357">
        <v>49</v>
      </c>
      <c r="T357">
        <v>2</v>
      </c>
      <c r="U357">
        <v>2</v>
      </c>
      <c r="V357">
        <f>River_data[[#This Row],[Dissolved Oxygen Min]]*River_data[[#This Row],[Dissolved Oxygen Max]]/2</f>
        <v>27.255000000000003</v>
      </c>
      <c r="W357">
        <f>River_data[[#This Row],[BOD Min]]*River_data[[#This Row],[BOD Max]]/2</f>
        <v>1.8</v>
      </c>
      <c r="X357">
        <f>AVERAGE(River_data[[#This Row],[pH Max]]-River_data[[#This Row],[pH Min]])</f>
        <v>0.79999999999999982</v>
      </c>
    </row>
    <row r="358" spans="1:24" x14ac:dyDescent="0.3">
      <c r="A358">
        <v>1366</v>
      </c>
      <c r="B358" s="1" t="s">
        <v>370</v>
      </c>
      <c r="C358" s="1" t="s">
        <v>352</v>
      </c>
      <c r="D358">
        <v>22</v>
      </c>
      <c r="E358">
        <v>27</v>
      </c>
      <c r="F358">
        <v>0.3</v>
      </c>
      <c r="G358">
        <v>7.6</v>
      </c>
      <c r="H358">
        <v>3.4</v>
      </c>
      <c r="I358">
        <v>8.1</v>
      </c>
      <c r="J358">
        <v>653</v>
      </c>
      <c r="K358">
        <v>8763</v>
      </c>
      <c r="L358">
        <v>6</v>
      </c>
      <c r="M358">
        <v>28</v>
      </c>
      <c r="N358">
        <v>0.94</v>
      </c>
      <c r="O358">
        <v>11.29</v>
      </c>
      <c r="P358">
        <v>40</v>
      </c>
      <c r="Q358">
        <v>1600</v>
      </c>
      <c r="R358">
        <v>1600</v>
      </c>
      <c r="S358">
        <v>1600</v>
      </c>
      <c r="T358">
        <v>14</v>
      </c>
      <c r="U358">
        <v>540</v>
      </c>
      <c r="V358">
        <f>River_data[[#This Row],[Dissolved Oxygen Min]]*River_data[[#This Row],[Dissolved Oxygen Max]]/2</f>
        <v>1.1399999999999999</v>
      </c>
      <c r="W358">
        <f>River_data[[#This Row],[BOD Min]]*River_data[[#This Row],[BOD Max]]/2</f>
        <v>84</v>
      </c>
      <c r="X358">
        <f>AVERAGE(River_data[[#This Row],[pH Max]]-River_data[[#This Row],[pH Min]])</f>
        <v>4.6999999999999993</v>
      </c>
    </row>
    <row r="359" spans="1:24" x14ac:dyDescent="0.3">
      <c r="A359">
        <v>1609</v>
      </c>
      <c r="B359" s="1" t="s">
        <v>371</v>
      </c>
      <c r="C359" s="1" t="s">
        <v>352</v>
      </c>
      <c r="D359">
        <v>15</v>
      </c>
      <c r="E359">
        <v>25</v>
      </c>
      <c r="F359">
        <v>7</v>
      </c>
      <c r="G359">
        <v>8.1</v>
      </c>
      <c r="H359">
        <v>7.1</v>
      </c>
      <c r="I359">
        <v>7.8</v>
      </c>
      <c r="J359">
        <v>315</v>
      </c>
      <c r="K359">
        <v>718</v>
      </c>
      <c r="L359">
        <v>1</v>
      </c>
      <c r="M359">
        <v>2.2999999999999998</v>
      </c>
      <c r="N359">
        <v>0.3</v>
      </c>
      <c r="O359">
        <v>1.85</v>
      </c>
      <c r="P359">
        <v>2</v>
      </c>
      <c r="Q359">
        <v>6</v>
      </c>
      <c r="R359">
        <v>12</v>
      </c>
      <c r="S359">
        <v>28</v>
      </c>
      <c r="V359">
        <f>River_data[[#This Row],[Dissolved Oxygen Min]]*River_data[[#This Row],[Dissolved Oxygen Max]]/2</f>
        <v>28.349999999999998</v>
      </c>
      <c r="W359">
        <f>River_data[[#This Row],[BOD Min]]*River_data[[#This Row],[BOD Max]]/2</f>
        <v>1.1499999999999999</v>
      </c>
      <c r="X359">
        <f>AVERAGE(River_data[[#This Row],[pH Max]]-River_data[[#This Row],[pH Min]])</f>
        <v>0.70000000000000018</v>
      </c>
    </row>
    <row r="360" spans="1:24" x14ac:dyDescent="0.3">
      <c r="A360">
        <v>3308</v>
      </c>
      <c r="B360" s="1" t="s">
        <v>372</v>
      </c>
      <c r="C360" s="1" t="s">
        <v>352</v>
      </c>
      <c r="D360">
        <v>20.5</v>
      </c>
      <c r="E360">
        <v>21</v>
      </c>
      <c r="F360">
        <v>6.9</v>
      </c>
      <c r="G360">
        <v>7.2</v>
      </c>
      <c r="H360">
        <v>7.5</v>
      </c>
      <c r="I360">
        <v>7.9</v>
      </c>
      <c r="J360">
        <v>360</v>
      </c>
      <c r="K360">
        <v>439</v>
      </c>
      <c r="L360">
        <v>1</v>
      </c>
      <c r="M360">
        <v>1.1000000000000001</v>
      </c>
      <c r="N360">
        <v>1.54</v>
      </c>
      <c r="O360">
        <v>2.0099999999999998</v>
      </c>
      <c r="P360">
        <v>2</v>
      </c>
      <c r="Q360">
        <v>2</v>
      </c>
      <c r="R360">
        <v>24</v>
      </c>
      <c r="S360">
        <v>34</v>
      </c>
      <c r="V360">
        <f>River_data[[#This Row],[Dissolved Oxygen Min]]*River_data[[#This Row],[Dissolved Oxygen Max]]/2</f>
        <v>24.840000000000003</v>
      </c>
      <c r="W360">
        <f>River_data[[#This Row],[BOD Min]]*River_data[[#This Row],[BOD Max]]/2</f>
        <v>0.55000000000000004</v>
      </c>
      <c r="X360">
        <f>AVERAGE(River_data[[#This Row],[pH Max]]-River_data[[#This Row],[pH Min]])</f>
        <v>0.40000000000000036</v>
      </c>
    </row>
    <row r="361" spans="1:24" x14ac:dyDescent="0.3">
      <c r="A361">
        <v>4607</v>
      </c>
      <c r="B361" s="1" t="s">
        <v>373</v>
      </c>
      <c r="C361" s="1" t="s">
        <v>352</v>
      </c>
      <c r="D361">
        <v>18</v>
      </c>
      <c r="E361">
        <v>27</v>
      </c>
      <c r="F361">
        <v>7</v>
      </c>
      <c r="G361">
        <v>8.1999999999999993</v>
      </c>
      <c r="H361">
        <v>7.2</v>
      </c>
      <c r="I361">
        <v>7.8</v>
      </c>
      <c r="J361">
        <v>380</v>
      </c>
      <c r="K361">
        <v>600</v>
      </c>
      <c r="L361">
        <v>1.4</v>
      </c>
      <c r="M361">
        <v>1.9</v>
      </c>
      <c r="N361">
        <v>0.3</v>
      </c>
      <c r="O361">
        <v>1.4</v>
      </c>
      <c r="P361">
        <v>2</v>
      </c>
      <c r="Q361">
        <v>6</v>
      </c>
      <c r="R361">
        <v>20</v>
      </c>
      <c r="S361">
        <v>26</v>
      </c>
      <c r="V361">
        <f>River_data[[#This Row],[Dissolved Oxygen Min]]*River_data[[#This Row],[Dissolved Oxygen Max]]/2</f>
        <v>28.699999999999996</v>
      </c>
      <c r="W361">
        <f>River_data[[#This Row],[BOD Min]]*River_data[[#This Row],[BOD Max]]/2</f>
        <v>1.3299999999999998</v>
      </c>
      <c r="X361">
        <f>AVERAGE(River_data[[#This Row],[pH Max]]-River_data[[#This Row],[pH Min]])</f>
        <v>0.59999999999999964</v>
      </c>
    </row>
    <row r="362" spans="1:24" x14ac:dyDescent="0.3">
      <c r="A362">
        <v>4610</v>
      </c>
      <c r="B362" s="1" t="s">
        <v>374</v>
      </c>
      <c r="C362" s="1" t="s">
        <v>352</v>
      </c>
      <c r="D362">
        <v>22</v>
      </c>
      <c r="E362">
        <v>30</v>
      </c>
      <c r="F362">
        <v>7.2</v>
      </c>
      <c r="G362">
        <v>7.6</v>
      </c>
      <c r="H362">
        <v>7.4</v>
      </c>
      <c r="I362">
        <v>7.9</v>
      </c>
      <c r="J362">
        <v>298</v>
      </c>
      <c r="K362">
        <v>384</v>
      </c>
      <c r="L362">
        <v>1.8</v>
      </c>
      <c r="M362">
        <v>2</v>
      </c>
      <c r="N362">
        <v>0.55000000000000004</v>
      </c>
      <c r="O362">
        <v>0.98</v>
      </c>
      <c r="P362">
        <v>2</v>
      </c>
      <c r="Q362">
        <v>4</v>
      </c>
      <c r="R362">
        <v>48</v>
      </c>
      <c r="S362">
        <v>49</v>
      </c>
      <c r="T362">
        <v>2</v>
      </c>
      <c r="U362">
        <v>2</v>
      </c>
      <c r="V362">
        <f>River_data[[#This Row],[Dissolved Oxygen Min]]*River_data[[#This Row],[Dissolved Oxygen Max]]/2</f>
        <v>27.36</v>
      </c>
      <c r="W362">
        <f>River_data[[#This Row],[BOD Min]]*River_data[[#This Row],[BOD Max]]/2</f>
        <v>1.8</v>
      </c>
      <c r="X362">
        <f>AVERAGE(River_data[[#This Row],[pH Max]]-River_data[[#This Row],[pH Min]])</f>
        <v>0.5</v>
      </c>
    </row>
    <row r="363" spans="1:24" x14ac:dyDescent="0.3">
      <c r="A363">
        <v>2954</v>
      </c>
      <c r="B363" s="1" t="s">
        <v>375</v>
      </c>
      <c r="C363" s="1" t="s">
        <v>359</v>
      </c>
      <c r="D363">
        <v>17</v>
      </c>
      <c r="E363">
        <v>33</v>
      </c>
      <c r="F363">
        <v>4.7</v>
      </c>
      <c r="G363">
        <v>5.8</v>
      </c>
      <c r="H363">
        <v>8.1</v>
      </c>
      <c r="I363">
        <v>8.9</v>
      </c>
      <c r="J363">
        <v>311</v>
      </c>
      <c r="K363">
        <v>1092</v>
      </c>
      <c r="L363">
        <v>1</v>
      </c>
      <c r="M363">
        <v>2</v>
      </c>
      <c r="N363">
        <v>1.22</v>
      </c>
      <c r="O363">
        <v>2.52</v>
      </c>
      <c r="P363">
        <v>70</v>
      </c>
      <c r="Q363">
        <v>150</v>
      </c>
      <c r="R363">
        <v>140</v>
      </c>
      <c r="S363">
        <v>350</v>
      </c>
      <c r="T363">
        <v>21</v>
      </c>
      <c r="U363">
        <v>26</v>
      </c>
      <c r="V363">
        <f>River_data[[#This Row],[Dissolved Oxygen Min]]*River_data[[#This Row],[Dissolved Oxygen Max]]/2</f>
        <v>13.63</v>
      </c>
      <c r="W363">
        <f>River_data[[#This Row],[BOD Min]]*River_data[[#This Row],[BOD Max]]/2</f>
        <v>1</v>
      </c>
      <c r="X363">
        <f>AVERAGE(River_data[[#This Row],[pH Max]]-River_data[[#This Row],[pH Min]])</f>
        <v>0.80000000000000071</v>
      </c>
    </row>
    <row r="364" spans="1:24" x14ac:dyDescent="0.3">
      <c r="A364">
        <v>2109</v>
      </c>
      <c r="B364" s="1" t="s">
        <v>376</v>
      </c>
      <c r="C364" s="1" t="s">
        <v>352</v>
      </c>
      <c r="D364">
        <v>15</v>
      </c>
      <c r="E364">
        <v>31</v>
      </c>
      <c r="F364">
        <v>7</v>
      </c>
      <c r="G364">
        <v>8.8000000000000007</v>
      </c>
      <c r="H364">
        <v>7.2</v>
      </c>
      <c r="I364">
        <v>7.9</v>
      </c>
      <c r="J364">
        <v>290</v>
      </c>
      <c r="K364">
        <v>511</v>
      </c>
      <c r="L364">
        <v>1.4</v>
      </c>
      <c r="M364">
        <v>2.1</v>
      </c>
      <c r="N364">
        <v>0.32</v>
      </c>
      <c r="O364">
        <v>1.4</v>
      </c>
      <c r="P364">
        <v>2</v>
      </c>
      <c r="Q364">
        <v>6</v>
      </c>
      <c r="R364">
        <v>24</v>
      </c>
      <c r="S364">
        <v>34</v>
      </c>
      <c r="V364">
        <f>River_data[[#This Row],[Dissolved Oxygen Min]]*River_data[[#This Row],[Dissolved Oxygen Max]]/2</f>
        <v>30.800000000000004</v>
      </c>
      <c r="W364">
        <f>River_data[[#This Row],[BOD Min]]*River_data[[#This Row],[BOD Max]]/2</f>
        <v>1.47</v>
      </c>
      <c r="X364">
        <f>AVERAGE(River_data[[#This Row],[pH Max]]-River_data[[#This Row],[pH Min]])</f>
        <v>0.70000000000000018</v>
      </c>
    </row>
    <row r="365" spans="1:24" x14ac:dyDescent="0.3">
      <c r="A365">
        <v>2126</v>
      </c>
      <c r="B365" s="1" t="s">
        <v>377</v>
      </c>
      <c r="C365" s="1" t="s">
        <v>352</v>
      </c>
      <c r="D365">
        <v>15</v>
      </c>
      <c r="E365">
        <v>26</v>
      </c>
      <c r="F365">
        <v>5.8</v>
      </c>
      <c r="G365">
        <v>11.7</v>
      </c>
      <c r="H365">
        <v>7.4</v>
      </c>
      <c r="I365">
        <v>8.1</v>
      </c>
      <c r="J365">
        <v>371</v>
      </c>
      <c r="K365">
        <v>715</v>
      </c>
      <c r="L365">
        <v>1</v>
      </c>
      <c r="M365">
        <v>4.5999999999999996</v>
      </c>
      <c r="N365">
        <v>5.05</v>
      </c>
      <c r="O365">
        <v>30.72</v>
      </c>
      <c r="P365">
        <v>6</v>
      </c>
      <c r="Q365">
        <v>110</v>
      </c>
      <c r="R365">
        <v>220</v>
      </c>
      <c r="S365">
        <v>480</v>
      </c>
      <c r="T365">
        <v>2</v>
      </c>
      <c r="U365">
        <v>2</v>
      </c>
      <c r="V365">
        <f>River_data[[#This Row],[Dissolved Oxygen Min]]*River_data[[#This Row],[Dissolved Oxygen Max]]/2</f>
        <v>33.93</v>
      </c>
      <c r="W365">
        <f>River_data[[#This Row],[BOD Min]]*River_data[[#This Row],[BOD Max]]/2</f>
        <v>2.2999999999999998</v>
      </c>
      <c r="X365">
        <f>AVERAGE(River_data[[#This Row],[pH Max]]-River_data[[#This Row],[pH Min]])</f>
        <v>0.69999999999999929</v>
      </c>
    </row>
    <row r="366" spans="1:24" x14ac:dyDescent="0.3">
      <c r="A366">
        <v>1432</v>
      </c>
      <c r="B366" s="1" t="s">
        <v>378</v>
      </c>
      <c r="C366" s="1" t="s">
        <v>352</v>
      </c>
      <c r="D366">
        <v>15</v>
      </c>
      <c r="E366">
        <v>32</v>
      </c>
      <c r="F366">
        <v>7</v>
      </c>
      <c r="G366">
        <v>8.5</v>
      </c>
      <c r="H366">
        <v>7.2</v>
      </c>
      <c r="I366">
        <v>7.6</v>
      </c>
      <c r="J366">
        <v>270</v>
      </c>
      <c r="K366">
        <v>507</v>
      </c>
      <c r="L366">
        <v>1.6</v>
      </c>
      <c r="M366">
        <v>1.9</v>
      </c>
      <c r="N366">
        <v>0.5</v>
      </c>
      <c r="O366">
        <v>1.83</v>
      </c>
      <c r="P366">
        <v>2</v>
      </c>
      <c r="Q366">
        <v>6</v>
      </c>
      <c r="R366">
        <v>2</v>
      </c>
      <c r="S366">
        <v>34</v>
      </c>
      <c r="T366">
        <v>2</v>
      </c>
      <c r="U366">
        <v>2</v>
      </c>
      <c r="V366">
        <f>River_data[[#This Row],[Dissolved Oxygen Min]]*River_data[[#This Row],[Dissolved Oxygen Max]]/2</f>
        <v>29.75</v>
      </c>
      <c r="W366">
        <f>River_data[[#This Row],[BOD Min]]*River_data[[#This Row],[BOD Max]]/2</f>
        <v>1.52</v>
      </c>
      <c r="X366">
        <f>AVERAGE(River_data[[#This Row],[pH Max]]-River_data[[#This Row],[pH Min]])</f>
        <v>0.39999999999999947</v>
      </c>
    </row>
    <row r="367" spans="1:24" x14ac:dyDescent="0.3">
      <c r="A367">
        <v>1367</v>
      </c>
      <c r="B367" s="1" t="s">
        <v>379</v>
      </c>
      <c r="C367" s="1" t="s">
        <v>352</v>
      </c>
      <c r="D367">
        <v>20</v>
      </c>
      <c r="E367">
        <v>22.5</v>
      </c>
      <c r="F367">
        <v>0.3</v>
      </c>
      <c r="G367">
        <v>0.3</v>
      </c>
      <c r="H367">
        <v>7.2</v>
      </c>
      <c r="I367">
        <v>8.1</v>
      </c>
      <c r="J367">
        <v>982</v>
      </c>
      <c r="K367">
        <v>1485</v>
      </c>
      <c r="L367">
        <v>10</v>
      </c>
      <c r="M367">
        <v>36</v>
      </c>
      <c r="N367">
        <v>2.13</v>
      </c>
      <c r="O367">
        <v>4.78</v>
      </c>
      <c r="P367">
        <v>32</v>
      </c>
      <c r="Q367">
        <v>5400</v>
      </c>
      <c r="R367">
        <v>920</v>
      </c>
      <c r="S367">
        <v>12000</v>
      </c>
      <c r="T367">
        <v>8</v>
      </c>
      <c r="U367">
        <v>1800</v>
      </c>
      <c r="V367">
        <f>River_data[[#This Row],[Dissolved Oxygen Min]]*River_data[[#This Row],[Dissolved Oxygen Max]]/2</f>
        <v>4.4999999999999998E-2</v>
      </c>
      <c r="W367">
        <f>River_data[[#This Row],[BOD Min]]*River_data[[#This Row],[BOD Max]]/2</f>
        <v>180</v>
      </c>
      <c r="X367">
        <f>AVERAGE(River_data[[#This Row],[pH Max]]-River_data[[#This Row],[pH Min]])</f>
        <v>0.89999999999999947</v>
      </c>
    </row>
    <row r="368" spans="1:24" x14ac:dyDescent="0.3">
      <c r="A368">
        <v>2110</v>
      </c>
      <c r="B368" s="1" t="s">
        <v>380</v>
      </c>
      <c r="C368" s="1" t="s">
        <v>352</v>
      </c>
      <c r="D368">
        <v>19</v>
      </c>
      <c r="E368">
        <v>22</v>
      </c>
      <c r="F368">
        <v>0.3</v>
      </c>
      <c r="G368">
        <v>0.3</v>
      </c>
      <c r="H368">
        <v>7.2</v>
      </c>
      <c r="I368">
        <v>8.1999999999999993</v>
      </c>
      <c r="J368">
        <v>973</v>
      </c>
      <c r="K368">
        <v>1418</v>
      </c>
      <c r="L368">
        <v>14</v>
      </c>
      <c r="M368">
        <v>38</v>
      </c>
      <c r="N368">
        <v>2.14</v>
      </c>
      <c r="O368">
        <v>7.35</v>
      </c>
      <c r="P368">
        <v>2</v>
      </c>
      <c r="Q368">
        <v>6300</v>
      </c>
      <c r="R368">
        <v>1400</v>
      </c>
      <c r="S368">
        <v>17000</v>
      </c>
      <c r="T368">
        <v>5</v>
      </c>
      <c r="U368">
        <v>2100</v>
      </c>
      <c r="V368">
        <f>River_data[[#This Row],[Dissolved Oxygen Min]]*River_data[[#This Row],[Dissolved Oxygen Max]]/2</f>
        <v>4.4999999999999998E-2</v>
      </c>
      <c r="W368">
        <f>River_data[[#This Row],[BOD Min]]*River_data[[#This Row],[BOD Max]]/2</f>
        <v>266</v>
      </c>
      <c r="X368">
        <f>AVERAGE(River_data[[#This Row],[pH Max]]-River_data[[#This Row],[pH Min]])</f>
        <v>0.99999999999999911</v>
      </c>
    </row>
    <row r="369" spans="1:24" x14ac:dyDescent="0.3">
      <c r="A369">
        <v>2111</v>
      </c>
      <c r="B369" s="1" t="s">
        <v>381</v>
      </c>
      <c r="C369" s="1" t="s">
        <v>352</v>
      </c>
      <c r="D369">
        <v>19.5</v>
      </c>
      <c r="E369">
        <v>22.5</v>
      </c>
      <c r="F369">
        <v>4</v>
      </c>
      <c r="G369">
        <v>6.4</v>
      </c>
      <c r="H369">
        <v>7.4</v>
      </c>
      <c r="I369">
        <v>8.4</v>
      </c>
      <c r="J369">
        <v>880</v>
      </c>
      <c r="K369">
        <v>1330</v>
      </c>
      <c r="L369">
        <v>1</v>
      </c>
      <c r="M369">
        <v>8</v>
      </c>
      <c r="N369">
        <v>1.24</v>
      </c>
      <c r="O369">
        <v>3.17</v>
      </c>
      <c r="P369">
        <v>10</v>
      </c>
      <c r="Q369">
        <v>700</v>
      </c>
      <c r="R369">
        <v>430</v>
      </c>
      <c r="S369">
        <v>1600</v>
      </c>
      <c r="T369">
        <v>2</v>
      </c>
      <c r="U369">
        <v>340</v>
      </c>
      <c r="V369">
        <f>River_data[[#This Row],[Dissolved Oxygen Min]]*River_data[[#This Row],[Dissolved Oxygen Max]]/2</f>
        <v>12.8</v>
      </c>
      <c r="W369">
        <f>River_data[[#This Row],[BOD Min]]*River_data[[#This Row],[BOD Max]]/2</f>
        <v>4</v>
      </c>
      <c r="X369">
        <f>AVERAGE(River_data[[#This Row],[pH Max]]-River_data[[#This Row],[pH Min]])</f>
        <v>1</v>
      </c>
    </row>
    <row r="370" spans="1:24" x14ac:dyDescent="0.3">
      <c r="A370">
        <v>1372</v>
      </c>
      <c r="B370" s="1" t="s">
        <v>382</v>
      </c>
      <c r="C370" s="1" t="s">
        <v>352</v>
      </c>
      <c r="D370">
        <v>22.7</v>
      </c>
      <c r="E370">
        <v>33</v>
      </c>
      <c r="F370">
        <v>2.8</v>
      </c>
      <c r="G370">
        <v>9.1</v>
      </c>
      <c r="H370">
        <v>6.8</v>
      </c>
      <c r="I370">
        <v>7.9</v>
      </c>
      <c r="J370">
        <v>612</v>
      </c>
      <c r="K370">
        <v>5952</v>
      </c>
      <c r="L370">
        <v>2</v>
      </c>
      <c r="M370">
        <v>3.7</v>
      </c>
      <c r="N370">
        <v>0</v>
      </c>
      <c r="O370">
        <v>0</v>
      </c>
      <c r="P370">
        <v>2</v>
      </c>
      <c r="Q370">
        <v>15</v>
      </c>
      <c r="R370">
        <v>70</v>
      </c>
      <c r="S370">
        <v>120</v>
      </c>
      <c r="T370">
        <v>2</v>
      </c>
      <c r="U370">
        <v>2</v>
      </c>
      <c r="V370">
        <f>River_data[[#This Row],[Dissolved Oxygen Min]]*River_data[[#This Row],[Dissolved Oxygen Max]]/2</f>
        <v>12.739999999999998</v>
      </c>
      <c r="W370">
        <f>River_data[[#This Row],[BOD Min]]*River_data[[#This Row],[BOD Max]]/2</f>
        <v>3.7</v>
      </c>
      <c r="X370">
        <f>AVERAGE(River_data[[#This Row],[pH Max]]-River_data[[#This Row],[pH Min]])</f>
        <v>1.1000000000000005</v>
      </c>
    </row>
    <row r="371" spans="1:24" x14ac:dyDescent="0.3">
      <c r="A371">
        <v>1369</v>
      </c>
      <c r="B371" s="1" t="s">
        <v>383</v>
      </c>
      <c r="C371" s="1" t="s">
        <v>352</v>
      </c>
      <c r="D371">
        <v>22</v>
      </c>
      <c r="E371">
        <v>27</v>
      </c>
      <c r="F371">
        <v>6.2</v>
      </c>
      <c r="G371">
        <v>7.8</v>
      </c>
      <c r="H371">
        <v>7.1</v>
      </c>
      <c r="I371">
        <v>7.9</v>
      </c>
      <c r="J371">
        <v>386</v>
      </c>
      <c r="K371">
        <v>1064</v>
      </c>
      <c r="L371">
        <v>3.4</v>
      </c>
      <c r="M371">
        <v>10</v>
      </c>
      <c r="N371">
        <v>0.32</v>
      </c>
      <c r="O371">
        <v>2.8</v>
      </c>
      <c r="P371">
        <v>350</v>
      </c>
      <c r="Q371">
        <v>1600</v>
      </c>
      <c r="R371">
        <v>1600</v>
      </c>
      <c r="S371">
        <v>1600</v>
      </c>
      <c r="T371">
        <v>6</v>
      </c>
      <c r="U371">
        <v>170</v>
      </c>
      <c r="V371">
        <f>River_data[[#This Row],[Dissolved Oxygen Min]]*River_data[[#This Row],[Dissolved Oxygen Max]]/2</f>
        <v>24.18</v>
      </c>
      <c r="W371">
        <f>River_data[[#This Row],[BOD Min]]*River_data[[#This Row],[BOD Max]]/2</f>
        <v>17</v>
      </c>
      <c r="X371">
        <f>AVERAGE(River_data[[#This Row],[pH Max]]-River_data[[#This Row],[pH Min]])</f>
        <v>0.80000000000000071</v>
      </c>
    </row>
    <row r="372" spans="1:24" x14ac:dyDescent="0.3">
      <c r="A372">
        <v>1370</v>
      </c>
      <c r="B372" s="1" t="s">
        <v>384</v>
      </c>
      <c r="C372" s="1" t="s">
        <v>352</v>
      </c>
      <c r="D372">
        <v>22</v>
      </c>
      <c r="E372">
        <v>27</v>
      </c>
      <c r="F372">
        <v>7</v>
      </c>
      <c r="G372">
        <v>7.6</v>
      </c>
      <c r="H372">
        <v>7.4</v>
      </c>
      <c r="I372">
        <v>7.9</v>
      </c>
      <c r="J372">
        <v>333</v>
      </c>
      <c r="K372">
        <v>1039</v>
      </c>
      <c r="L372">
        <v>2.4</v>
      </c>
      <c r="M372">
        <v>6</v>
      </c>
      <c r="N372">
        <v>0.32</v>
      </c>
      <c r="O372">
        <v>1.94</v>
      </c>
      <c r="P372">
        <v>2</v>
      </c>
      <c r="Q372">
        <v>1600</v>
      </c>
      <c r="R372">
        <v>210</v>
      </c>
      <c r="S372">
        <v>1600</v>
      </c>
      <c r="T372">
        <v>2</v>
      </c>
      <c r="U372">
        <v>6</v>
      </c>
      <c r="V372">
        <f>River_data[[#This Row],[Dissolved Oxygen Min]]*River_data[[#This Row],[Dissolved Oxygen Max]]/2</f>
        <v>26.599999999999998</v>
      </c>
      <c r="W372">
        <f>River_data[[#This Row],[BOD Min]]*River_data[[#This Row],[BOD Max]]/2</f>
        <v>7.1999999999999993</v>
      </c>
      <c r="X372">
        <f>AVERAGE(River_data[[#This Row],[pH Max]]-River_data[[#This Row],[pH Min]])</f>
        <v>0.5</v>
      </c>
    </row>
    <row r="373" spans="1:24" x14ac:dyDescent="0.3">
      <c r="A373">
        <v>1468</v>
      </c>
      <c r="B373" s="1" t="s">
        <v>385</v>
      </c>
      <c r="C373" s="1" t="s">
        <v>352</v>
      </c>
      <c r="D373">
        <v>22</v>
      </c>
      <c r="E373">
        <v>27</v>
      </c>
      <c r="F373">
        <v>6.8</v>
      </c>
      <c r="G373">
        <v>7.6</v>
      </c>
      <c r="H373">
        <v>7.3</v>
      </c>
      <c r="I373">
        <v>8</v>
      </c>
      <c r="J373">
        <v>493</v>
      </c>
      <c r="K373">
        <v>1254</v>
      </c>
      <c r="L373">
        <v>8</v>
      </c>
      <c r="M373">
        <v>12</v>
      </c>
      <c r="N373">
        <v>0.93</v>
      </c>
      <c r="O373">
        <v>3.47</v>
      </c>
      <c r="P373">
        <v>920</v>
      </c>
      <c r="Q373">
        <v>1600</v>
      </c>
      <c r="R373">
        <v>1600</v>
      </c>
      <c r="S373">
        <v>1600</v>
      </c>
      <c r="T373">
        <v>10</v>
      </c>
      <c r="U373">
        <v>25</v>
      </c>
      <c r="V373">
        <f>River_data[[#This Row],[Dissolved Oxygen Min]]*River_data[[#This Row],[Dissolved Oxygen Max]]/2</f>
        <v>25.84</v>
      </c>
      <c r="W373">
        <f>River_data[[#This Row],[BOD Min]]*River_data[[#This Row],[BOD Max]]/2</f>
        <v>48</v>
      </c>
      <c r="X373">
        <f>AVERAGE(River_data[[#This Row],[pH Max]]-River_data[[#This Row],[pH Min]])</f>
        <v>0.70000000000000018</v>
      </c>
    </row>
    <row r="374" spans="1:24" x14ac:dyDescent="0.3">
      <c r="A374">
        <v>3315</v>
      </c>
      <c r="B374" s="1" t="s">
        <v>386</v>
      </c>
      <c r="C374" s="1" t="s">
        <v>352</v>
      </c>
      <c r="D374">
        <v>22</v>
      </c>
      <c r="E374">
        <v>26</v>
      </c>
      <c r="F374">
        <v>7</v>
      </c>
      <c r="G374">
        <v>7.5</v>
      </c>
      <c r="H374">
        <v>7.1</v>
      </c>
      <c r="I374">
        <v>7.9</v>
      </c>
      <c r="J374">
        <v>370</v>
      </c>
      <c r="K374">
        <v>1041</v>
      </c>
      <c r="L374">
        <v>2.4</v>
      </c>
      <c r="M374">
        <v>8</v>
      </c>
      <c r="N374">
        <v>0.32</v>
      </c>
      <c r="O374">
        <v>2.2400000000000002</v>
      </c>
      <c r="P374">
        <v>2</v>
      </c>
      <c r="Q374">
        <v>1600</v>
      </c>
      <c r="R374">
        <v>280</v>
      </c>
      <c r="S374">
        <v>1600</v>
      </c>
      <c r="T374">
        <v>2</v>
      </c>
      <c r="U374">
        <v>6</v>
      </c>
      <c r="V374">
        <f>River_data[[#This Row],[Dissolved Oxygen Min]]*River_data[[#This Row],[Dissolved Oxygen Max]]/2</f>
        <v>26.25</v>
      </c>
      <c r="W374">
        <f>River_data[[#This Row],[BOD Min]]*River_data[[#This Row],[BOD Max]]/2</f>
        <v>9.6</v>
      </c>
      <c r="X374">
        <f>AVERAGE(River_data[[#This Row],[pH Max]]-River_data[[#This Row],[pH Min]])</f>
        <v>0.80000000000000071</v>
      </c>
    </row>
    <row r="375" spans="1:24" x14ac:dyDescent="0.3">
      <c r="A375">
        <v>3316</v>
      </c>
      <c r="B375" s="1" t="s">
        <v>387</v>
      </c>
      <c r="C375" s="1" t="s">
        <v>352</v>
      </c>
      <c r="D375">
        <v>23</v>
      </c>
      <c r="E375">
        <v>29</v>
      </c>
      <c r="F375">
        <v>6.8</v>
      </c>
      <c r="G375">
        <v>8</v>
      </c>
      <c r="H375">
        <v>7.5</v>
      </c>
      <c r="I375">
        <v>8.1999999999999993</v>
      </c>
      <c r="J375">
        <v>388</v>
      </c>
      <c r="K375">
        <v>1068</v>
      </c>
      <c r="L375">
        <v>1.4</v>
      </c>
      <c r="M375">
        <v>3.6</v>
      </c>
      <c r="N375">
        <v>0.32</v>
      </c>
      <c r="O375">
        <v>1</v>
      </c>
      <c r="P375">
        <v>2</v>
      </c>
      <c r="Q375">
        <v>6</v>
      </c>
      <c r="R375">
        <v>46</v>
      </c>
      <c r="S375">
        <v>1600</v>
      </c>
      <c r="T375">
        <v>2</v>
      </c>
      <c r="U375">
        <v>2</v>
      </c>
      <c r="V375">
        <f>River_data[[#This Row],[Dissolved Oxygen Min]]*River_data[[#This Row],[Dissolved Oxygen Max]]/2</f>
        <v>27.2</v>
      </c>
      <c r="W375">
        <f>River_data[[#This Row],[BOD Min]]*River_data[[#This Row],[BOD Max]]/2</f>
        <v>2.52</v>
      </c>
      <c r="X375">
        <f>AVERAGE(River_data[[#This Row],[pH Max]]-River_data[[#This Row],[pH Min]])</f>
        <v>0.69999999999999929</v>
      </c>
    </row>
    <row r="376" spans="1:24" x14ac:dyDescent="0.3">
      <c r="A376">
        <v>3317</v>
      </c>
      <c r="B376" s="1" t="s">
        <v>388</v>
      </c>
      <c r="C376" s="1" t="s">
        <v>352</v>
      </c>
      <c r="D376">
        <v>22</v>
      </c>
      <c r="E376">
        <v>26</v>
      </c>
      <c r="F376">
        <v>7.1</v>
      </c>
      <c r="G376">
        <v>7.6</v>
      </c>
      <c r="H376">
        <v>7.4</v>
      </c>
      <c r="I376">
        <v>8</v>
      </c>
      <c r="J376">
        <v>288</v>
      </c>
      <c r="K376">
        <v>585</v>
      </c>
      <c r="L376">
        <v>1.8</v>
      </c>
      <c r="M376">
        <v>2</v>
      </c>
      <c r="N376">
        <v>0.63</v>
      </c>
      <c r="O376">
        <v>0.98</v>
      </c>
      <c r="P376">
        <v>2</v>
      </c>
      <c r="Q376">
        <v>4</v>
      </c>
      <c r="R376">
        <v>47</v>
      </c>
      <c r="S376">
        <v>49</v>
      </c>
      <c r="T376">
        <v>2</v>
      </c>
      <c r="U376">
        <v>2</v>
      </c>
      <c r="V376">
        <f>River_data[[#This Row],[Dissolved Oxygen Min]]*River_data[[#This Row],[Dissolved Oxygen Max]]/2</f>
        <v>26.979999999999997</v>
      </c>
      <c r="W376">
        <f>River_data[[#This Row],[BOD Min]]*River_data[[#This Row],[BOD Max]]/2</f>
        <v>1.8</v>
      </c>
      <c r="X376">
        <f>AVERAGE(River_data[[#This Row],[pH Max]]-River_data[[#This Row],[pH Min]])</f>
        <v>0.59999999999999964</v>
      </c>
    </row>
    <row r="377" spans="1:24" x14ac:dyDescent="0.3">
      <c r="A377">
        <v>2724</v>
      </c>
      <c r="B377" s="1" t="s">
        <v>389</v>
      </c>
      <c r="C377" s="1" t="s">
        <v>148</v>
      </c>
      <c r="D377">
        <v>15</v>
      </c>
      <c r="E377">
        <v>24</v>
      </c>
      <c r="F377">
        <v>1.4</v>
      </c>
      <c r="G377">
        <v>4</v>
      </c>
      <c r="H377">
        <v>6.8</v>
      </c>
      <c r="I377">
        <v>7.8</v>
      </c>
      <c r="J377">
        <v>321</v>
      </c>
      <c r="K377">
        <v>601</v>
      </c>
      <c r="L377">
        <v>20</v>
      </c>
      <c r="M377">
        <v>34</v>
      </c>
      <c r="N377">
        <v>0.33</v>
      </c>
      <c r="O377">
        <v>0.53</v>
      </c>
      <c r="P377">
        <v>1400</v>
      </c>
      <c r="Q377">
        <v>28000</v>
      </c>
      <c r="R377">
        <v>1600</v>
      </c>
      <c r="S377">
        <v>160000</v>
      </c>
      <c r="T377">
        <v>540</v>
      </c>
      <c r="U377">
        <v>16000</v>
      </c>
      <c r="V377">
        <f>River_data[[#This Row],[Dissolved Oxygen Min]]*River_data[[#This Row],[Dissolved Oxygen Max]]/2</f>
        <v>2.8</v>
      </c>
      <c r="W377">
        <f>River_data[[#This Row],[BOD Min]]*River_data[[#This Row],[BOD Max]]/2</f>
        <v>340</v>
      </c>
      <c r="X377">
        <f>AVERAGE(River_data[[#This Row],[pH Max]]-River_data[[#This Row],[pH Min]])</f>
        <v>1</v>
      </c>
    </row>
    <row r="378" spans="1:24" x14ac:dyDescent="0.3">
      <c r="A378">
        <v>2734</v>
      </c>
      <c r="B378" s="1" t="s">
        <v>390</v>
      </c>
      <c r="C378" s="1" t="s">
        <v>148</v>
      </c>
      <c r="D378">
        <v>13</v>
      </c>
      <c r="E378">
        <v>30</v>
      </c>
      <c r="F378">
        <v>5.6</v>
      </c>
      <c r="G378">
        <v>7.7</v>
      </c>
      <c r="H378">
        <v>7.2</v>
      </c>
      <c r="I378">
        <v>7.8</v>
      </c>
      <c r="J378">
        <v>181</v>
      </c>
      <c r="K378">
        <v>316</v>
      </c>
      <c r="L378">
        <v>2</v>
      </c>
      <c r="M378">
        <v>3</v>
      </c>
      <c r="N378">
        <v>0.35</v>
      </c>
      <c r="O378">
        <v>0.83</v>
      </c>
      <c r="P378">
        <v>130</v>
      </c>
      <c r="Q378">
        <v>540</v>
      </c>
      <c r="R378">
        <v>170</v>
      </c>
      <c r="S378">
        <v>920</v>
      </c>
      <c r="T378">
        <v>46</v>
      </c>
      <c r="U378">
        <v>210</v>
      </c>
      <c r="V378">
        <f>River_data[[#This Row],[Dissolved Oxygen Min]]*River_data[[#This Row],[Dissolved Oxygen Max]]/2</f>
        <v>21.56</v>
      </c>
      <c r="W378">
        <f>River_data[[#This Row],[BOD Min]]*River_data[[#This Row],[BOD Max]]/2</f>
        <v>3</v>
      </c>
      <c r="X378">
        <f>AVERAGE(River_data[[#This Row],[pH Max]]-River_data[[#This Row],[pH Min]])</f>
        <v>0.59999999999999964</v>
      </c>
    </row>
    <row r="379" spans="1:24" x14ac:dyDescent="0.3">
      <c r="A379">
        <v>2735</v>
      </c>
      <c r="B379" s="1" t="s">
        <v>391</v>
      </c>
      <c r="C379" s="1" t="s">
        <v>148</v>
      </c>
      <c r="D379">
        <v>13</v>
      </c>
      <c r="E379">
        <v>32</v>
      </c>
      <c r="F379">
        <v>1.4</v>
      </c>
      <c r="G379">
        <v>4.4000000000000004</v>
      </c>
      <c r="H379">
        <v>6.7</v>
      </c>
      <c r="I379">
        <v>7.7</v>
      </c>
      <c r="J379">
        <v>216</v>
      </c>
      <c r="K379">
        <v>636</v>
      </c>
      <c r="L379">
        <v>12</v>
      </c>
      <c r="M379">
        <v>28</v>
      </c>
      <c r="N379">
        <v>0.37</v>
      </c>
      <c r="O379">
        <v>1.1499999999999999</v>
      </c>
      <c r="P379">
        <v>240</v>
      </c>
      <c r="Q379">
        <v>920</v>
      </c>
      <c r="R379">
        <v>540</v>
      </c>
      <c r="S379">
        <v>1600</v>
      </c>
      <c r="T379">
        <v>94</v>
      </c>
      <c r="U379">
        <v>350</v>
      </c>
      <c r="V379">
        <f>River_data[[#This Row],[Dissolved Oxygen Min]]*River_data[[#This Row],[Dissolved Oxygen Max]]/2</f>
        <v>3.08</v>
      </c>
      <c r="W379">
        <f>River_data[[#This Row],[BOD Min]]*River_data[[#This Row],[BOD Max]]/2</f>
        <v>168</v>
      </c>
      <c r="X379">
        <f>AVERAGE(River_data[[#This Row],[pH Max]]-River_data[[#This Row],[pH Min]])</f>
        <v>1</v>
      </c>
    </row>
    <row r="380" spans="1:24" x14ac:dyDescent="0.3">
      <c r="A380">
        <v>2732</v>
      </c>
      <c r="B380" s="1" t="s">
        <v>392</v>
      </c>
      <c r="C380" s="1" t="s">
        <v>148</v>
      </c>
      <c r="D380">
        <v>13</v>
      </c>
      <c r="E380">
        <v>34</v>
      </c>
      <c r="F380">
        <v>6</v>
      </c>
      <c r="G380">
        <v>7.6</v>
      </c>
      <c r="H380">
        <v>6.8</v>
      </c>
      <c r="I380">
        <v>7.9</v>
      </c>
      <c r="J380">
        <v>236</v>
      </c>
      <c r="K380">
        <v>596</v>
      </c>
      <c r="L380">
        <v>2.6</v>
      </c>
      <c r="M380">
        <v>3</v>
      </c>
      <c r="N380">
        <v>0.34</v>
      </c>
      <c r="O380">
        <v>0.82</v>
      </c>
      <c r="P380">
        <v>220</v>
      </c>
      <c r="Q380">
        <v>920</v>
      </c>
      <c r="R380">
        <v>280</v>
      </c>
      <c r="S380">
        <v>1600</v>
      </c>
      <c r="T380">
        <v>47</v>
      </c>
      <c r="U380">
        <v>130</v>
      </c>
      <c r="V380">
        <f>River_data[[#This Row],[Dissolved Oxygen Min]]*River_data[[#This Row],[Dissolved Oxygen Max]]/2</f>
        <v>22.799999999999997</v>
      </c>
      <c r="W380">
        <f>River_data[[#This Row],[BOD Min]]*River_data[[#This Row],[BOD Max]]/2</f>
        <v>3.9000000000000004</v>
      </c>
      <c r="X380">
        <f>AVERAGE(River_data[[#This Row],[pH Max]]-River_data[[#This Row],[pH Min]])</f>
        <v>1.1000000000000005</v>
      </c>
    </row>
    <row r="381" spans="1:24" x14ac:dyDescent="0.3">
      <c r="A381">
        <v>2733</v>
      </c>
      <c r="B381" s="1" t="s">
        <v>393</v>
      </c>
      <c r="C381" s="1" t="s">
        <v>148</v>
      </c>
      <c r="D381">
        <v>12</v>
      </c>
      <c r="E381">
        <v>33</v>
      </c>
      <c r="F381">
        <v>1.2</v>
      </c>
      <c r="G381">
        <v>4.0999999999999996</v>
      </c>
      <c r="H381">
        <v>7</v>
      </c>
      <c r="I381">
        <v>7.7</v>
      </c>
      <c r="J381">
        <v>298</v>
      </c>
      <c r="K381">
        <v>1254</v>
      </c>
      <c r="L381">
        <v>14</v>
      </c>
      <c r="M381">
        <v>38</v>
      </c>
      <c r="N381">
        <v>0.39</v>
      </c>
      <c r="O381">
        <v>1.29</v>
      </c>
      <c r="P381">
        <v>350</v>
      </c>
      <c r="Q381">
        <v>1600</v>
      </c>
      <c r="R381">
        <v>540</v>
      </c>
      <c r="S381">
        <v>1600</v>
      </c>
      <c r="T381">
        <v>70</v>
      </c>
      <c r="U381">
        <v>220</v>
      </c>
      <c r="V381">
        <f>River_data[[#This Row],[Dissolved Oxygen Min]]*River_data[[#This Row],[Dissolved Oxygen Max]]/2</f>
        <v>2.4599999999999995</v>
      </c>
      <c r="W381">
        <f>River_data[[#This Row],[BOD Min]]*River_data[[#This Row],[BOD Max]]/2</f>
        <v>266</v>
      </c>
      <c r="X381">
        <f>AVERAGE(River_data[[#This Row],[pH Max]]-River_data[[#This Row],[pH Min]])</f>
        <v>0.70000000000000018</v>
      </c>
    </row>
    <row r="382" spans="1:24" x14ac:dyDescent="0.3">
      <c r="A382">
        <v>30004</v>
      </c>
      <c r="B382" s="1" t="s">
        <v>394</v>
      </c>
      <c r="C382" s="1" t="s">
        <v>148</v>
      </c>
      <c r="D382">
        <v>20.6</v>
      </c>
      <c r="E382">
        <v>32</v>
      </c>
      <c r="F382">
        <v>4.5</v>
      </c>
      <c r="G382">
        <v>8.3000000000000007</v>
      </c>
      <c r="H382">
        <v>7.1</v>
      </c>
      <c r="I382">
        <v>7.8</v>
      </c>
      <c r="J382">
        <v>238</v>
      </c>
      <c r="K382">
        <v>813</v>
      </c>
      <c r="L382">
        <v>1</v>
      </c>
      <c r="M382">
        <v>7.1</v>
      </c>
      <c r="N382">
        <v>0.32</v>
      </c>
      <c r="O382">
        <v>0.37</v>
      </c>
      <c r="P382">
        <v>13000</v>
      </c>
      <c r="Q382">
        <v>130000</v>
      </c>
      <c r="R382">
        <v>70000</v>
      </c>
      <c r="S382">
        <v>490000</v>
      </c>
      <c r="V382">
        <f>River_data[[#This Row],[Dissolved Oxygen Min]]*River_data[[#This Row],[Dissolved Oxygen Max]]/2</f>
        <v>18.675000000000001</v>
      </c>
      <c r="W382">
        <f>River_data[[#This Row],[BOD Min]]*River_data[[#This Row],[BOD Max]]/2</f>
        <v>3.55</v>
      </c>
      <c r="X382">
        <f>AVERAGE(River_data[[#This Row],[pH Max]]-River_data[[#This Row],[pH Min]])</f>
        <v>0.70000000000000018</v>
      </c>
    </row>
    <row r="383" spans="1:24" x14ac:dyDescent="0.3">
      <c r="A383">
        <v>2731</v>
      </c>
      <c r="B383" s="1" t="s">
        <v>395</v>
      </c>
      <c r="C383" s="1" t="s">
        <v>148</v>
      </c>
      <c r="D383">
        <v>13</v>
      </c>
      <c r="E383">
        <v>31</v>
      </c>
      <c r="F383">
        <v>6.8</v>
      </c>
      <c r="G383">
        <v>7.8</v>
      </c>
      <c r="H383">
        <v>7.4</v>
      </c>
      <c r="I383">
        <v>7.9</v>
      </c>
      <c r="J383">
        <v>211</v>
      </c>
      <c r="K383">
        <v>628</v>
      </c>
      <c r="L383">
        <v>2</v>
      </c>
      <c r="M383">
        <v>3.8</v>
      </c>
      <c r="N383">
        <v>0.33</v>
      </c>
      <c r="O383">
        <v>0.66</v>
      </c>
      <c r="P383">
        <v>120</v>
      </c>
      <c r="Q383">
        <v>280</v>
      </c>
      <c r="R383">
        <v>170</v>
      </c>
      <c r="S383">
        <v>350</v>
      </c>
      <c r="T383">
        <v>17</v>
      </c>
      <c r="U383">
        <v>84</v>
      </c>
      <c r="V383">
        <f>River_data[[#This Row],[Dissolved Oxygen Min]]*River_data[[#This Row],[Dissolved Oxygen Max]]/2</f>
        <v>26.52</v>
      </c>
      <c r="W383">
        <f>River_data[[#This Row],[BOD Min]]*River_data[[#This Row],[BOD Max]]/2</f>
        <v>3.8</v>
      </c>
      <c r="X383">
        <f>AVERAGE(River_data[[#This Row],[pH Max]]-River_data[[#This Row],[pH Min]])</f>
        <v>0.5</v>
      </c>
    </row>
    <row r="384" spans="1:24" x14ac:dyDescent="0.3">
      <c r="A384">
        <v>30002</v>
      </c>
      <c r="B384" s="1" t="s">
        <v>396</v>
      </c>
      <c r="C384" s="1" t="s">
        <v>148</v>
      </c>
      <c r="D384">
        <v>21</v>
      </c>
      <c r="E384">
        <v>30.2</v>
      </c>
      <c r="F384">
        <v>6.2</v>
      </c>
      <c r="G384">
        <v>8.8000000000000007</v>
      </c>
      <c r="H384">
        <v>7.5</v>
      </c>
      <c r="I384">
        <v>7.6</v>
      </c>
      <c r="J384">
        <v>295</v>
      </c>
      <c r="K384">
        <v>714</v>
      </c>
      <c r="L384">
        <v>1</v>
      </c>
      <c r="M384">
        <v>2.8</v>
      </c>
      <c r="N384">
        <v>0.32</v>
      </c>
      <c r="O384">
        <v>0.9</v>
      </c>
      <c r="P384">
        <v>7800</v>
      </c>
      <c r="Q384">
        <v>330000</v>
      </c>
      <c r="R384">
        <v>13000</v>
      </c>
      <c r="S384">
        <v>790000</v>
      </c>
      <c r="V384">
        <f>River_data[[#This Row],[Dissolved Oxygen Min]]*River_data[[#This Row],[Dissolved Oxygen Max]]/2</f>
        <v>27.280000000000005</v>
      </c>
      <c r="W384">
        <f>River_data[[#This Row],[BOD Min]]*River_data[[#This Row],[BOD Max]]/2</f>
        <v>1.4</v>
      </c>
      <c r="X384">
        <f>AVERAGE(River_data[[#This Row],[pH Max]]-River_data[[#This Row],[pH Min]])</f>
        <v>9.9999999999999645E-2</v>
      </c>
    </row>
    <row r="385" spans="1:24" x14ac:dyDescent="0.3">
      <c r="A385">
        <v>2728</v>
      </c>
      <c r="B385" s="1" t="s">
        <v>397</v>
      </c>
      <c r="C385" s="1" t="s">
        <v>148</v>
      </c>
      <c r="D385">
        <v>13</v>
      </c>
      <c r="E385">
        <v>23</v>
      </c>
      <c r="F385">
        <v>7.4</v>
      </c>
      <c r="G385">
        <v>8.8000000000000007</v>
      </c>
      <c r="H385">
        <v>7.3</v>
      </c>
      <c r="I385">
        <v>8.1999999999999993</v>
      </c>
      <c r="J385">
        <v>230</v>
      </c>
      <c r="K385">
        <v>280</v>
      </c>
      <c r="L385">
        <v>1.4</v>
      </c>
      <c r="M385">
        <v>2.4</v>
      </c>
      <c r="N385">
        <v>0.32</v>
      </c>
      <c r="O385">
        <v>0.4</v>
      </c>
      <c r="P385">
        <v>63</v>
      </c>
      <c r="Q385">
        <v>170</v>
      </c>
      <c r="R385">
        <v>84</v>
      </c>
      <c r="S385">
        <v>210</v>
      </c>
      <c r="T385">
        <v>4</v>
      </c>
      <c r="U385">
        <v>13</v>
      </c>
      <c r="V385">
        <f>River_data[[#This Row],[Dissolved Oxygen Min]]*River_data[[#This Row],[Dissolved Oxygen Max]]/2</f>
        <v>32.56</v>
      </c>
      <c r="W385">
        <f>River_data[[#This Row],[BOD Min]]*River_data[[#This Row],[BOD Max]]/2</f>
        <v>1.68</v>
      </c>
      <c r="X385">
        <f>AVERAGE(River_data[[#This Row],[pH Max]]-River_data[[#This Row],[pH Min]])</f>
        <v>0.89999999999999947</v>
      </c>
    </row>
    <row r="386" spans="1:24" x14ac:dyDescent="0.3">
      <c r="A386">
        <v>2729</v>
      </c>
      <c r="B386" s="1" t="s">
        <v>398</v>
      </c>
      <c r="C386" s="1" t="s">
        <v>148</v>
      </c>
      <c r="D386">
        <v>12</v>
      </c>
      <c r="E386">
        <v>32</v>
      </c>
      <c r="F386">
        <v>5</v>
      </c>
      <c r="G386">
        <v>7</v>
      </c>
      <c r="H386">
        <v>7.2</v>
      </c>
      <c r="I386">
        <v>7.9</v>
      </c>
      <c r="J386">
        <v>265</v>
      </c>
      <c r="K386">
        <v>672</v>
      </c>
      <c r="L386">
        <v>3</v>
      </c>
      <c r="M386">
        <v>7.8</v>
      </c>
      <c r="N386">
        <v>0</v>
      </c>
      <c r="O386">
        <v>0.88</v>
      </c>
      <c r="P386">
        <v>170</v>
      </c>
      <c r="Q386">
        <v>540</v>
      </c>
      <c r="R386">
        <v>280</v>
      </c>
      <c r="S386">
        <v>920</v>
      </c>
      <c r="T386">
        <v>48</v>
      </c>
      <c r="U386">
        <v>150</v>
      </c>
      <c r="V386">
        <f>River_data[[#This Row],[Dissolved Oxygen Min]]*River_data[[#This Row],[Dissolved Oxygen Max]]/2</f>
        <v>17.5</v>
      </c>
      <c r="W386">
        <f>River_data[[#This Row],[BOD Min]]*River_data[[#This Row],[BOD Max]]/2</f>
        <v>11.7</v>
      </c>
      <c r="X386">
        <f>AVERAGE(River_data[[#This Row],[pH Max]]-River_data[[#This Row],[pH Min]])</f>
        <v>0.70000000000000018</v>
      </c>
    </row>
    <row r="387" spans="1:24" x14ac:dyDescent="0.3">
      <c r="A387">
        <v>30003</v>
      </c>
      <c r="B387" s="1" t="s">
        <v>399</v>
      </c>
      <c r="C387" s="1" t="s">
        <v>148</v>
      </c>
      <c r="D387">
        <v>20.2</v>
      </c>
      <c r="E387">
        <v>30.9</v>
      </c>
      <c r="F387">
        <v>0.3</v>
      </c>
      <c r="G387">
        <v>6.2</v>
      </c>
      <c r="H387">
        <v>7.6</v>
      </c>
      <c r="I387">
        <v>7.9</v>
      </c>
      <c r="J387">
        <v>380</v>
      </c>
      <c r="K387">
        <v>1030</v>
      </c>
      <c r="L387">
        <v>7.5</v>
      </c>
      <c r="M387">
        <v>13</v>
      </c>
      <c r="N387">
        <v>0.32</v>
      </c>
      <c r="O387">
        <v>1.74</v>
      </c>
      <c r="P387">
        <v>2300</v>
      </c>
      <c r="Q387">
        <v>170000</v>
      </c>
      <c r="R387">
        <v>7900</v>
      </c>
      <c r="S387">
        <v>1300000</v>
      </c>
      <c r="V387">
        <f>River_data[[#This Row],[Dissolved Oxygen Min]]*River_data[[#This Row],[Dissolved Oxygen Max]]/2</f>
        <v>0.92999999999999994</v>
      </c>
      <c r="W387">
        <f>River_data[[#This Row],[BOD Min]]*River_data[[#This Row],[BOD Max]]/2</f>
        <v>48.75</v>
      </c>
      <c r="X387">
        <f>AVERAGE(River_data[[#This Row],[pH Max]]-River_data[[#This Row],[pH Min]])</f>
        <v>0.30000000000000071</v>
      </c>
    </row>
    <row r="388" spans="1:24" x14ac:dyDescent="0.3">
      <c r="A388">
        <v>2730</v>
      </c>
      <c r="B388" s="1" t="s">
        <v>400</v>
      </c>
      <c r="C388" s="1" t="s">
        <v>148</v>
      </c>
      <c r="D388">
        <v>12</v>
      </c>
      <c r="E388">
        <v>31</v>
      </c>
      <c r="F388">
        <v>2.4</v>
      </c>
      <c r="G388">
        <v>7.2</v>
      </c>
      <c r="H388">
        <v>7.2</v>
      </c>
      <c r="I388">
        <v>7.8</v>
      </c>
      <c r="J388">
        <v>221</v>
      </c>
      <c r="K388">
        <v>918</v>
      </c>
      <c r="L388">
        <v>2</v>
      </c>
      <c r="M388">
        <v>12</v>
      </c>
      <c r="N388">
        <v>0.33</v>
      </c>
      <c r="O388">
        <v>0.97</v>
      </c>
      <c r="P388">
        <v>220</v>
      </c>
      <c r="Q388">
        <v>920</v>
      </c>
      <c r="R388">
        <v>350</v>
      </c>
      <c r="S388">
        <v>1600</v>
      </c>
      <c r="T388">
        <v>79</v>
      </c>
      <c r="U388">
        <v>170</v>
      </c>
      <c r="V388">
        <f>River_data[[#This Row],[Dissolved Oxygen Min]]*River_data[[#This Row],[Dissolved Oxygen Max]]/2</f>
        <v>8.64</v>
      </c>
      <c r="W388">
        <f>River_data[[#This Row],[BOD Min]]*River_data[[#This Row],[BOD Max]]/2</f>
        <v>12</v>
      </c>
      <c r="X388">
        <f>AVERAGE(River_data[[#This Row],[pH Max]]-River_data[[#This Row],[pH Min]])</f>
        <v>0.59999999999999964</v>
      </c>
    </row>
    <row r="389" spans="1:24" x14ac:dyDescent="0.3">
      <c r="A389">
        <v>30000</v>
      </c>
      <c r="B389" s="1" t="s">
        <v>401</v>
      </c>
      <c r="C389" s="1" t="s">
        <v>169</v>
      </c>
      <c r="D389">
        <v>21</v>
      </c>
      <c r="E389">
        <v>31.6</v>
      </c>
      <c r="F389">
        <v>6.5</v>
      </c>
      <c r="G389">
        <v>8.3000000000000007</v>
      </c>
      <c r="H389">
        <v>7.5</v>
      </c>
      <c r="I389">
        <v>8</v>
      </c>
      <c r="J389">
        <v>121</v>
      </c>
      <c r="K389">
        <v>745</v>
      </c>
      <c r="L389">
        <v>1</v>
      </c>
      <c r="M389">
        <v>2.4</v>
      </c>
      <c r="N389">
        <v>0.32</v>
      </c>
      <c r="O389">
        <v>0.98</v>
      </c>
      <c r="P389">
        <v>4500</v>
      </c>
      <c r="Q389">
        <v>130000</v>
      </c>
      <c r="R389">
        <v>7800</v>
      </c>
      <c r="S389">
        <v>490000</v>
      </c>
      <c r="V389">
        <f>River_data[[#This Row],[Dissolved Oxygen Min]]*River_data[[#This Row],[Dissolved Oxygen Max]]/2</f>
        <v>26.975000000000001</v>
      </c>
      <c r="W389">
        <f>River_data[[#This Row],[BOD Min]]*River_data[[#This Row],[BOD Max]]/2</f>
        <v>1.2</v>
      </c>
      <c r="X389">
        <f>AVERAGE(River_data[[#This Row],[pH Max]]-River_data[[#This Row],[pH Min]])</f>
        <v>0.5</v>
      </c>
    </row>
    <row r="390" spans="1:24" x14ac:dyDescent="0.3">
      <c r="A390">
        <v>30001</v>
      </c>
      <c r="B390" s="1" t="s">
        <v>402</v>
      </c>
      <c r="C390" s="1" t="s">
        <v>169</v>
      </c>
      <c r="D390">
        <v>20.3</v>
      </c>
      <c r="E390">
        <v>31.2</v>
      </c>
      <c r="F390">
        <v>0.3</v>
      </c>
      <c r="G390">
        <v>8.9</v>
      </c>
      <c r="H390">
        <v>6.2</v>
      </c>
      <c r="I390">
        <v>7.8</v>
      </c>
      <c r="J390">
        <v>217</v>
      </c>
      <c r="K390">
        <v>715</v>
      </c>
      <c r="L390">
        <v>1.4</v>
      </c>
      <c r="M390">
        <v>145</v>
      </c>
      <c r="N390">
        <v>0.32</v>
      </c>
      <c r="O390">
        <v>0.37</v>
      </c>
      <c r="P390">
        <v>200</v>
      </c>
      <c r="Q390">
        <v>1300000</v>
      </c>
      <c r="R390">
        <v>780</v>
      </c>
      <c r="S390">
        <v>9200000</v>
      </c>
      <c r="V390">
        <f>River_data[[#This Row],[Dissolved Oxygen Min]]*River_data[[#This Row],[Dissolved Oxygen Max]]/2</f>
        <v>1.335</v>
      </c>
      <c r="W390">
        <f>River_data[[#This Row],[BOD Min]]*River_data[[#This Row],[BOD Max]]/2</f>
        <v>101.5</v>
      </c>
      <c r="X390">
        <f>AVERAGE(River_data[[#This Row],[pH Max]]-River_data[[#This Row],[pH Min]])</f>
        <v>1.5999999999999996</v>
      </c>
    </row>
    <row r="391" spans="1:24" x14ac:dyDescent="0.3">
      <c r="A391">
        <v>2736</v>
      </c>
      <c r="B391" s="1" t="s">
        <v>403</v>
      </c>
      <c r="C391" s="1" t="s">
        <v>148</v>
      </c>
      <c r="D391">
        <v>12</v>
      </c>
      <c r="E391">
        <v>31</v>
      </c>
      <c r="F391">
        <v>7.2</v>
      </c>
      <c r="G391">
        <v>9.1999999999999993</v>
      </c>
      <c r="H391">
        <v>7.5</v>
      </c>
      <c r="I391">
        <v>7.9</v>
      </c>
      <c r="J391">
        <v>165</v>
      </c>
      <c r="K391">
        <v>220</v>
      </c>
      <c r="L391">
        <v>1.6</v>
      </c>
      <c r="M391">
        <v>2.2000000000000002</v>
      </c>
      <c r="N391">
        <v>0.35</v>
      </c>
      <c r="O391">
        <v>0.49</v>
      </c>
      <c r="P391">
        <v>210</v>
      </c>
      <c r="Q391">
        <v>540</v>
      </c>
      <c r="R391">
        <v>350</v>
      </c>
      <c r="S391">
        <v>920</v>
      </c>
      <c r="T391">
        <v>63</v>
      </c>
      <c r="U391">
        <v>170</v>
      </c>
      <c r="V391">
        <f>River_data[[#This Row],[Dissolved Oxygen Min]]*River_data[[#This Row],[Dissolved Oxygen Max]]/2</f>
        <v>33.119999999999997</v>
      </c>
      <c r="W391">
        <f>River_data[[#This Row],[BOD Min]]*River_data[[#This Row],[BOD Max]]/2</f>
        <v>1.7600000000000002</v>
      </c>
      <c r="X391">
        <f>AVERAGE(River_data[[#This Row],[pH Max]]-River_data[[#This Row],[pH Min]])</f>
        <v>0.40000000000000036</v>
      </c>
    </row>
    <row r="392" spans="1:24" x14ac:dyDescent="0.3">
      <c r="A392">
        <v>2737</v>
      </c>
      <c r="B392" s="1" t="s">
        <v>404</v>
      </c>
      <c r="C392" s="1" t="s">
        <v>148</v>
      </c>
      <c r="D392">
        <v>12</v>
      </c>
      <c r="E392">
        <v>32</v>
      </c>
      <c r="F392">
        <v>6.9</v>
      </c>
      <c r="G392">
        <v>8.6</v>
      </c>
      <c r="H392">
        <v>7.4</v>
      </c>
      <c r="I392">
        <v>7.9</v>
      </c>
      <c r="J392">
        <v>183</v>
      </c>
      <c r="K392">
        <v>336</v>
      </c>
      <c r="L392">
        <v>2.4</v>
      </c>
      <c r="M392">
        <v>3</v>
      </c>
      <c r="N392">
        <v>0.36</v>
      </c>
      <c r="O392">
        <v>0.84</v>
      </c>
      <c r="P392">
        <v>350</v>
      </c>
      <c r="Q392">
        <v>1600</v>
      </c>
      <c r="R392">
        <v>920</v>
      </c>
      <c r="S392">
        <v>1700</v>
      </c>
      <c r="T392">
        <v>94</v>
      </c>
      <c r="U392">
        <v>920</v>
      </c>
      <c r="V392">
        <f>River_data[[#This Row],[Dissolved Oxygen Min]]*River_data[[#This Row],[Dissolved Oxygen Max]]/2</f>
        <v>29.67</v>
      </c>
      <c r="W392">
        <f>River_data[[#This Row],[BOD Min]]*River_data[[#This Row],[BOD Max]]/2</f>
        <v>3.5999999999999996</v>
      </c>
      <c r="X392">
        <f>AVERAGE(River_data[[#This Row],[pH Max]]-River_data[[#This Row],[pH Min]])</f>
        <v>0.5</v>
      </c>
    </row>
    <row r="393" spans="1:24" x14ac:dyDescent="0.3">
      <c r="A393">
        <v>3438</v>
      </c>
      <c r="B393" s="1" t="s">
        <v>405</v>
      </c>
      <c r="C393" s="1" t="s">
        <v>148</v>
      </c>
      <c r="D393">
        <v>13</v>
      </c>
      <c r="E393">
        <v>30</v>
      </c>
      <c r="F393">
        <v>5</v>
      </c>
      <c r="G393">
        <v>7.2</v>
      </c>
      <c r="H393">
        <v>7.1</v>
      </c>
      <c r="I393">
        <v>7.8</v>
      </c>
      <c r="J393">
        <v>322</v>
      </c>
      <c r="K393">
        <v>482</v>
      </c>
      <c r="L393">
        <v>2.4</v>
      </c>
      <c r="M393">
        <v>3</v>
      </c>
      <c r="N393">
        <v>0.34</v>
      </c>
      <c r="O393">
        <v>0.55000000000000004</v>
      </c>
      <c r="P393">
        <v>220</v>
      </c>
      <c r="Q393">
        <v>920</v>
      </c>
      <c r="R393">
        <v>350</v>
      </c>
      <c r="S393">
        <v>1600</v>
      </c>
      <c r="T393">
        <v>79</v>
      </c>
      <c r="U393">
        <v>540</v>
      </c>
      <c r="V393">
        <f>River_data[[#This Row],[Dissolved Oxygen Min]]*River_data[[#This Row],[Dissolved Oxygen Max]]/2</f>
        <v>18</v>
      </c>
      <c r="W393">
        <f>River_data[[#This Row],[BOD Min]]*River_data[[#This Row],[BOD Max]]/2</f>
        <v>3.5999999999999996</v>
      </c>
      <c r="X393">
        <f>AVERAGE(River_data[[#This Row],[pH Max]]-River_data[[#This Row],[pH Min]])</f>
        <v>0.70000000000000018</v>
      </c>
    </row>
    <row r="394" spans="1:24" x14ac:dyDescent="0.3">
      <c r="A394">
        <v>3439</v>
      </c>
      <c r="B394" s="1" t="s">
        <v>406</v>
      </c>
      <c r="C394" s="1" t="s">
        <v>148</v>
      </c>
      <c r="D394">
        <v>12</v>
      </c>
      <c r="E394">
        <v>33</v>
      </c>
      <c r="F394">
        <v>1.6</v>
      </c>
      <c r="G394">
        <v>4.4000000000000004</v>
      </c>
      <c r="H394">
        <v>6.8</v>
      </c>
      <c r="I394">
        <v>7.5</v>
      </c>
      <c r="J394">
        <v>396</v>
      </c>
      <c r="K394">
        <v>625</v>
      </c>
      <c r="L394">
        <v>12</v>
      </c>
      <c r="M394">
        <v>30</v>
      </c>
      <c r="N394">
        <v>0.35</v>
      </c>
      <c r="O394">
        <v>1.47</v>
      </c>
      <c r="P394">
        <v>540</v>
      </c>
      <c r="Q394">
        <v>1600</v>
      </c>
      <c r="R394">
        <v>920</v>
      </c>
      <c r="S394">
        <v>1700</v>
      </c>
      <c r="T394">
        <v>170</v>
      </c>
      <c r="U394">
        <v>540</v>
      </c>
      <c r="V394">
        <f>River_data[[#This Row],[Dissolved Oxygen Min]]*River_data[[#This Row],[Dissolved Oxygen Max]]/2</f>
        <v>3.5200000000000005</v>
      </c>
      <c r="W394">
        <f>River_data[[#This Row],[BOD Min]]*River_data[[#This Row],[BOD Max]]/2</f>
        <v>180</v>
      </c>
      <c r="X394">
        <f>AVERAGE(River_data[[#This Row],[pH Max]]-River_data[[#This Row],[pH Min]])</f>
        <v>0.70000000000000018</v>
      </c>
    </row>
    <row r="395" spans="1:24" x14ac:dyDescent="0.3">
      <c r="A395">
        <v>30077</v>
      </c>
      <c r="B395" s="1" t="s">
        <v>407</v>
      </c>
      <c r="C395" s="1" t="s">
        <v>169</v>
      </c>
      <c r="D395">
        <v>22</v>
      </c>
      <c r="E395">
        <v>30.2</v>
      </c>
      <c r="F395">
        <v>6.5</v>
      </c>
      <c r="G395">
        <v>9.1</v>
      </c>
      <c r="H395">
        <v>7.2</v>
      </c>
      <c r="I395">
        <v>7.9</v>
      </c>
      <c r="J395">
        <v>221</v>
      </c>
      <c r="K395">
        <v>730</v>
      </c>
      <c r="L395">
        <v>1</v>
      </c>
      <c r="M395">
        <v>3.4</v>
      </c>
      <c r="N395">
        <v>0.32</v>
      </c>
      <c r="O395">
        <v>0.36</v>
      </c>
      <c r="P395">
        <v>2</v>
      </c>
      <c r="Q395">
        <v>49000</v>
      </c>
      <c r="R395">
        <v>2</v>
      </c>
      <c r="S395">
        <v>330000</v>
      </c>
      <c r="T395">
        <v>2</v>
      </c>
      <c r="U395">
        <v>2</v>
      </c>
      <c r="V395">
        <f>River_data[[#This Row],[Dissolved Oxygen Min]]*River_data[[#This Row],[Dissolved Oxygen Max]]/2</f>
        <v>29.574999999999999</v>
      </c>
      <c r="W395">
        <f>River_data[[#This Row],[BOD Min]]*River_data[[#This Row],[BOD Max]]/2</f>
        <v>1.7</v>
      </c>
      <c r="X395">
        <f>AVERAGE(River_data[[#This Row],[pH Max]]-River_data[[#This Row],[pH Min]])</f>
        <v>0.70000000000000018</v>
      </c>
    </row>
    <row r="396" spans="1:24" x14ac:dyDescent="0.3">
      <c r="A396">
        <v>30078</v>
      </c>
      <c r="B396" s="1" t="s">
        <v>408</v>
      </c>
      <c r="C396" s="1" t="s">
        <v>148</v>
      </c>
      <c r="D396">
        <v>21.5</v>
      </c>
      <c r="E396">
        <v>28.8</v>
      </c>
      <c r="F396">
        <v>7.4</v>
      </c>
      <c r="G396">
        <v>9.5</v>
      </c>
      <c r="H396">
        <v>7.1</v>
      </c>
      <c r="I396">
        <v>7.8</v>
      </c>
      <c r="J396">
        <v>176</v>
      </c>
      <c r="K396">
        <v>584</v>
      </c>
      <c r="L396">
        <v>1.2</v>
      </c>
      <c r="M396">
        <v>9.5</v>
      </c>
      <c r="N396">
        <v>0.32</v>
      </c>
      <c r="O396">
        <v>10.14</v>
      </c>
      <c r="P396">
        <v>2</v>
      </c>
      <c r="Q396">
        <v>790000</v>
      </c>
      <c r="R396">
        <v>4500</v>
      </c>
      <c r="S396">
        <v>3500000</v>
      </c>
      <c r="V396">
        <f>River_data[[#This Row],[Dissolved Oxygen Min]]*River_data[[#This Row],[Dissolved Oxygen Max]]/2</f>
        <v>35.15</v>
      </c>
      <c r="W396">
        <f>River_data[[#This Row],[BOD Min]]*River_data[[#This Row],[BOD Max]]/2</f>
        <v>5.7</v>
      </c>
      <c r="X396">
        <f>AVERAGE(River_data[[#This Row],[pH Max]]-River_data[[#This Row],[pH Min]])</f>
        <v>0.70000000000000018</v>
      </c>
    </row>
    <row r="397" spans="1:24" x14ac:dyDescent="0.3">
      <c r="A397">
        <v>30077</v>
      </c>
      <c r="B397" s="1" t="s">
        <v>407</v>
      </c>
      <c r="C397" s="1" t="s">
        <v>169</v>
      </c>
      <c r="D397">
        <v>22</v>
      </c>
      <c r="E397">
        <v>30.2</v>
      </c>
      <c r="F397">
        <v>6.5</v>
      </c>
      <c r="G397">
        <v>9.1</v>
      </c>
      <c r="H397">
        <v>7.2</v>
      </c>
      <c r="I397">
        <v>7.9</v>
      </c>
      <c r="J397">
        <v>221</v>
      </c>
      <c r="K397">
        <v>730</v>
      </c>
      <c r="L397">
        <v>1</v>
      </c>
      <c r="M397">
        <v>3.4</v>
      </c>
      <c r="N397">
        <v>0.32</v>
      </c>
      <c r="O397">
        <v>0.36</v>
      </c>
      <c r="P397">
        <v>2</v>
      </c>
      <c r="Q397">
        <v>49000</v>
      </c>
      <c r="R397">
        <v>2</v>
      </c>
      <c r="S397">
        <v>330000</v>
      </c>
      <c r="T397">
        <v>2</v>
      </c>
      <c r="U397">
        <v>2</v>
      </c>
      <c r="V397">
        <f>River_data[[#This Row],[Dissolved Oxygen Min]]*River_data[[#This Row],[Dissolved Oxygen Max]]/2</f>
        <v>29.574999999999999</v>
      </c>
      <c r="W397">
        <f>River_data[[#This Row],[BOD Min]]*River_data[[#This Row],[BOD Max]]/2</f>
        <v>1.7</v>
      </c>
      <c r="X397">
        <f>AVERAGE(River_data[[#This Row],[pH Max]]-River_data[[#This Row],[pH Min]])</f>
        <v>0.70000000000000018</v>
      </c>
    </row>
    <row r="398" spans="1:24" x14ac:dyDescent="0.3">
      <c r="A398">
        <v>1064</v>
      </c>
      <c r="B398" s="1" t="s">
        <v>409</v>
      </c>
      <c r="C398" s="1" t="s">
        <v>169</v>
      </c>
      <c r="D398">
        <v>14</v>
      </c>
      <c r="E398">
        <v>30</v>
      </c>
      <c r="F398">
        <v>5.9</v>
      </c>
      <c r="G398">
        <v>11.2</v>
      </c>
      <c r="H398">
        <v>8</v>
      </c>
      <c r="I398">
        <v>8.5</v>
      </c>
      <c r="J398">
        <v>256</v>
      </c>
      <c r="K398">
        <v>589</v>
      </c>
      <c r="L398">
        <v>3.8</v>
      </c>
      <c r="M398">
        <v>5.6</v>
      </c>
      <c r="N398">
        <v>0</v>
      </c>
      <c r="O398">
        <v>0</v>
      </c>
      <c r="P398">
        <v>4300</v>
      </c>
      <c r="Q398">
        <v>6300</v>
      </c>
      <c r="R398">
        <v>7500</v>
      </c>
      <c r="S398">
        <v>13000</v>
      </c>
      <c r="T398">
        <v>2</v>
      </c>
      <c r="U398">
        <v>2</v>
      </c>
      <c r="V398">
        <f>River_data[[#This Row],[Dissolved Oxygen Min]]*River_data[[#This Row],[Dissolved Oxygen Max]]/2</f>
        <v>33.04</v>
      </c>
      <c r="W398">
        <f>River_data[[#This Row],[BOD Min]]*River_data[[#This Row],[BOD Max]]/2</f>
        <v>10.639999999999999</v>
      </c>
      <c r="X398">
        <f>AVERAGE(River_data[[#This Row],[pH Max]]-River_data[[#This Row],[pH Min]])</f>
        <v>0.5</v>
      </c>
    </row>
    <row r="399" spans="1:24" x14ac:dyDescent="0.3">
      <c r="A399">
        <v>1065</v>
      </c>
      <c r="B399" s="1" t="s">
        <v>410</v>
      </c>
      <c r="C399" s="1" t="s">
        <v>169</v>
      </c>
      <c r="D399">
        <v>14</v>
      </c>
      <c r="E399">
        <v>30</v>
      </c>
      <c r="F399">
        <v>5.4</v>
      </c>
      <c r="G399">
        <v>8.6999999999999993</v>
      </c>
      <c r="H399">
        <v>7.4</v>
      </c>
      <c r="I399">
        <v>8.1999999999999993</v>
      </c>
      <c r="J399">
        <v>240</v>
      </c>
      <c r="K399">
        <v>496</v>
      </c>
      <c r="L399">
        <v>5</v>
      </c>
      <c r="M399">
        <v>6.4</v>
      </c>
      <c r="N399">
        <v>0</v>
      </c>
      <c r="O399">
        <v>0</v>
      </c>
      <c r="P399">
        <v>4600</v>
      </c>
      <c r="Q399">
        <v>9800</v>
      </c>
      <c r="R399">
        <v>8900</v>
      </c>
      <c r="S399">
        <v>17000</v>
      </c>
      <c r="T399">
        <v>2</v>
      </c>
      <c r="U399">
        <v>2</v>
      </c>
      <c r="V399">
        <f>River_data[[#This Row],[Dissolved Oxygen Min]]*River_data[[#This Row],[Dissolved Oxygen Max]]/2</f>
        <v>23.49</v>
      </c>
      <c r="W399">
        <f>River_data[[#This Row],[BOD Min]]*River_data[[#This Row],[BOD Max]]/2</f>
        <v>16</v>
      </c>
      <c r="X399">
        <f>AVERAGE(River_data[[#This Row],[pH Max]]-River_data[[#This Row],[pH Min]])</f>
        <v>0.79999999999999893</v>
      </c>
    </row>
    <row r="400" spans="1:24" x14ac:dyDescent="0.3">
      <c r="A400">
        <v>1480</v>
      </c>
      <c r="B400" s="1" t="s">
        <v>411</v>
      </c>
      <c r="C400" s="1" t="s">
        <v>169</v>
      </c>
      <c r="D400">
        <v>19</v>
      </c>
      <c r="E400">
        <v>31</v>
      </c>
      <c r="F400">
        <v>0.3</v>
      </c>
      <c r="G400">
        <v>0.3</v>
      </c>
      <c r="H400">
        <v>7.6</v>
      </c>
      <c r="I400">
        <v>7.9</v>
      </c>
      <c r="J400">
        <v>403</v>
      </c>
      <c r="K400">
        <v>558</v>
      </c>
      <c r="L400">
        <v>46</v>
      </c>
      <c r="M400">
        <v>62</v>
      </c>
      <c r="N400">
        <v>0</v>
      </c>
      <c r="O400">
        <v>0</v>
      </c>
      <c r="P400">
        <v>2200000</v>
      </c>
      <c r="Q400">
        <v>4100000</v>
      </c>
      <c r="R400">
        <v>3200000</v>
      </c>
      <c r="S400">
        <v>5800000</v>
      </c>
      <c r="V400">
        <f>River_data[[#This Row],[Dissolved Oxygen Min]]*River_data[[#This Row],[Dissolved Oxygen Max]]/2</f>
        <v>4.4999999999999998E-2</v>
      </c>
      <c r="W400">
        <f>River_data[[#This Row],[BOD Min]]*River_data[[#This Row],[BOD Max]]/2</f>
        <v>1426</v>
      </c>
      <c r="X400">
        <f>AVERAGE(River_data[[#This Row],[pH Max]]-River_data[[#This Row],[pH Min]])</f>
        <v>0.30000000000000071</v>
      </c>
    </row>
    <row r="401" spans="1:24" x14ac:dyDescent="0.3">
      <c r="A401">
        <v>2497</v>
      </c>
      <c r="B401" s="1" t="s">
        <v>412</v>
      </c>
      <c r="C401" s="1" t="s">
        <v>169</v>
      </c>
      <c r="D401">
        <v>14</v>
      </c>
      <c r="E401">
        <v>21</v>
      </c>
      <c r="F401">
        <v>0.3</v>
      </c>
      <c r="G401">
        <v>0.3</v>
      </c>
      <c r="H401">
        <v>7.5</v>
      </c>
      <c r="I401">
        <v>7.7</v>
      </c>
      <c r="J401">
        <v>480</v>
      </c>
      <c r="K401">
        <v>940</v>
      </c>
      <c r="L401">
        <v>32</v>
      </c>
      <c r="M401">
        <v>56</v>
      </c>
      <c r="N401">
        <v>22</v>
      </c>
      <c r="O401">
        <v>32</v>
      </c>
      <c r="P401">
        <v>63000</v>
      </c>
      <c r="Q401">
        <v>130000</v>
      </c>
      <c r="R401">
        <v>94000</v>
      </c>
      <c r="S401">
        <v>170000</v>
      </c>
      <c r="V401">
        <f>River_data[[#This Row],[Dissolved Oxygen Min]]*River_data[[#This Row],[Dissolved Oxygen Max]]/2</f>
        <v>4.4999999999999998E-2</v>
      </c>
      <c r="W401">
        <f>River_data[[#This Row],[BOD Min]]*River_data[[#This Row],[BOD Max]]/2</f>
        <v>896</v>
      </c>
      <c r="X401">
        <f>AVERAGE(River_data[[#This Row],[pH Max]]-River_data[[#This Row],[pH Min]])</f>
        <v>0.20000000000000018</v>
      </c>
    </row>
    <row r="402" spans="1:24" x14ac:dyDescent="0.3">
      <c r="A402">
        <v>2482</v>
      </c>
      <c r="B402" s="1" t="s">
        <v>413</v>
      </c>
      <c r="C402" s="1" t="s">
        <v>169</v>
      </c>
      <c r="D402">
        <v>23.5</v>
      </c>
      <c r="E402">
        <v>29</v>
      </c>
      <c r="F402">
        <v>7.1</v>
      </c>
      <c r="G402">
        <v>8.1999999999999993</v>
      </c>
      <c r="H402">
        <v>8</v>
      </c>
      <c r="I402">
        <v>8.4</v>
      </c>
      <c r="J402">
        <v>312</v>
      </c>
      <c r="K402">
        <v>480</v>
      </c>
      <c r="L402">
        <v>2.8</v>
      </c>
      <c r="M402">
        <v>3.8</v>
      </c>
      <c r="N402">
        <v>0.6</v>
      </c>
      <c r="O402">
        <v>0.96</v>
      </c>
      <c r="P402">
        <v>1100</v>
      </c>
      <c r="Q402">
        <v>2300</v>
      </c>
      <c r="R402">
        <v>1700</v>
      </c>
      <c r="S402">
        <v>3300</v>
      </c>
      <c r="T402">
        <v>380</v>
      </c>
      <c r="U402">
        <v>840</v>
      </c>
      <c r="V402">
        <f>River_data[[#This Row],[Dissolved Oxygen Min]]*River_data[[#This Row],[Dissolved Oxygen Max]]/2</f>
        <v>29.109999999999996</v>
      </c>
      <c r="W402">
        <f>River_data[[#This Row],[BOD Min]]*River_data[[#This Row],[BOD Max]]/2</f>
        <v>5.3199999999999994</v>
      </c>
      <c r="X402">
        <f>AVERAGE(River_data[[#This Row],[pH Max]]-River_data[[#This Row],[pH Min]])</f>
        <v>0.40000000000000036</v>
      </c>
    </row>
    <row r="403" spans="1:24" x14ac:dyDescent="0.3">
      <c r="A403">
        <v>2483</v>
      </c>
      <c r="B403" s="1" t="s">
        <v>414</v>
      </c>
      <c r="C403" s="1" t="s">
        <v>169</v>
      </c>
      <c r="D403">
        <v>23.5</v>
      </c>
      <c r="E403">
        <v>29.5</v>
      </c>
      <c r="F403">
        <v>3</v>
      </c>
      <c r="G403">
        <v>4.8</v>
      </c>
      <c r="H403">
        <v>7.2</v>
      </c>
      <c r="I403">
        <v>7.6</v>
      </c>
      <c r="J403">
        <v>524</v>
      </c>
      <c r="K403">
        <v>664</v>
      </c>
      <c r="L403">
        <v>8.6</v>
      </c>
      <c r="M403">
        <v>12.8</v>
      </c>
      <c r="N403">
        <v>1.72</v>
      </c>
      <c r="O403">
        <v>260</v>
      </c>
      <c r="P403">
        <v>17000</v>
      </c>
      <c r="Q403">
        <v>22000</v>
      </c>
      <c r="R403">
        <v>27000</v>
      </c>
      <c r="S403">
        <v>33000</v>
      </c>
      <c r="T403">
        <v>7900</v>
      </c>
      <c r="U403">
        <v>17000</v>
      </c>
      <c r="V403">
        <f>River_data[[#This Row],[Dissolved Oxygen Min]]*River_data[[#This Row],[Dissolved Oxygen Max]]/2</f>
        <v>7.1999999999999993</v>
      </c>
      <c r="W403">
        <f>River_data[[#This Row],[BOD Min]]*River_data[[#This Row],[BOD Max]]/2</f>
        <v>55.04</v>
      </c>
      <c r="X403">
        <f>AVERAGE(River_data[[#This Row],[pH Max]]-River_data[[#This Row],[pH Min]])</f>
        <v>0.39999999999999947</v>
      </c>
    </row>
    <row r="404" spans="1:24" x14ac:dyDescent="0.3">
      <c r="A404">
        <v>2502</v>
      </c>
      <c r="B404" s="1" t="s">
        <v>415</v>
      </c>
      <c r="C404" s="1" t="s">
        <v>169</v>
      </c>
      <c r="D404">
        <v>18</v>
      </c>
      <c r="E404">
        <v>26.7</v>
      </c>
      <c r="F404">
        <v>5.5</v>
      </c>
      <c r="G404">
        <v>7.3</v>
      </c>
      <c r="H404">
        <v>7.5</v>
      </c>
      <c r="I404">
        <v>7.8</v>
      </c>
      <c r="J404">
        <v>140</v>
      </c>
      <c r="K404">
        <v>170</v>
      </c>
      <c r="L404">
        <v>1.8</v>
      </c>
      <c r="M404">
        <v>2.8</v>
      </c>
      <c r="N404">
        <v>0</v>
      </c>
      <c r="O404">
        <v>0</v>
      </c>
      <c r="P404">
        <v>700</v>
      </c>
      <c r="Q404">
        <v>1100</v>
      </c>
      <c r="R404">
        <v>1000</v>
      </c>
      <c r="S404">
        <v>1700</v>
      </c>
      <c r="V404">
        <f>River_data[[#This Row],[Dissolved Oxygen Min]]*River_data[[#This Row],[Dissolved Oxygen Max]]/2</f>
        <v>20.074999999999999</v>
      </c>
      <c r="W404">
        <f>River_data[[#This Row],[BOD Min]]*River_data[[#This Row],[BOD Max]]/2</f>
        <v>2.52</v>
      </c>
      <c r="X404">
        <f>AVERAGE(River_data[[#This Row],[pH Max]]-River_data[[#This Row],[pH Min]])</f>
        <v>0.29999999999999982</v>
      </c>
    </row>
    <row r="405" spans="1:24" x14ac:dyDescent="0.3">
      <c r="A405">
        <v>1361</v>
      </c>
      <c r="B405" s="1" t="s">
        <v>416</v>
      </c>
      <c r="C405" s="1" t="s">
        <v>169</v>
      </c>
      <c r="D405">
        <v>18</v>
      </c>
      <c r="E405">
        <v>32</v>
      </c>
      <c r="F405">
        <v>3.5</v>
      </c>
      <c r="G405">
        <v>8</v>
      </c>
      <c r="H405">
        <v>7.7</v>
      </c>
      <c r="I405">
        <v>8.1999999999999993</v>
      </c>
      <c r="J405">
        <v>324</v>
      </c>
      <c r="K405">
        <v>531</v>
      </c>
      <c r="L405">
        <v>3</v>
      </c>
      <c r="M405">
        <v>4.3</v>
      </c>
      <c r="N405">
        <v>0.3</v>
      </c>
      <c r="O405">
        <v>1.38</v>
      </c>
      <c r="P405">
        <v>2300</v>
      </c>
      <c r="Q405">
        <v>4900</v>
      </c>
      <c r="R405">
        <v>4700</v>
      </c>
      <c r="S405">
        <v>7900</v>
      </c>
      <c r="V405">
        <f>River_data[[#This Row],[Dissolved Oxygen Min]]*River_data[[#This Row],[Dissolved Oxygen Max]]/2</f>
        <v>14</v>
      </c>
      <c r="W405">
        <f>River_data[[#This Row],[BOD Min]]*River_data[[#This Row],[BOD Max]]/2</f>
        <v>6.4499999999999993</v>
      </c>
      <c r="X405">
        <f>AVERAGE(River_data[[#This Row],[pH Max]]-River_data[[#This Row],[pH Min]])</f>
        <v>0.49999999999999911</v>
      </c>
    </row>
    <row r="406" spans="1:24" x14ac:dyDescent="0.3">
      <c r="A406">
        <v>2484</v>
      </c>
      <c r="B406" s="1" t="s">
        <v>417</v>
      </c>
      <c r="C406" s="1" t="s">
        <v>169</v>
      </c>
      <c r="D406">
        <v>24</v>
      </c>
      <c r="E406">
        <v>29.5</v>
      </c>
      <c r="F406">
        <v>7.3</v>
      </c>
      <c r="G406">
        <v>8.6</v>
      </c>
      <c r="H406">
        <v>8.1</v>
      </c>
      <c r="I406">
        <v>8.4</v>
      </c>
      <c r="J406">
        <v>316</v>
      </c>
      <c r="K406">
        <v>446</v>
      </c>
      <c r="L406">
        <v>2.4</v>
      </c>
      <c r="M406">
        <v>3.4</v>
      </c>
      <c r="N406">
        <v>0.55000000000000004</v>
      </c>
      <c r="O406">
        <v>0.92</v>
      </c>
      <c r="P406">
        <v>2100</v>
      </c>
      <c r="Q406">
        <v>5800</v>
      </c>
      <c r="R406">
        <v>4600</v>
      </c>
      <c r="S406">
        <v>8400</v>
      </c>
      <c r="T406">
        <v>1300</v>
      </c>
      <c r="U406">
        <v>3100</v>
      </c>
      <c r="V406">
        <f>River_data[[#This Row],[Dissolved Oxygen Min]]*River_data[[#This Row],[Dissolved Oxygen Max]]/2</f>
        <v>31.389999999999997</v>
      </c>
      <c r="W406">
        <f>River_data[[#This Row],[BOD Min]]*River_data[[#This Row],[BOD Max]]/2</f>
        <v>4.08</v>
      </c>
      <c r="X406">
        <f>AVERAGE(River_data[[#This Row],[pH Max]]-River_data[[#This Row],[pH Min]])</f>
        <v>0.30000000000000071</v>
      </c>
    </row>
    <row r="407" spans="1:24" x14ac:dyDescent="0.3">
      <c r="A407">
        <v>1072</v>
      </c>
      <c r="B407" s="1" t="s">
        <v>418</v>
      </c>
      <c r="C407" s="1" t="s">
        <v>169</v>
      </c>
      <c r="D407">
        <v>24</v>
      </c>
      <c r="E407">
        <v>29</v>
      </c>
      <c r="F407">
        <v>7.2</v>
      </c>
      <c r="G407">
        <v>8.6</v>
      </c>
      <c r="H407">
        <v>7.9</v>
      </c>
      <c r="I407">
        <v>8.4</v>
      </c>
      <c r="J407">
        <v>318</v>
      </c>
      <c r="K407">
        <v>484</v>
      </c>
      <c r="L407">
        <v>3</v>
      </c>
      <c r="M407">
        <v>4</v>
      </c>
      <c r="N407">
        <v>0.56000000000000005</v>
      </c>
      <c r="O407">
        <v>1.34</v>
      </c>
      <c r="P407">
        <v>3100</v>
      </c>
      <c r="Q407">
        <v>9300</v>
      </c>
      <c r="R407">
        <v>7000</v>
      </c>
      <c r="S407">
        <v>13000</v>
      </c>
      <c r="T407">
        <v>2000</v>
      </c>
      <c r="U407">
        <v>4600</v>
      </c>
      <c r="V407">
        <f>River_data[[#This Row],[Dissolved Oxygen Min]]*River_data[[#This Row],[Dissolved Oxygen Max]]/2</f>
        <v>30.96</v>
      </c>
      <c r="W407">
        <f>River_data[[#This Row],[BOD Min]]*River_data[[#This Row],[BOD Max]]/2</f>
        <v>6</v>
      </c>
      <c r="X407">
        <f>AVERAGE(River_data[[#This Row],[pH Max]]-River_data[[#This Row],[pH Min]])</f>
        <v>0.5</v>
      </c>
    </row>
    <row r="408" spans="1:24" x14ac:dyDescent="0.3">
      <c r="A408">
        <v>1353</v>
      </c>
      <c r="B408" s="1" t="s">
        <v>419</v>
      </c>
      <c r="C408" s="1" t="s">
        <v>169</v>
      </c>
      <c r="D408">
        <v>24</v>
      </c>
      <c r="E408">
        <v>29.5</v>
      </c>
      <c r="F408">
        <v>7</v>
      </c>
      <c r="G408">
        <v>8</v>
      </c>
      <c r="H408">
        <v>7.8</v>
      </c>
      <c r="I408">
        <v>8.5</v>
      </c>
      <c r="J408">
        <v>322</v>
      </c>
      <c r="K408">
        <v>490</v>
      </c>
      <c r="L408">
        <v>3.2</v>
      </c>
      <c r="M408">
        <v>4.3</v>
      </c>
      <c r="N408">
        <v>0.6</v>
      </c>
      <c r="O408">
        <v>1.42</v>
      </c>
      <c r="P408">
        <v>3300</v>
      </c>
      <c r="Q408">
        <v>14000</v>
      </c>
      <c r="R408">
        <v>8400</v>
      </c>
      <c r="S408">
        <v>21000</v>
      </c>
      <c r="T408">
        <v>2400</v>
      </c>
      <c r="U408">
        <v>8400</v>
      </c>
      <c r="V408">
        <f>River_data[[#This Row],[Dissolved Oxygen Min]]*River_data[[#This Row],[Dissolved Oxygen Max]]/2</f>
        <v>28</v>
      </c>
      <c r="W408">
        <f>River_data[[#This Row],[BOD Min]]*River_data[[#This Row],[BOD Max]]/2</f>
        <v>6.88</v>
      </c>
      <c r="X408">
        <f>AVERAGE(River_data[[#This Row],[pH Max]]-River_data[[#This Row],[pH Min]])</f>
        <v>0.70000000000000018</v>
      </c>
    </row>
    <row r="409" spans="1:24" x14ac:dyDescent="0.3">
      <c r="A409">
        <v>10095</v>
      </c>
      <c r="B409" s="1" t="s">
        <v>420</v>
      </c>
      <c r="C409" s="1" t="s">
        <v>169</v>
      </c>
      <c r="D409">
        <v>23</v>
      </c>
      <c r="E409">
        <v>28</v>
      </c>
      <c r="F409">
        <v>5.7</v>
      </c>
      <c r="G409">
        <v>7</v>
      </c>
      <c r="H409">
        <v>7.9</v>
      </c>
      <c r="I409">
        <v>8.1999999999999993</v>
      </c>
      <c r="J409">
        <v>345</v>
      </c>
      <c r="K409">
        <v>518</v>
      </c>
      <c r="L409">
        <v>4</v>
      </c>
      <c r="M409">
        <v>4.9000000000000004</v>
      </c>
      <c r="N409">
        <v>0</v>
      </c>
      <c r="O409">
        <v>0.92</v>
      </c>
      <c r="P409">
        <v>2700</v>
      </c>
      <c r="Q409">
        <v>4900</v>
      </c>
      <c r="R409">
        <v>4700</v>
      </c>
      <c r="S409">
        <v>12000</v>
      </c>
      <c r="V409">
        <f>River_data[[#This Row],[Dissolved Oxygen Min]]*River_data[[#This Row],[Dissolved Oxygen Max]]/2</f>
        <v>19.95</v>
      </c>
      <c r="W409">
        <f>River_data[[#This Row],[BOD Min]]*River_data[[#This Row],[BOD Max]]/2</f>
        <v>9.8000000000000007</v>
      </c>
      <c r="X409">
        <f>AVERAGE(River_data[[#This Row],[pH Max]]-River_data[[#This Row],[pH Min]])</f>
        <v>0.29999999999999893</v>
      </c>
    </row>
    <row r="410" spans="1:24" x14ac:dyDescent="0.3">
      <c r="A410">
        <v>10096</v>
      </c>
      <c r="B410" s="1" t="s">
        <v>421</v>
      </c>
      <c r="C410" s="1" t="s">
        <v>169</v>
      </c>
      <c r="D410">
        <v>23</v>
      </c>
      <c r="E410">
        <v>28</v>
      </c>
      <c r="F410">
        <v>5.3</v>
      </c>
      <c r="G410">
        <v>7.3</v>
      </c>
      <c r="H410">
        <v>8</v>
      </c>
      <c r="I410">
        <v>8.1999999999999993</v>
      </c>
      <c r="J410">
        <v>341</v>
      </c>
      <c r="K410">
        <v>530</v>
      </c>
      <c r="L410">
        <v>4.2</v>
      </c>
      <c r="M410">
        <v>5.8</v>
      </c>
      <c r="N410">
        <v>0.82</v>
      </c>
      <c r="O410">
        <v>0.94</v>
      </c>
      <c r="P410">
        <v>2600</v>
      </c>
      <c r="Q410">
        <v>7000</v>
      </c>
      <c r="R410">
        <v>4900</v>
      </c>
      <c r="S410">
        <v>17000</v>
      </c>
      <c r="T410">
        <v>2</v>
      </c>
      <c r="U410">
        <v>2</v>
      </c>
      <c r="V410">
        <f>River_data[[#This Row],[Dissolved Oxygen Min]]*River_data[[#This Row],[Dissolved Oxygen Max]]/2</f>
        <v>19.344999999999999</v>
      </c>
      <c r="W410">
        <f>River_data[[#This Row],[BOD Min]]*River_data[[#This Row],[BOD Max]]/2</f>
        <v>12.18</v>
      </c>
      <c r="X410">
        <f>AVERAGE(River_data[[#This Row],[pH Max]]-River_data[[#This Row],[pH Min]])</f>
        <v>0.19999999999999929</v>
      </c>
    </row>
    <row r="411" spans="1:24" x14ac:dyDescent="0.3">
      <c r="A411">
        <v>10097</v>
      </c>
      <c r="B411" s="1" t="s">
        <v>422</v>
      </c>
      <c r="C411" s="1" t="s">
        <v>169</v>
      </c>
      <c r="D411">
        <v>24</v>
      </c>
      <c r="E411">
        <v>29.5</v>
      </c>
      <c r="F411">
        <v>7.4</v>
      </c>
      <c r="G411">
        <v>8.6</v>
      </c>
      <c r="H411">
        <v>8</v>
      </c>
      <c r="I411">
        <v>8.4</v>
      </c>
      <c r="J411">
        <v>315</v>
      </c>
      <c r="K411">
        <v>478</v>
      </c>
      <c r="L411">
        <v>2.4</v>
      </c>
      <c r="M411">
        <v>3.3</v>
      </c>
      <c r="N411">
        <v>0.52</v>
      </c>
      <c r="O411">
        <v>1.2</v>
      </c>
      <c r="P411">
        <v>700</v>
      </c>
      <c r="Q411">
        <v>1700</v>
      </c>
      <c r="R411">
        <v>1100</v>
      </c>
      <c r="S411">
        <v>2400</v>
      </c>
      <c r="T411">
        <v>430</v>
      </c>
      <c r="U411">
        <v>700</v>
      </c>
      <c r="V411">
        <f>River_data[[#This Row],[Dissolved Oxygen Min]]*River_data[[#This Row],[Dissolved Oxygen Max]]/2</f>
        <v>31.82</v>
      </c>
      <c r="W411">
        <f>River_data[[#This Row],[BOD Min]]*River_data[[#This Row],[BOD Max]]/2</f>
        <v>3.9599999999999995</v>
      </c>
      <c r="X411">
        <f>AVERAGE(River_data[[#This Row],[pH Max]]-River_data[[#This Row],[pH Min]])</f>
        <v>0.40000000000000036</v>
      </c>
    </row>
    <row r="412" spans="1:24" x14ac:dyDescent="0.3">
      <c r="A412">
        <v>1363</v>
      </c>
      <c r="B412" s="1" t="s">
        <v>423</v>
      </c>
      <c r="C412" s="1" t="s">
        <v>169</v>
      </c>
      <c r="D412">
        <v>16</v>
      </c>
      <c r="E412">
        <v>24</v>
      </c>
      <c r="F412">
        <v>7.8</v>
      </c>
      <c r="G412">
        <v>8.4</v>
      </c>
      <c r="H412">
        <v>7.9</v>
      </c>
      <c r="I412">
        <v>8.1999999999999993</v>
      </c>
      <c r="J412">
        <v>270</v>
      </c>
      <c r="K412">
        <v>2920</v>
      </c>
      <c r="L412">
        <v>2.6</v>
      </c>
      <c r="M412">
        <v>8.4</v>
      </c>
      <c r="N412">
        <v>0</v>
      </c>
      <c r="O412">
        <v>0</v>
      </c>
      <c r="P412">
        <v>8000</v>
      </c>
      <c r="Q412">
        <v>16000</v>
      </c>
      <c r="R412">
        <v>18000</v>
      </c>
      <c r="S412">
        <v>30000</v>
      </c>
      <c r="V412">
        <f>River_data[[#This Row],[Dissolved Oxygen Min]]*River_data[[#This Row],[Dissolved Oxygen Max]]/2</f>
        <v>32.76</v>
      </c>
      <c r="W412">
        <f>River_data[[#This Row],[BOD Min]]*River_data[[#This Row],[BOD Max]]/2</f>
        <v>10.920000000000002</v>
      </c>
      <c r="X412">
        <f>AVERAGE(River_data[[#This Row],[pH Max]]-River_data[[#This Row],[pH Min]])</f>
        <v>0.29999999999999893</v>
      </c>
    </row>
    <row r="413" spans="1:24" x14ac:dyDescent="0.3">
      <c r="A413">
        <v>4517</v>
      </c>
      <c r="B413" s="1" t="s">
        <v>424</v>
      </c>
      <c r="C413" s="1" t="s">
        <v>169</v>
      </c>
      <c r="D413">
        <v>16</v>
      </c>
      <c r="E413">
        <v>26</v>
      </c>
      <c r="F413">
        <v>7.4</v>
      </c>
      <c r="G413">
        <v>8</v>
      </c>
      <c r="H413">
        <v>7.7</v>
      </c>
      <c r="I413">
        <v>8</v>
      </c>
      <c r="J413">
        <v>360</v>
      </c>
      <c r="K413">
        <v>3960</v>
      </c>
      <c r="L413">
        <v>4.2</v>
      </c>
      <c r="M413">
        <v>7.7</v>
      </c>
      <c r="N413">
        <v>0</v>
      </c>
      <c r="O413">
        <v>0</v>
      </c>
      <c r="P413">
        <v>12000</v>
      </c>
      <c r="Q413">
        <v>28000</v>
      </c>
      <c r="R413">
        <v>28000</v>
      </c>
      <c r="S413">
        <v>44000</v>
      </c>
      <c r="V413">
        <f>River_data[[#This Row],[Dissolved Oxygen Min]]*River_data[[#This Row],[Dissolved Oxygen Max]]/2</f>
        <v>29.6</v>
      </c>
      <c r="W413">
        <f>River_data[[#This Row],[BOD Min]]*River_data[[#This Row],[BOD Max]]/2</f>
        <v>16.170000000000002</v>
      </c>
      <c r="X413">
        <f>AVERAGE(River_data[[#This Row],[pH Max]]-River_data[[#This Row],[pH Min]])</f>
        <v>0.29999999999999982</v>
      </c>
    </row>
    <row r="414" spans="1:24" x14ac:dyDescent="0.3">
      <c r="A414">
        <v>1076</v>
      </c>
      <c r="B414" s="1" t="s">
        <v>425</v>
      </c>
      <c r="C414" s="1" t="s">
        <v>207</v>
      </c>
      <c r="D414">
        <v>19</v>
      </c>
      <c r="E414">
        <v>33</v>
      </c>
      <c r="F414">
        <v>6</v>
      </c>
      <c r="G414">
        <v>9.6999999999999993</v>
      </c>
      <c r="H414">
        <v>7</v>
      </c>
      <c r="I414">
        <v>8.1999999999999993</v>
      </c>
      <c r="J414">
        <v>159</v>
      </c>
      <c r="K414">
        <v>361</v>
      </c>
      <c r="L414">
        <v>1</v>
      </c>
      <c r="M414">
        <v>2.9</v>
      </c>
      <c r="N414">
        <v>0.12</v>
      </c>
      <c r="O414">
        <v>0.3</v>
      </c>
      <c r="P414">
        <v>1100</v>
      </c>
      <c r="Q414">
        <v>92000</v>
      </c>
      <c r="R414">
        <v>2300</v>
      </c>
      <c r="S414">
        <v>160000</v>
      </c>
      <c r="V414">
        <f>River_data[[#This Row],[Dissolved Oxygen Min]]*River_data[[#This Row],[Dissolved Oxygen Max]]/2</f>
        <v>29.099999999999998</v>
      </c>
      <c r="W414">
        <f>River_data[[#This Row],[BOD Min]]*River_data[[#This Row],[BOD Max]]/2</f>
        <v>1.45</v>
      </c>
      <c r="X414">
        <f>AVERAGE(River_data[[#This Row],[pH Max]]-River_data[[#This Row],[pH Min]])</f>
        <v>1.1999999999999993</v>
      </c>
    </row>
    <row r="415" spans="1:24" x14ac:dyDescent="0.3">
      <c r="A415">
        <v>1355</v>
      </c>
      <c r="B415" s="1" t="s">
        <v>426</v>
      </c>
      <c r="C415" s="1" t="s">
        <v>169</v>
      </c>
      <c r="D415">
        <v>16</v>
      </c>
      <c r="E415">
        <v>25</v>
      </c>
      <c r="F415">
        <v>7.6</v>
      </c>
      <c r="G415">
        <v>8.4</v>
      </c>
      <c r="H415">
        <v>7.7</v>
      </c>
      <c r="I415">
        <v>8</v>
      </c>
      <c r="J415">
        <v>330</v>
      </c>
      <c r="K415">
        <v>4120</v>
      </c>
      <c r="L415">
        <v>2.6</v>
      </c>
      <c r="M415">
        <v>4</v>
      </c>
      <c r="N415">
        <v>0</v>
      </c>
      <c r="O415">
        <v>0</v>
      </c>
      <c r="P415">
        <v>10000</v>
      </c>
      <c r="Q415">
        <v>26000</v>
      </c>
      <c r="R415">
        <v>22000</v>
      </c>
      <c r="S415">
        <v>50000</v>
      </c>
      <c r="V415">
        <f>River_data[[#This Row],[Dissolved Oxygen Min]]*River_data[[#This Row],[Dissolved Oxygen Max]]/2</f>
        <v>31.919999999999998</v>
      </c>
      <c r="W415">
        <f>River_data[[#This Row],[BOD Min]]*River_data[[#This Row],[BOD Max]]/2</f>
        <v>5.2</v>
      </c>
      <c r="X415">
        <f>AVERAGE(River_data[[#This Row],[pH Max]]-River_data[[#This Row],[pH Min]])</f>
        <v>0.29999999999999982</v>
      </c>
    </row>
    <row r="416" spans="1:24" x14ac:dyDescent="0.3">
      <c r="A416">
        <v>2492</v>
      </c>
      <c r="B416" s="1" t="s">
        <v>427</v>
      </c>
      <c r="C416" s="1" t="s">
        <v>169</v>
      </c>
      <c r="D416">
        <v>16</v>
      </c>
      <c r="E416">
        <v>24</v>
      </c>
      <c r="F416">
        <v>7.8</v>
      </c>
      <c r="G416">
        <v>8.3000000000000007</v>
      </c>
      <c r="H416">
        <v>7.8</v>
      </c>
      <c r="I416">
        <v>8.1999999999999993</v>
      </c>
      <c r="J416">
        <v>370</v>
      </c>
      <c r="K416">
        <v>392</v>
      </c>
      <c r="L416">
        <v>3.4</v>
      </c>
      <c r="M416">
        <v>4.2</v>
      </c>
      <c r="N416">
        <v>0</v>
      </c>
      <c r="O416">
        <v>0</v>
      </c>
      <c r="P416">
        <v>8000</v>
      </c>
      <c r="Q416">
        <v>24000</v>
      </c>
      <c r="R416">
        <v>18000</v>
      </c>
      <c r="S416">
        <v>38000</v>
      </c>
      <c r="V416">
        <f>River_data[[#This Row],[Dissolved Oxygen Min]]*River_data[[#This Row],[Dissolved Oxygen Max]]/2</f>
        <v>32.370000000000005</v>
      </c>
      <c r="W416">
        <f>River_data[[#This Row],[BOD Min]]*River_data[[#This Row],[BOD Max]]/2</f>
        <v>7.14</v>
      </c>
      <c r="X416">
        <f>AVERAGE(River_data[[#This Row],[pH Max]]-River_data[[#This Row],[pH Min]])</f>
        <v>0.39999999999999947</v>
      </c>
    </row>
    <row r="417" spans="1:24" x14ac:dyDescent="0.3">
      <c r="A417">
        <v>1359</v>
      </c>
      <c r="B417" s="1" t="s">
        <v>428</v>
      </c>
      <c r="C417" s="1" t="s">
        <v>169</v>
      </c>
      <c r="D417">
        <v>22</v>
      </c>
      <c r="E417">
        <v>28.5</v>
      </c>
      <c r="F417">
        <v>8.5</v>
      </c>
      <c r="G417">
        <v>9.8000000000000007</v>
      </c>
      <c r="H417">
        <v>7.9</v>
      </c>
      <c r="I417">
        <v>8.3000000000000007</v>
      </c>
      <c r="J417">
        <v>232</v>
      </c>
      <c r="K417">
        <v>292</v>
      </c>
      <c r="L417">
        <v>1.8</v>
      </c>
      <c r="M417">
        <v>2.5</v>
      </c>
      <c r="N417">
        <v>0.52</v>
      </c>
      <c r="O417">
        <v>0.86</v>
      </c>
      <c r="P417">
        <v>210</v>
      </c>
      <c r="Q417">
        <v>460</v>
      </c>
      <c r="R417">
        <v>460</v>
      </c>
      <c r="S417">
        <v>700</v>
      </c>
      <c r="T417">
        <v>170</v>
      </c>
      <c r="U417">
        <v>310</v>
      </c>
      <c r="V417">
        <f>River_data[[#This Row],[Dissolved Oxygen Min]]*River_data[[#This Row],[Dissolved Oxygen Max]]/2</f>
        <v>41.650000000000006</v>
      </c>
      <c r="W417">
        <f>River_data[[#This Row],[BOD Min]]*River_data[[#This Row],[BOD Max]]/2</f>
        <v>2.25</v>
      </c>
      <c r="X417">
        <f>AVERAGE(River_data[[#This Row],[pH Max]]-River_data[[#This Row],[pH Min]])</f>
        <v>0.40000000000000036</v>
      </c>
    </row>
    <row r="418" spans="1:24" x14ac:dyDescent="0.3">
      <c r="A418">
        <v>1360</v>
      </c>
      <c r="B418" s="1" t="s">
        <v>429</v>
      </c>
      <c r="C418" s="1" t="s">
        <v>169</v>
      </c>
      <c r="D418">
        <v>22</v>
      </c>
      <c r="E418">
        <v>28.5</v>
      </c>
      <c r="F418">
        <v>7.8</v>
      </c>
      <c r="G418">
        <v>9</v>
      </c>
      <c r="H418">
        <v>7.8</v>
      </c>
      <c r="I418">
        <v>8.4</v>
      </c>
      <c r="J418">
        <v>248</v>
      </c>
      <c r="K418">
        <v>310</v>
      </c>
      <c r="L418">
        <v>2.8</v>
      </c>
      <c r="M418">
        <v>3.7</v>
      </c>
      <c r="N418">
        <v>0.64</v>
      </c>
      <c r="O418">
        <v>1.22</v>
      </c>
      <c r="P418">
        <v>1300</v>
      </c>
      <c r="Q418">
        <v>2700</v>
      </c>
      <c r="R418">
        <v>2300</v>
      </c>
      <c r="S418">
        <v>3900</v>
      </c>
      <c r="T418">
        <v>580</v>
      </c>
      <c r="U418">
        <v>1100</v>
      </c>
      <c r="V418">
        <f>River_data[[#This Row],[Dissolved Oxygen Min]]*River_data[[#This Row],[Dissolved Oxygen Max]]/2</f>
        <v>35.1</v>
      </c>
      <c r="W418">
        <f>River_data[[#This Row],[BOD Min]]*River_data[[#This Row],[BOD Max]]/2</f>
        <v>5.18</v>
      </c>
      <c r="X418">
        <f>AVERAGE(River_data[[#This Row],[pH Max]]-River_data[[#This Row],[pH Min]])</f>
        <v>0.60000000000000053</v>
      </c>
    </row>
    <row r="419" spans="1:24" x14ac:dyDescent="0.3">
      <c r="A419">
        <v>1143</v>
      </c>
      <c r="B419" s="1" t="s">
        <v>430</v>
      </c>
      <c r="C419" s="1" t="s">
        <v>352</v>
      </c>
      <c r="D419">
        <v>17.3</v>
      </c>
      <c r="E419">
        <v>29.8</v>
      </c>
      <c r="F419">
        <v>6.7</v>
      </c>
      <c r="G419">
        <v>7.8</v>
      </c>
      <c r="H419">
        <v>7.6</v>
      </c>
      <c r="I419">
        <v>8.1999999999999993</v>
      </c>
      <c r="J419">
        <v>236</v>
      </c>
      <c r="K419">
        <v>456</v>
      </c>
      <c r="L419">
        <v>1.5</v>
      </c>
      <c r="M419">
        <v>1.9</v>
      </c>
      <c r="N419">
        <v>0.45</v>
      </c>
      <c r="O419">
        <v>1.1599999999999999</v>
      </c>
      <c r="P419">
        <v>2</v>
      </c>
      <c r="Q419">
        <v>2</v>
      </c>
      <c r="R419">
        <v>46</v>
      </c>
      <c r="S419">
        <v>49</v>
      </c>
      <c r="T419">
        <v>2</v>
      </c>
      <c r="U419">
        <v>2</v>
      </c>
      <c r="V419">
        <f>River_data[[#This Row],[Dissolved Oxygen Min]]*River_data[[#This Row],[Dissolved Oxygen Max]]/2</f>
        <v>26.13</v>
      </c>
      <c r="W419">
        <f>River_data[[#This Row],[BOD Min]]*River_data[[#This Row],[BOD Max]]/2</f>
        <v>1.4249999999999998</v>
      </c>
      <c r="X419">
        <f>AVERAGE(River_data[[#This Row],[pH Max]]-River_data[[#This Row],[pH Min]])</f>
        <v>0.59999999999999964</v>
      </c>
    </row>
    <row r="420" spans="1:24" x14ac:dyDescent="0.3">
      <c r="A420">
        <v>1144</v>
      </c>
      <c r="B420" s="1" t="s">
        <v>431</v>
      </c>
      <c r="C420" s="1" t="s">
        <v>352</v>
      </c>
      <c r="D420">
        <v>23.4</v>
      </c>
      <c r="E420">
        <v>33.200000000000003</v>
      </c>
      <c r="F420">
        <v>4.0999999999999996</v>
      </c>
      <c r="G420">
        <v>7.5</v>
      </c>
      <c r="H420">
        <v>7.5</v>
      </c>
      <c r="I420">
        <v>8</v>
      </c>
      <c r="J420">
        <v>461</v>
      </c>
      <c r="K420">
        <v>3212</v>
      </c>
      <c r="L420">
        <v>1.7</v>
      </c>
      <c r="M420">
        <v>3.4</v>
      </c>
      <c r="N420">
        <v>0</v>
      </c>
      <c r="O420">
        <v>0</v>
      </c>
      <c r="P420">
        <v>2</v>
      </c>
      <c r="Q420">
        <v>16</v>
      </c>
      <c r="R420">
        <v>70</v>
      </c>
      <c r="S420">
        <v>120</v>
      </c>
      <c r="T420">
        <v>2</v>
      </c>
      <c r="U420">
        <v>2</v>
      </c>
      <c r="V420">
        <f>River_data[[#This Row],[Dissolved Oxygen Min]]*River_data[[#This Row],[Dissolved Oxygen Max]]/2</f>
        <v>15.374999999999998</v>
      </c>
      <c r="W420">
        <f>River_data[[#This Row],[BOD Min]]*River_data[[#This Row],[BOD Max]]/2</f>
        <v>2.8899999999999997</v>
      </c>
      <c r="X420">
        <f>AVERAGE(River_data[[#This Row],[pH Max]]-River_data[[#This Row],[pH Min]])</f>
        <v>0.5</v>
      </c>
    </row>
    <row r="421" spans="1:24" x14ac:dyDescent="0.3">
      <c r="A421">
        <v>3328</v>
      </c>
      <c r="B421" s="1" t="s">
        <v>432</v>
      </c>
      <c r="C421" s="1" t="s">
        <v>352</v>
      </c>
      <c r="D421">
        <v>22.6</v>
      </c>
      <c r="E421">
        <v>33.1</v>
      </c>
      <c r="F421">
        <v>4.7</v>
      </c>
      <c r="G421">
        <v>7.4</v>
      </c>
      <c r="H421">
        <v>7.3</v>
      </c>
      <c r="I421">
        <v>7.9</v>
      </c>
      <c r="J421">
        <v>647</v>
      </c>
      <c r="K421">
        <v>2994</v>
      </c>
      <c r="L421">
        <v>1.8</v>
      </c>
      <c r="M421">
        <v>2.8</v>
      </c>
      <c r="N421">
        <v>0</v>
      </c>
      <c r="O421">
        <v>0</v>
      </c>
      <c r="P421">
        <v>2</v>
      </c>
      <c r="Q421">
        <v>14</v>
      </c>
      <c r="R421">
        <v>44</v>
      </c>
      <c r="S421">
        <v>118</v>
      </c>
      <c r="T421">
        <v>2</v>
      </c>
      <c r="U421">
        <v>2</v>
      </c>
      <c r="V421">
        <f>River_data[[#This Row],[Dissolved Oxygen Min]]*River_data[[#This Row],[Dissolved Oxygen Max]]/2</f>
        <v>17.39</v>
      </c>
      <c r="W421">
        <f>River_data[[#This Row],[BOD Min]]*River_data[[#This Row],[BOD Max]]/2</f>
        <v>2.52</v>
      </c>
      <c r="X421">
        <f>AVERAGE(River_data[[#This Row],[pH Max]]-River_data[[#This Row],[pH Min]])</f>
        <v>0.60000000000000053</v>
      </c>
    </row>
    <row r="422" spans="1:24" x14ac:dyDescent="0.3">
      <c r="A422">
        <v>3853</v>
      </c>
      <c r="B422" s="1" t="s">
        <v>433</v>
      </c>
      <c r="C422" s="1" t="s">
        <v>352</v>
      </c>
      <c r="D422">
        <v>19.600000000000001</v>
      </c>
      <c r="E422">
        <v>31.5</v>
      </c>
      <c r="F422">
        <v>6.8</v>
      </c>
      <c r="G422">
        <v>7.5</v>
      </c>
      <c r="H422">
        <v>7.4</v>
      </c>
      <c r="I422">
        <v>8.1999999999999993</v>
      </c>
      <c r="J422">
        <v>298</v>
      </c>
      <c r="K422">
        <v>414</v>
      </c>
      <c r="L422">
        <v>1.4</v>
      </c>
      <c r="M422">
        <v>1.8</v>
      </c>
      <c r="N422">
        <v>0.43</v>
      </c>
      <c r="O422">
        <v>0.97</v>
      </c>
      <c r="P422">
        <v>2</v>
      </c>
      <c r="Q422">
        <v>2</v>
      </c>
      <c r="R422">
        <v>41</v>
      </c>
      <c r="S422">
        <v>49</v>
      </c>
      <c r="T422">
        <v>2</v>
      </c>
      <c r="U422">
        <v>2</v>
      </c>
      <c r="V422">
        <f>River_data[[#This Row],[Dissolved Oxygen Min]]*River_data[[#This Row],[Dissolved Oxygen Max]]/2</f>
        <v>25.5</v>
      </c>
      <c r="W422">
        <f>River_data[[#This Row],[BOD Min]]*River_data[[#This Row],[BOD Max]]/2</f>
        <v>1.26</v>
      </c>
      <c r="X422">
        <f>AVERAGE(River_data[[#This Row],[pH Max]]-River_data[[#This Row],[pH Min]])</f>
        <v>0.79999999999999893</v>
      </c>
    </row>
    <row r="423" spans="1:24" x14ac:dyDescent="0.3">
      <c r="A423">
        <v>4609</v>
      </c>
      <c r="B423" s="1" t="s">
        <v>434</v>
      </c>
      <c r="C423" s="1" t="s">
        <v>352</v>
      </c>
      <c r="D423">
        <v>17.600000000000001</v>
      </c>
      <c r="E423">
        <v>29.5</v>
      </c>
      <c r="F423">
        <v>7.1</v>
      </c>
      <c r="G423">
        <v>7.3</v>
      </c>
      <c r="H423">
        <v>7.6</v>
      </c>
      <c r="I423">
        <v>8.1999999999999993</v>
      </c>
      <c r="J423">
        <v>267</v>
      </c>
      <c r="K423">
        <v>381</v>
      </c>
      <c r="L423">
        <v>1.2</v>
      </c>
      <c r="M423">
        <v>1.8</v>
      </c>
      <c r="N423">
        <v>0.32</v>
      </c>
      <c r="O423">
        <v>1.03</v>
      </c>
      <c r="P423">
        <v>2</v>
      </c>
      <c r="Q423">
        <v>2</v>
      </c>
      <c r="R423">
        <v>43</v>
      </c>
      <c r="S423">
        <v>48</v>
      </c>
      <c r="T423">
        <v>2</v>
      </c>
      <c r="U423">
        <v>2</v>
      </c>
      <c r="V423">
        <f>River_data[[#This Row],[Dissolved Oxygen Min]]*River_data[[#This Row],[Dissolved Oxygen Max]]/2</f>
        <v>25.914999999999999</v>
      </c>
      <c r="W423">
        <f>River_data[[#This Row],[BOD Min]]*River_data[[#This Row],[BOD Max]]/2</f>
        <v>1.08</v>
      </c>
      <c r="X423">
        <f>AVERAGE(River_data[[#This Row],[pH Max]]-River_data[[#This Row],[pH Min]])</f>
        <v>0.59999999999999964</v>
      </c>
    </row>
    <row r="424" spans="1:24" x14ac:dyDescent="0.3">
      <c r="A424">
        <v>5543</v>
      </c>
      <c r="B424" s="1" t="s">
        <v>435</v>
      </c>
      <c r="C424" s="1" t="s">
        <v>352</v>
      </c>
      <c r="D424">
        <v>24</v>
      </c>
      <c r="E424">
        <v>29.2</v>
      </c>
      <c r="F424">
        <v>7.1</v>
      </c>
      <c r="G424">
        <v>8</v>
      </c>
      <c r="H424">
        <v>7.5</v>
      </c>
      <c r="I424">
        <v>8.1</v>
      </c>
      <c r="J424">
        <v>278</v>
      </c>
      <c r="K424">
        <v>293</v>
      </c>
      <c r="L424">
        <v>1.3</v>
      </c>
      <c r="M424">
        <v>1.5</v>
      </c>
      <c r="N424">
        <v>0.34</v>
      </c>
      <c r="O424">
        <v>1</v>
      </c>
      <c r="P424">
        <v>2</v>
      </c>
      <c r="Q424">
        <v>2</v>
      </c>
      <c r="R424">
        <v>38</v>
      </c>
      <c r="S424">
        <v>48</v>
      </c>
      <c r="T424">
        <v>2</v>
      </c>
      <c r="U424">
        <v>2</v>
      </c>
      <c r="V424">
        <f>River_data[[#This Row],[Dissolved Oxygen Min]]*River_data[[#This Row],[Dissolved Oxygen Max]]/2</f>
        <v>28.4</v>
      </c>
      <c r="W424">
        <f>River_data[[#This Row],[BOD Min]]*River_data[[#This Row],[BOD Max]]/2</f>
        <v>0.97500000000000009</v>
      </c>
      <c r="X424">
        <f>AVERAGE(River_data[[#This Row],[pH Max]]-River_data[[#This Row],[pH Min]])</f>
        <v>0.59999999999999964</v>
      </c>
    </row>
    <row r="425" spans="1:24" x14ac:dyDescent="0.3">
      <c r="A425">
        <v>4611</v>
      </c>
      <c r="B425" s="1" t="s">
        <v>436</v>
      </c>
      <c r="C425" s="1" t="s">
        <v>352</v>
      </c>
      <c r="D425">
        <v>25</v>
      </c>
      <c r="E425">
        <v>29</v>
      </c>
      <c r="F425">
        <v>7</v>
      </c>
      <c r="G425">
        <v>7.8</v>
      </c>
      <c r="H425">
        <v>7.4</v>
      </c>
      <c r="I425">
        <v>7.8</v>
      </c>
      <c r="J425">
        <v>290</v>
      </c>
      <c r="K425">
        <v>417</v>
      </c>
      <c r="L425">
        <v>1.4</v>
      </c>
      <c r="M425">
        <v>2</v>
      </c>
      <c r="N425">
        <v>0.32</v>
      </c>
      <c r="O425">
        <v>0.88</v>
      </c>
      <c r="P425">
        <v>2</v>
      </c>
      <c r="Q425">
        <v>2</v>
      </c>
      <c r="R425">
        <v>40</v>
      </c>
      <c r="S425">
        <v>49</v>
      </c>
      <c r="T425">
        <v>2</v>
      </c>
      <c r="U425">
        <v>2</v>
      </c>
      <c r="V425">
        <f>River_data[[#This Row],[Dissolved Oxygen Min]]*River_data[[#This Row],[Dissolved Oxygen Max]]/2</f>
        <v>27.3</v>
      </c>
      <c r="W425">
        <f>River_data[[#This Row],[BOD Min]]*River_data[[#This Row],[BOD Max]]/2</f>
        <v>1.4</v>
      </c>
      <c r="X425">
        <f>AVERAGE(River_data[[#This Row],[pH Max]]-River_data[[#This Row],[pH Min]])</f>
        <v>0.39999999999999947</v>
      </c>
    </row>
    <row r="426" spans="1:24" x14ac:dyDescent="0.3">
      <c r="A426">
        <v>1607</v>
      </c>
      <c r="B426" s="1" t="s">
        <v>437</v>
      </c>
      <c r="C426" s="1" t="s">
        <v>352</v>
      </c>
      <c r="D426">
        <v>19</v>
      </c>
      <c r="E426">
        <v>27</v>
      </c>
      <c r="F426">
        <v>7</v>
      </c>
      <c r="G426">
        <v>7.8</v>
      </c>
      <c r="H426">
        <v>7.1</v>
      </c>
      <c r="I426">
        <v>7.7</v>
      </c>
      <c r="J426">
        <v>400</v>
      </c>
      <c r="K426">
        <v>752</v>
      </c>
      <c r="L426">
        <v>1.4</v>
      </c>
      <c r="M426">
        <v>2.1</v>
      </c>
      <c r="N426">
        <v>0.47</v>
      </c>
      <c r="O426">
        <v>2</v>
      </c>
      <c r="P426">
        <v>4</v>
      </c>
      <c r="Q426">
        <v>8</v>
      </c>
      <c r="R426">
        <v>22</v>
      </c>
      <c r="S426">
        <v>28</v>
      </c>
      <c r="V426">
        <f>River_data[[#This Row],[Dissolved Oxygen Min]]*River_data[[#This Row],[Dissolved Oxygen Max]]/2</f>
        <v>27.3</v>
      </c>
      <c r="W426">
        <f>River_data[[#This Row],[BOD Min]]*River_data[[#This Row],[BOD Max]]/2</f>
        <v>1.47</v>
      </c>
      <c r="X426">
        <f>AVERAGE(River_data[[#This Row],[pH Max]]-River_data[[#This Row],[pH Min]])</f>
        <v>0.60000000000000053</v>
      </c>
    </row>
    <row r="427" spans="1:24" x14ac:dyDescent="0.3">
      <c r="A427">
        <v>2120</v>
      </c>
      <c r="B427" s="1" t="s">
        <v>438</v>
      </c>
      <c r="C427" s="1" t="s">
        <v>352</v>
      </c>
      <c r="D427">
        <v>17</v>
      </c>
      <c r="E427">
        <v>33</v>
      </c>
      <c r="F427">
        <v>6.3</v>
      </c>
      <c r="G427">
        <v>7.9</v>
      </c>
      <c r="H427">
        <v>7.2</v>
      </c>
      <c r="I427">
        <v>7.9</v>
      </c>
      <c r="J427">
        <v>312</v>
      </c>
      <c r="K427">
        <v>668</v>
      </c>
      <c r="L427">
        <v>2.2000000000000002</v>
      </c>
      <c r="M427">
        <v>3</v>
      </c>
      <c r="N427">
        <v>3.48</v>
      </c>
      <c r="O427">
        <v>6.48</v>
      </c>
      <c r="P427">
        <v>11</v>
      </c>
      <c r="Q427">
        <v>63</v>
      </c>
      <c r="R427">
        <v>120</v>
      </c>
      <c r="S427">
        <v>430</v>
      </c>
      <c r="T427">
        <v>2</v>
      </c>
      <c r="U427">
        <v>2</v>
      </c>
      <c r="V427">
        <f>River_data[[#This Row],[Dissolved Oxygen Min]]*River_data[[#This Row],[Dissolved Oxygen Max]]/2</f>
        <v>24.885000000000002</v>
      </c>
      <c r="W427">
        <f>River_data[[#This Row],[BOD Min]]*River_data[[#This Row],[BOD Max]]/2</f>
        <v>3.3000000000000003</v>
      </c>
      <c r="X427">
        <f>AVERAGE(River_data[[#This Row],[pH Max]]-River_data[[#This Row],[pH Min]])</f>
        <v>0.70000000000000018</v>
      </c>
    </row>
    <row r="428" spans="1:24" x14ac:dyDescent="0.3">
      <c r="A428">
        <v>2142</v>
      </c>
      <c r="B428" s="1" t="s">
        <v>439</v>
      </c>
      <c r="C428" s="1" t="s">
        <v>352</v>
      </c>
      <c r="D428">
        <v>16</v>
      </c>
      <c r="E428">
        <v>26</v>
      </c>
      <c r="F428">
        <v>3.5</v>
      </c>
      <c r="G428">
        <v>11.4</v>
      </c>
      <c r="H428">
        <v>7.1</v>
      </c>
      <c r="I428">
        <v>8.3000000000000007</v>
      </c>
      <c r="J428">
        <v>285</v>
      </c>
      <c r="K428">
        <v>918</v>
      </c>
      <c r="L428">
        <v>1</v>
      </c>
      <c r="M428">
        <v>3</v>
      </c>
      <c r="N428">
        <v>1.24</v>
      </c>
      <c r="O428">
        <v>23.4</v>
      </c>
      <c r="P428">
        <v>4</v>
      </c>
      <c r="Q428">
        <v>110</v>
      </c>
      <c r="R428">
        <v>220</v>
      </c>
      <c r="S428">
        <v>430</v>
      </c>
      <c r="T428">
        <v>2</v>
      </c>
      <c r="U428">
        <v>2</v>
      </c>
      <c r="V428">
        <f>River_data[[#This Row],[Dissolved Oxygen Min]]*River_data[[#This Row],[Dissolved Oxygen Max]]/2</f>
        <v>19.95</v>
      </c>
      <c r="W428">
        <f>River_data[[#This Row],[BOD Min]]*River_data[[#This Row],[BOD Max]]/2</f>
        <v>1.5</v>
      </c>
      <c r="X428">
        <f>AVERAGE(River_data[[#This Row],[pH Max]]-River_data[[#This Row],[pH Min]])</f>
        <v>1.2000000000000011</v>
      </c>
    </row>
    <row r="429" spans="1:24" x14ac:dyDescent="0.3">
      <c r="A429">
        <v>4621</v>
      </c>
      <c r="B429" s="1" t="s">
        <v>440</v>
      </c>
      <c r="C429" s="1" t="s">
        <v>352</v>
      </c>
      <c r="D429">
        <v>20</v>
      </c>
      <c r="E429">
        <v>22</v>
      </c>
      <c r="F429">
        <v>6.9</v>
      </c>
      <c r="G429">
        <v>7.7</v>
      </c>
      <c r="H429">
        <v>7.7</v>
      </c>
      <c r="I429">
        <v>8.1999999999999993</v>
      </c>
      <c r="J429">
        <v>338</v>
      </c>
      <c r="K429">
        <v>487</v>
      </c>
      <c r="L429">
        <v>1</v>
      </c>
      <c r="M429">
        <v>1.2</v>
      </c>
      <c r="N429">
        <v>0.73</v>
      </c>
      <c r="O429">
        <v>1.79</v>
      </c>
      <c r="P429">
        <v>2</v>
      </c>
      <c r="Q429">
        <v>2</v>
      </c>
      <c r="R429">
        <v>41</v>
      </c>
      <c r="S429">
        <v>46</v>
      </c>
      <c r="V429">
        <f>River_data[[#This Row],[Dissolved Oxygen Min]]*River_data[[#This Row],[Dissolved Oxygen Max]]/2</f>
        <v>26.565000000000001</v>
      </c>
      <c r="W429">
        <f>River_data[[#This Row],[BOD Min]]*River_data[[#This Row],[BOD Max]]/2</f>
        <v>0.6</v>
      </c>
      <c r="X429">
        <f>AVERAGE(River_data[[#This Row],[pH Max]]-River_data[[#This Row],[pH Min]])</f>
        <v>0.49999999999999911</v>
      </c>
    </row>
    <row r="430" spans="1:24" x14ac:dyDescent="0.3">
      <c r="A430">
        <v>3125</v>
      </c>
      <c r="B430" s="1" t="s">
        <v>441</v>
      </c>
      <c r="C430" s="1" t="s">
        <v>207</v>
      </c>
      <c r="D430">
        <v>18</v>
      </c>
      <c r="E430">
        <v>31</v>
      </c>
      <c r="F430">
        <v>7.1</v>
      </c>
      <c r="G430">
        <v>9.8000000000000007</v>
      </c>
      <c r="H430">
        <v>7.3</v>
      </c>
      <c r="I430">
        <v>8.1999999999999993</v>
      </c>
      <c r="J430">
        <v>166</v>
      </c>
      <c r="K430">
        <v>308</v>
      </c>
      <c r="L430">
        <v>1</v>
      </c>
      <c r="M430">
        <v>2.1</v>
      </c>
      <c r="N430">
        <v>0.3</v>
      </c>
      <c r="O430">
        <v>0.3</v>
      </c>
      <c r="P430">
        <v>2200</v>
      </c>
      <c r="Q430">
        <v>92000</v>
      </c>
      <c r="R430">
        <v>7000</v>
      </c>
      <c r="S430">
        <v>160000</v>
      </c>
      <c r="V430">
        <f>River_data[[#This Row],[Dissolved Oxygen Min]]*River_data[[#This Row],[Dissolved Oxygen Max]]/2</f>
        <v>34.79</v>
      </c>
      <c r="W430">
        <f>River_data[[#This Row],[BOD Min]]*River_data[[#This Row],[BOD Max]]/2</f>
        <v>1.05</v>
      </c>
      <c r="X430">
        <f>AVERAGE(River_data[[#This Row],[pH Max]]-River_data[[#This Row],[pH Min]])</f>
        <v>0.89999999999999947</v>
      </c>
    </row>
    <row r="431" spans="1:24" x14ac:dyDescent="0.3">
      <c r="A431">
        <v>2568</v>
      </c>
      <c r="B431" s="1" t="s">
        <v>442</v>
      </c>
      <c r="C431" s="1" t="s">
        <v>207</v>
      </c>
      <c r="D431">
        <v>18</v>
      </c>
      <c r="E431">
        <v>31</v>
      </c>
      <c r="F431">
        <v>6.6</v>
      </c>
      <c r="G431">
        <v>9.5</v>
      </c>
      <c r="H431">
        <v>7.3</v>
      </c>
      <c r="I431">
        <v>8.1999999999999993</v>
      </c>
      <c r="J431">
        <v>175</v>
      </c>
      <c r="K431">
        <v>309</v>
      </c>
      <c r="L431">
        <v>1</v>
      </c>
      <c r="M431">
        <v>2.7</v>
      </c>
      <c r="N431">
        <v>0.3</v>
      </c>
      <c r="O431">
        <v>0.3</v>
      </c>
      <c r="P431">
        <v>2300</v>
      </c>
      <c r="Q431">
        <v>54000</v>
      </c>
      <c r="R431">
        <v>3300</v>
      </c>
      <c r="S431">
        <v>92000</v>
      </c>
      <c r="V431">
        <f>River_data[[#This Row],[Dissolved Oxygen Min]]*River_data[[#This Row],[Dissolved Oxygen Max]]/2</f>
        <v>31.349999999999998</v>
      </c>
      <c r="W431">
        <f>River_data[[#This Row],[BOD Min]]*River_data[[#This Row],[BOD Max]]/2</f>
        <v>1.35</v>
      </c>
      <c r="X431">
        <f>AVERAGE(River_data[[#This Row],[pH Max]]-River_data[[#This Row],[pH Min]])</f>
        <v>0.89999999999999947</v>
      </c>
    </row>
    <row r="432" spans="1:24" x14ac:dyDescent="0.3">
      <c r="A432">
        <v>10163</v>
      </c>
      <c r="B432" s="1" t="s">
        <v>443</v>
      </c>
      <c r="C432" s="1" t="s">
        <v>207</v>
      </c>
      <c r="D432">
        <v>18</v>
      </c>
      <c r="E432">
        <v>30</v>
      </c>
      <c r="F432">
        <v>7.1</v>
      </c>
      <c r="G432">
        <v>9.4</v>
      </c>
      <c r="H432">
        <v>7.2</v>
      </c>
      <c r="I432">
        <v>8.1999999999999993</v>
      </c>
      <c r="J432">
        <v>173</v>
      </c>
      <c r="K432">
        <v>272</v>
      </c>
      <c r="L432">
        <v>1</v>
      </c>
      <c r="M432">
        <v>2.4</v>
      </c>
      <c r="N432">
        <v>0.3</v>
      </c>
      <c r="O432">
        <v>0.3</v>
      </c>
      <c r="P432">
        <v>1400</v>
      </c>
      <c r="Q432">
        <v>54000</v>
      </c>
      <c r="R432">
        <v>2700</v>
      </c>
      <c r="S432">
        <v>160000</v>
      </c>
      <c r="V432">
        <f>River_data[[#This Row],[Dissolved Oxygen Min]]*River_data[[#This Row],[Dissolved Oxygen Max]]/2</f>
        <v>33.369999999999997</v>
      </c>
      <c r="W432">
        <f>River_data[[#This Row],[BOD Min]]*River_data[[#This Row],[BOD Max]]/2</f>
        <v>1.2</v>
      </c>
      <c r="X432">
        <f>AVERAGE(River_data[[#This Row],[pH Max]]-River_data[[#This Row],[pH Min]])</f>
        <v>0.99999999999999911</v>
      </c>
    </row>
    <row r="433" spans="1:24" x14ac:dyDescent="0.3">
      <c r="A433">
        <v>10126</v>
      </c>
      <c r="B433" s="1" t="s">
        <v>444</v>
      </c>
      <c r="C433" s="1" t="s">
        <v>207</v>
      </c>
      <c r="D433">
        <v>17</v>
      </c>
      <c r="E433">
        <v>30</v>
      </c>
      <c r="F433">
        <v>7.1</v>
      </c>
      <c r="G433">
        <v>8.9</v>
      </c>
      <c r="H433">
        <v>7.2</v>
      </c>
      <c r="I433">
        <v>8.1999999999999993</v>
      </c>
      <c r="J433">
        <v>170</v>
      </c>
      <c r="K433">
        <v>268</v>
      </c>
      <c r="L433">
        <v>1.1000000000000001</v>
      </c>
      <c r="M433">
        <v>2.4</v>
      </c>
      <c r="N433">
        <v>0.3</v>
      </c>
      <c r="O433">
        <v>0.3</v>
      </c>
      <c r="P433">
        <v>1300</v>
      </c>
      <c r="Q433">
        <v>92000</v>
      </c>
      <c r="R433">
        <v>3300</v>
      </c>
      <c r="S433">
        <v>160000</v>
      </c>
      <c r="V433">
        <f>River_data[[#This Row],[Dissolved Oxygen Min]]*River_data[[#This Row],[Dissolved Oxygen Max]]/2</f>
        <v>31.594999999999999</v>
      </c>
      <c r="W433">
        <f>River_data[[#This Row],[BOD Min]]*River_data[[#This Row],[BOD Max]]/2</f>
        <v>1.32</v>
      </c>
      <c r="X433">
        <f>AVERAGE(River_data[[#This Row],[pH Max]]-River_data[[#This Row],[pH Min]])</f>
        <v>0.99999999999999911</v>
      </c>
    </row>
    <row r="434" spans="1:24" x14ac:dyDescent="0.3">
      <c r="A434">
        <v>1078</v>
      </c>
      <c r="B434" s="1" t="s">
        <v>445</v>
      </c>
      <c r="C434" s="1" t="s">
        <v>207</v>
      </c>
      <c r="D434">
        <v>17</v>
      </c>
      <c r="E434">
        <v>31</v>
      </c>
      <c r="F434">
        <v>6.6</v>
      </c>
      <c r="G434">
        <v>9.1</v>
      </c>
      <c r="H434">
        <v>7.2</v>
      </c>
      <c r="I434">
        <v>8.3000000000000007</v>
      </c>
      <c r="J434">
        <v>167</v>
      </c>
      <c r="K434">
        <v>264</v>
      </c>
      <c r="L434">
        <v>1</v>
      </c>
      <c r="M434">
        <v>2.6</v>
      </c>
      <c r="N434">
        <v>0.3</v>
      </c>
      <c r="O434">
        <v>0.3</v>
      </c>
      <c r="P434">
        <v>3300</v>
      </c>
      <c r="Q434">
        <v>92000</v>
      </c>
      <c r="R434">
        <v>4600</v>
      </c>
      <c r="S434">
        <v>160000</v>
      </c>
      <c r="V434">
        <f>River_data[[#This Row],[Dissolved Oxygen Min]]*River_data[[#This Row],[Dissolved Oxygen Max]]/2</f>
        <v>30.029999999999998</v>
      </c>
      <c r="W434">
        <f>River_data[[#This Row],[BOD Min]]*River_data[[#This Row],[BOD Max]]/2</f>
        <v>1.3</v>
      </c>
      <c r="X434">
        <f>AVERAGE(River_data[[#This Row],[pH Max]]-River_data[[#This Row],[pH Min]])</f>
        <v>1.1000000000000005</v>
      </c>
    </row>
    <row r="435" spans="1:24" x14ac:dyDescent="0.3">
      <c r="A435">
        <v>1820</v>
      </c>
      <c r="B435" s="1" t="s">
        <v>446</v>
      </c>
      <c r="C435" s="1" t="s">
        <v>207</v>
      </c>
      <c r="D435">
        <v>17</v>
      </c>
      <c r="E435">
        <v>36</v>
      </c>
      <c r="F435">
        <v>2.1</v>
      </c>
      <c r="G435">
        <v>9.9</v>
      </c>
      <c r="H435">
        <v>7.1</v>
      </c>
      <c r="I435">
        <v>7.7</v>
      </c>
      <c r="J435">
        <v>190</v>
      </c>
      <c r="K435">
        <v>677</v>
      </c>
      <c r="L435">
        <v>1.5</v>
      </c>
      <c r="M435">
        <v>4</v>
      </c>
      <c r="N435">
        <v>0.3</v>
      </c>
      <c r="O435">
        <v>0.3</v>
      </c>
      <c r="P435">
        <v>1300</v>
      </c>
      <c r="Q435">
        <v>54000</v>
      </c>
      <c r="R435">
        <v>1700</v>
      </c>
      <c r="S435">
        <v>92000</v>
      </c>
      <c r="V435">
        <f>River_data[[#This Row],[Dissolved Oxygen Min]]*River_data[[#This Row],[Dissolved Oxygen Max]]/2</f>
        <v>10.395000000000001</v>
      </c>
      <c r="W435">
        <f>River_data[[#This Row],[BOD Min]]*River_data[[#This Row],[BOD Max]]/2</f>
        <v>3</v>
      </c>
      <c r="X435">
        <f>AVERAGE(River_data[[#This Row],[pH Max]]-River_data[[#This Row],[pH Min]])</f>
        <v>0.60000000000000053</v>
      </c>
    </row>
    <row r="436" spans="1:24" x14ac:dyDescent="0.3">
      <c r="A436">
        <v>2575</v>
      </c>
      <c r="B436" s="1" t="s">
        <v>447</v>
      </c>
      <c r="C436" s="1" t="s">
        <v>207</v>
      </c>
      <c r="D436">
        <v>20</v>
      </c>
      <c r="E436">
        <v>31</v>
      </c>
      <c r="F436">
        <v>4.4000000000000004</v>
      </c>
      <c r="G436">
        <v>9.6</v>
      </c>
      <c r="H436">
        <v>7.1</v>
      </c>
      <c r="I436">
        <v>7.8</v>
      </c>
      <c r="J436">
        <v>177</v>
      </c>
      <c r="K436">
        <v>392</v>
      </c>
      <c r="L436">
        <v>1.4</v>
      </c>
      <c r="M436">
        <v>3</v>
      </c>
      <c r="N436">
        <v>0.3</v>
      </c>
      <c r="O436">
        <v>0.3</v>
      </c>
      <c r="P436">
        <v>1700</v>
      </c>
      <c r="Q436">
        <v>92000</v>
      </c>
      <c r="R436">
        <v>2100</v>
      </c>
      <c r="S436">
        <v>160000</v>
      </c>
      <c r="V436">
        <f>River_data[[#This Row],[Dissolved Oxygen Min]]*River_data[[#This Row],[Dissolved Oxygen Max]]/2</f>
        <v>21.12</v>
      </c>
      <c r="W436">
        <f>River_data[[#This Row],[BOD Min]]*River_data[[#This Row],[BOD Max]]/2</f>
        <v>2.0999999999999996</v>
      </c>
      <c r="X436">
        <f>AVERAGE(River_data[[#This Row],[pH Max]]-River_data[[#This Row],[pH Min]])</f>
        <v>0.70000000000000018</v>
      </c>
    </row>
    <row r="437" spans="1:24" x14ac:dyDescent="0.3">
      <c r="A437">
        <v>3134</v>
      </c>
      <c r="B437" s="1" t="s">
        <v>448</v>
      </c>
      <c r="C437" s="1" t="s">
        <v>207</v>
      </c>
      <c r="D437">
        <v>18</v>
      </c>
      <c r="E437">
        <v>29</v>
      </c>
      <c r="F437">
        <v>5.2</v>
      </c>
      <c r="G437">
        <v>9.1999999999999993</v>
      </c>
      <c r="H437">
        <v>7.2</v>
      </c>
      <c r="I437">
        <v>8</v>
      </c>
      <c r="J437">
        <v>220</v>
      </c>
      <c r="K437">
        <v>329</v>
      </c>
      <c r="L437">
        <v>1</v>
      </c>
      <c r="M437">
        <v>2.6</v>
      </c>
      <c r="N437">
        <v>0.3</v>
      </c>
      <c r="O437">
        <v>0.3</v>
      </c>
      <c r="P437">
        <v>4900</v>
      </c>
      <c r="Q437">
        <v>24000</v>
      </c>
      <c r="R437">
        <v>7900</v>
      </c>
      <c r="S437">
        <v>35000</v>
      </c>
      <c r="V437">
        <f>River_data[[#This Row],[Dissolved Oxygen Min]]*River_data[[#This Row],[Dissolved Oxygen Max]]/2</f>
        <v>23.919999999999998</v>
      </c>
      <c r="W437">
        <f>River_data[[#This Row],[BOD Min]]*River_data[[#This Row],[BOD Max]]/2</f>
        <v>1.3</v>
      </c>
      <c r="X437">
        <f>AVERAGE(River_data[[#This Row],[pH Max]]-River_data[[#This Row],[pH Min]])</f>
        <v>0.79999999999999982</v>
      </c>
    </row>
    <row r="438" spans="1:24" x14ac:dyDescent="0.3">
      <c r="A438">
        <v>4291</v>
      </c>
      <c r="B438" s="1" t="s">
        <v>449</v>
      </c>
      <c r="C438" s="1" t="s">
        <v>207</v>
      </c>
      <c r="D438">
        <v>19</v>
      </c>
      <c r="E438">
        <v>36</v>
      </c>
      <c r="F438">
        <v>1.7</v>
      </c>
      <c r="G438">
        <v>12.3</v>
      </c>
      <c r="H438">
        <v>7.3</v>
      </c>
      <c r="I438">
        <v>8</v>
      </c>
      <c r="J438">
        <v>207</v>
      </c>
      <c r="K438">
        <v>436</v>
      </c>
      <c r="L438">
        <v>1.6</v>
      </c>
      <c r="M438">
        <v>7</v>
      </c>
      <c r="N438">
        <v>0.3</v>
      </c>
      <c r="O438">
        <v>0.3</v>
      </c>
      <c r="P438">
        <v>1700</v>
      </c>
      <c r="Q438">
        <v>92000</v>
      </c>
      <c r="R438">
        <v>2700</v>
      </c>
      <c r="S438">
        <v>160000</v>
      </c>
      <c r="V438">
        <f>River_data[[#This Row],[Dissolved Oxygen Min]]*River_data[[#This Row],[Dissolved Oxygen Max]]/2</f>
        <v>10.455</v>
      </c>
      <c r="W438">
        <f>River_data[[#This Row],[BOD Min]]*River_data[[#This Row],[BOD Max]]/2</f>
        <v>5.6000000000000005</v>
      </c>
      <c r="X438">
        <f>AVERAGE(River_data[[#This Row],[pH Max]]-River_data[[#This Row],[pH Min]])</f>
        <v>0.70000000000000018</v>
      </c>
    </row>
    <row r="439" spans="1:24" x14ac:dyDescent="0.3">
      <c r="A439">
        <v>2562</v>
      </c>
      <c r="B439" s="1" t="s">
        <v>450</v>
      </c>
      <c r="C439" s="1" t="s">
        <v>207</v>
      </c>
      <c r="D439">
        <v>18</v>
      </c>
      <c r="E439">
        <v>32</v>
      </c>
      <c r="F439">
        <v>6.5</v>
      </c>
      <c r="G439">
        <v>9.1999999999999993</v>
      </c>
      <c r="H439">
        <v>7.3</v>
      </c>
      <c r="I439">
        <v>8.1</v>
      </c>
      <c r="J439">
        <v>201</v>
      </c>
      <c r="K439">
        <v>456</v>
      </c>
      <c r="L439">
        <v>1</v>
      </c>
      <c r="M439">
        <v>2.6</v>
      </c>
      <c r="N439">
        <v>0.3</v>
      </c>
      <c r="O439">
        <v>0.33</v>
      </c>
      <c r="P439">
        <v>2300</v>
      </c>
      <c r="Q439">
        <v>92000</v>
      </c>
      <c r="R439">
        <v>3300</v>
      </c>
      <c r="S439">
        <v>160000</v>
      </c>
      <c r="V439">
        <f>River_data[[#This Row],[Dissolved Oxygen Min]]*River_data[[#This Row],[Dissolved Oxygen Max]]/2</f>
        <v>29.9</v>
      </c>
      <c r="W439">
        <f>River_data[[#This Row],[BOD Min]]*River_data[[#This Row],[BOD Max]]/2</f>
        <v>1.3</v>
      </c>
      <c r="X439">
        <f>AVERAGE(River_data[[#This Row],[pH Max]]-River_data[[#This Row],[pH Min]])</f>
        <v>0.79999999999999982</v>
      </c>
    </row>
    <row r="440" spans="1:24" x14ac:dyDescent="0.3">
      <c r="A440">
        <v>2570</v>
      </c>
      <c r="B440" s="1" t="s">
        <v>451</v>
      </c>
      <c r="C440" s="1" t="s">
        <v>207</v>
      </c>
      <c r="D440">
        <v>22</v>
      </c>
      <c r="E440">
        <v>38</v>
      </c>
      <c r="F440">
        <v>6.5</v>
      </c>
      <c r="G440">
        <v>9.8000000000000007</v>
      </c>
      <c r="H440">
        <v>7.2</v>
      </c>
      <c r="I440">
        <v>8.5</v>
      </c>
      <c r="J440">
        <v>219</v>
      </c>
      <c r="K440">
        <v>402</v>
      </c>
      <c r="L440">
        <v>1</v>
      </c>
      <c r="M440">
        <v>2.6</v>
      </c>
      <c r="N440">
        <v>0.3</v>
      </c>
      <c r="O440">
        <v>0.3</v>
      </c>
      <c r="P440">
        <v>3300</v>
      </c>
      <c r="Q440">
        <v>92000</v>
      </c>
      <c r="R440">
        <v>4900</v>
      </c>
      <c r="S440">
        <v>160000</v>
      </c>
      <c r="V440">
        <f>River_data[[#This Row],[Dissolved Oxygen Min]]*River_data[[#This Row],[Dissolved Oxygen Max]]/2</f>
        <v>31.85</v>
      </c>
      <c r="W440">
        <f>River_data[[#This Row],[BOD Min]]*River_data[[#This Row],[BOD Max]]/2</f>
        <v>1.3</v>
      </c>
      <c r="X440">
        <f>AVERAGE(River_data[[#This Row],[pH Max]]-River_data[[#This Row],[pH Min]])</f>
        <v>1.2999999999999998</v>
      </c>
    </row>
    <row r="441" spans="1:24" x14ac:dyDescent="0.3">
      <c r="A441">
        <v>3124</v>
      </c>
      <c r="B441" s="1" t="s">
        <v>452</v>
      </c>
      <c r="C441" s="1" t="s">
        <v>207</v>
      </c>
      <c r="D441">
        <v>18</v>
      </c>
      <c r="E441">
        <v>33</v>
      </c>
      <c r="F441">
        <v>6.8</v>
      </c>
      <c r="G441">
        <v>9.1</v>
      </c>
      <c r="H441">
        <v>7.2</v>
      </c>
      <c r="I441">
        <v>8</v>
      </c>
      <c r="J441">
        <v>198</v>
      </c>
      <c r="K441">
        <v>447</v>
      </c>
      <c r="L441">
        <v>1</v>
      </c>
      <c r="M441">
        <v>2.8</v>
      </c>
      <c r="N441">
        <v>0.3</v>
      </c>
      <c r="O441">
        <v>0.3</v>
      </c>
      <c r="P441">
        <v>1300</v>
      </c>
      <c r="Q441">
        <v>92000</v>
      </c>
      <c r="R441">
        <v>2300</v>
      </c>
      <c r="S441">
        <v>160000</v>
      </c>
      <c r="V441">
        <f>River_data[[#This Row],[Dissolved Oxygen Min]]*River_data[[#This Row],[Dissolved Oxygen Max]]/2</f>
        <v>30.939999999999998</v>
      </c>
      <c r="W441">
        <f>River_data[[#This Row],[BOD Min]]*River_data[[#This Row],[BOD Max]]/2</f>
        <v>1.4</v>
      </c>
      <c r="X441">
        <f>AVERAGE(River_data[[#This Row],[pH Max]]-River_data[[#This Row],[pH Min]])</f>
        <v>0.79999999999999982</v>
      </c>
    </row>
    <row r="442" spans="1:24" x14ac:dyDescent="0.3">
      <c r="A442">
        <v>4295</v>
      </c>
      <c r="B442" s="1" t="s">
        <v>453</v>
      </c>
      <c r="C442" s="1" t="s">
        <v>207</v>
      </c>
      <c r="D442">
        <v>14</v>
      </c>
      <c r="E442">
        <v>30</v>
      </c>
      <c r="F442">
        <v>6.8</v>
      </c>
      <c r="G442">
        <v>8.9</v>
      </c>
      <c r="H442">
        <v>7.3</v>
      </c>
      <c r="I442">
        <v>8.3000000000000007</v>
      </c>
      <c r="J442">
        <v>202</v>
      </c>
      <c r="K442">
        <v>521</v>
      </c>
      <c r="L442">
        <v>1</v>
      </c>
      <c r="M442">
        <v>2.6</v>
      </c>
      <c r="N442">
        <v>0.3</v>
      </c>
      <c r="O442">
        <v>0.3</v>
      </c>
      <c r="P442">
        <v>4900</v>
      </c>
      <c r="Q442">
        <v>92000</v>
      </c>
      <c r="R442">
        <v>7900</v>
      </c>
      <c r="S442">
        <v>160000</v>
      </c>
      <c r="V442">
        <f>River_data[[#This Row],[Dissolved Oxygen Min]]*River_data[[#This Row],[Dissolved Oxygen Max]]/2</f>
        <v>30.26</v>
      </c>
      <c r="W442">
        <f>River_data[[#This Row],[BOD Min]]*River_data[[#This Row],[BOD Max]]/2</f>
        <v>1.3</v>
      </c>
      <c r="X442">
        <f>AVERAGE(River_data[[#This Row],[pH Max]]-River_data[[#This Row],[pH Min]])</f>
        <v>1.0000000000000009</v>
      </c>
    </row>
    <row r="443" spans="1:24" x14ac:dyDescent="0.3">
      <c r="A443">
        <v>4300</v>
      </c>
      <c r="B443" s="1" t="s">
        <v>454</v>
      </c>
      <c r="C443" s="1" t="s">
        <v>207</v>
      </c>
      <c r="D443">
        <v>20</v>
      </c>
      <c r="E443">
        <v>31</v>
      </c>
      <c r="F443">
        <v>6.2</v>
      </c>
      <c r="G443">
        <v>8.9</v>
      </c>
      <c r="H443">
        <v>7.3</v>
      </c>
      <c r="I443">
        <v>8</v>
      </c>
      <c r="J443">
        <v>218</v>
      </c>
      <c r="K443">
        <v>398</v>
      </c>
      <c r="L443">
        <v>1</v>
      </c>
      <c r="M443">
        <v>3</v>
      </c>
      <c r="N443">
        <v>0.3</v>
      </c>
      <c r="O443">
        <v>0.3</v>
      </c>
      <c r="P443">
        <v>2300</v>
      </c>
      <c r="Q443">
        <v>35000</v>
      </c>
      <c r="R443">
        <v>4600</v>
      </c>
      <c r="S443">
        <v>92000</v>
      </c>
      <c r="V443">
        <f>River_data[[#This Row],[Dissolved Oxygen Min]]*River_data[[#This Row],[Dissolved Oxygen Max]]/2</f>
        <v>27.590000000000003</v>
      </c>
      <c r="W443">
        <f>River_data[[#This Row],[BOD Min]]*River_data[[#This Row],[BOD Max]]/2</f>
        <v>1.5</v>
      </c>
      <c r="X443">
        <f>AVERAGE(River_data[[#This Row],[pH Max]]-River_data[[#This Row],[pH Min]])</f>
        <v>0.70000000000000018</v>
      </c>
    </row>
    <row r="444" spans="1:24" x14ac:dyDescent="0.3">
      <c r="A444">
        <v>4403</v>
      </c>
      <c r="B444" s="1" t="s">
        <v>455</v>
      </c>
      <c r="C444" s="1" t="s">
        <v>207</v>
      </c>
      <c r="D444">
        <v>20</v>
      </c>
      <c r="E444">
        <v>30</v>
      </c>
      <c r="F444">
        <v>7</v>
      </c>
      <c r="G444">
        <v>9.1999999999999993</v>
      </c>
      <c r="H444">
        <v>7.5</v>
      </c>
      <c r="I444">
        <v>8.1</v>
      </c>
      <c r="J444">
        <v>180</v>
      </c>
      <c r="K444">
        <v>415</v>
      </c>
      <c r="L444">
        <v>1</v>
      </c>
      <c r="M444">
        <v>2.5</v>
      </c>
      <c r="N444">
        <v>0.3</v>
      </c>
      <c r="O444">
        <v>0.32</v>
      </c>
      <c r="P444">
        <v>2300</v>
      </c>
      <c r="Q444">
        <v>22000</v>
      </c>
      <c r="R444">
        <v>3300</v>
      </c>
      <c r="S444">
        <v>28000</v>
      </c>
      <c r="V444">
        <f>River_data[[#This Row],[Dissolved Oxygen Min]]*River_data[[#This Row],[Dissolved Oxygen Max]]/2</f>
        <v>32.199999999999996</v>
      </c>
      <c r="W444">
        <f>River_data[[#This Row],[BOD Min]]*River_data[[#This Row],[BOD Max]]/2</f>
        <v>1.25</v>
      </c>
      <c r="X444">
        <f>AVERAGE(River_data[[#This Row],[pH Max]]-River_data[[#This Row],[pH Min]])</f>
        <v>0.59999999999999964</v>
      </c>
    </row>
    <row r="445" spans="1:24" x14ac:dyDescent="0.3">
      <c r="A445">
        <v>1822</v>
      </c>
      <c r="B445" s="1" t="s">
        <v>456</v>
      </c>
      <c r="C445" s="1" t="s">
        <v>207</v>
      </c>
      <c r="D445">
        <v>14</v>
      </c>
      <c r="E445">
        <v>30</v>
      </c>
      <c r="F445">
        <v>0.3</v>
      </c>
      <c r="G445">
        <v>3.9</v>
      </c>
      <c r="H445">
        <v>7.2</v>
      </c>
      <c r="I445">
        <v>7.8</v>
      </c>
      <c r="J445">
        <v>249</v>
      </c>
      <c r="K445">
        <v>980</v>
      </c>
      <c r="L445">
        <v>3.2</v>
      </c>
      <c r="M445">
        <v>9</v>
      </c>
      <c r="N445">
        <v>0.3</v>
      </c>
      <c r="O445">
        <v>0.3</v>
      </c>
      <c r="P445">
        <v>13000</v>
      </c>
      <c r="Q445">
        <v>240000</v>
      </c>
      <c r="R445">
        <v>22000</v>
      </c>
      <c r="S445">
        <v>540000</v>
      </c>
      <c r="V445">
        <f>River_data[[#This Row],[Dissolved Oxygen Min]]*River_data[[#This Row],[Dissolved Oxygen Max]]/2</f>
        <v>0.58499999999999996</v>
      </c>
      <c r="W445">
        <f>River_data[[#This Row],[BOD Min]]*River_data[[#This Row],[BOD Max]]/2</f>
        <v>14.4</v>
      </c>
      <c r="X445">
        <f>AVERAGE(River_data[[#This Row],[pH Max]]-River_data[[#This Row],[pH Min]])</f>
        <v>0.59999999999999964</v>
      </c>
    </row>
    <row r="446" spans="1:24" x14ac:dyDescent="0.3">
      <c r="A446">
        <v>3136</v>
      </c>
      <c r="B446" s="1" t="s">
        <v>457</v>
      </c>
      <c r="C446" s="1" t="s">
        <v>207</v>
      </c>
      <c r="D446">
        <v>17</v>
      </c>
      <c r="E446">
        <v>30</v>
      </c>
      <c r="F446">
        <v>0.3</v>
      </c>
      <c r="G446">
        <v>3.7</v>
      </c>
      <c r="H446">
        <v>7.2</v>
      </c>
      <c r="I446">
        <v>7.8</v>
      </c>
      <c r="J446">
        <v>256</v>
      </c>
      <c r="K446">
        <v>987</v>
      </c>
      <c r="L446">
        <v>3</v>
      </c>
      <c r="M446">
        <v>8</v>
      </c>
      <c r="N446">
        <v>0.3</v>
      </c>
      <c r="O446">
        <v>0.3</v>
      </c>
      <c r="P446">
        <v>7900</v>
      </c>
      <c r="Q446">
        <v>350000</v>
      </c>
      <c r="R446">
        <v>17000</v>
      </c>
      <c r="S446">
        <v>540000</v>
      </c>
      <c r="V446">
        <f>River_data[[#This Row],[Dissolved Oxygen Min]]*River_data[[#This Row],[Dissolved Oxygen Max]]/2</f>
        <v>0.55500000000000005</v>
      </c>
      <c r="W446">
        <f>River_data[[#This Row],[BOD Min]]*River_data[[#This Row],[BOD Max]]/2</f>
        <v>12</v>
      </c>
      <c r="X446">
        <f>AVERAGE(River_data[[#This Row],[pH Max]]-River_data[[#This Row],[pH Min]])</f>
        <v>0.59999999999999964</v>
      </c>
    </row>
    <row r="447" spans="1:24" x14ac:dyDescent="0.3">
      <c r="A447">
        <v>2558</v>
      </c>
      <c r="B447" s="1" t="s">
        <v>458</v>
      </c>
      <c r="C447" s="1" t="s">
        <v>207</v>
      </c>
      <c r="D447">
        <v>16</v>
      </c>
      <c r="E447">
        <v>35</v>
      </c>
      <c r="F447">
        <v>0.4</v>
      </c>
      <c r="G447">
        <v>10.6</v>
      </c>
      <c r="H447">
        <v>7.2</v>
      </c>
      <c r="I447">
        <v>7.9</v>
      </c>
      <c r="J447">
        <v>264</v>
      </c>
      <c r="K447">
        <v>579</v>
      </c>
      <c r="L447">
        <v>1</v>
      </c>
      <c r="M447">
        <v>14</v>
      </c>
      <c r="N447">
        <v>0.3</v>
      </c>
      <c r="O447">
        <v>0.3</v>
      </c>
      <c r="P447">
        <v>1700</v>
      </c>
      <c r="Q447">
        <v>92000</v>
      </c>
      <c r="R447">
        <v>4900</v>
      </c>
      <c r="S447">
        <v>160000</v>
      </c>
      <c r="V447">
        <f>River_data[[#This Row],[Dissolved Oxygen Min]]*River_data[[#This Row],[Dissolved Oxygen Max]]/2</f>
        <v>2.12</v>
      </c>
      <c r="W447">
        <f>River_data[[#This Row],[BOD Min]]*River_data[[#This Row],[BOD Max]]/2</f>
        <v>7</v>
      </c>
      <c r="X447">
        <f>AVERAGE(River_data[[#This Row],[pH Max]]-River_data[[#This Row],[pH Min]])</f>
        <v>0.70000000000000018</v>
      </c>
    </row>
    <row r="448" spans="1:24" x14ac:dyDescent="0.3">
      <c r="A448">
        <v>3126</v>
      </c>
      <c r="B448" s="1" t="s">
        <v>459</v>
      </c>
      <c r="C448" s="1" t="s">
        <v>207</v>
      </c>
      <c r="D448">
        <v>16</v>
      </c>
      <c r="E448">
        <v>35</v>
      </c>
      <c r="F448">
        <v>5.6</v>
      </c>
      <c r="G448">
        <v>11.2</v>
      </c>
      <c r="H448">
        <v>7.4</v>
      </c>
      <c r="I448">
        <v>7.9</v>
      </c>
      <c r="J448">
        <v>268</v>
      </c>
      <c r="K448">
        <v>450</v>
      </c>
      <c r="L448">
        <v>1</v>
      </c>
      <c r="M448">
        <v>3</v>
      </c>
      <c r="N448">
        <v>0.12</v>
      </c>
      <c r="O448">
        <v>0.3</v>
      </c>
      <c r="P448">
        <v>1300</v>
      </c>
      <c r="Q448">
        <v>35000</v>
      </c>
      <c r="R448">
        <v>4900</v>
      </c>
      <c r="S448">
        <v>92000</v>
      </c>
      <c r="V448">
        <f>River_data[[#This Row],[Dissolved Oxygen Min]]*River_data[[#This Row],[Dissolved Oxygen Max]]/2</f>
        <v>31.359999999999996</v>
      </c>
      <c r="W448">
        <f>River_data[[#This Row],[BOD Min]]*River_data[[#This Row],[BOD Max]]/2</f>
        <v>1.5</v>
      </c>
      <c r="X448">
        <f>AVERAGE(River_data[[#This Row],[pH Max]]-River_data[[#This Row],[pH Min]])</f>
        <v>0.5</v>
      </c>
    </row>
    <row r="449" spans="1:24" x14ac:dyDescent="0.3">
      <c r="A449">
        <v>2566</v>
      </c>
      <c r="B449" s="1" t="s">
        <v>460</v>
      </c>
      <c r="C449" s="1" t="s">
        <v>207</v>
      </c>
      <c r="D449">
        <v>15</v>
      </c>
      <c r="E449">
        <v>37</v>
      </c>
      <c r="F449">
        <v>7.2</v>
      </c>
      <c r="G449">
        <v>9</v>
      </c>
      <c r="H449">
        <v>7.3</v>
      </c>
      <c r="I449">
        <v>8.3000000000000007</v>
      </c>
      <c r="J449">
        <v>147</v>
      </c>
      <c r="K449">
        <v>296</v>
      </c>
      <c r="L449">
        <v>1</v>
      </c>
      <c r="M449">
        <v>2.5</v>
      </c>
      <c r="N449">
        <v>0.3</v>
      </c>
      <c r="O449">
        <v>0.3</v>
      </c>
      <c r="P449">
        <v>680</v>
      </c>
      <c r="Q449">
        <v>92000</v>
      </c>
      <c r="R449">
        <v>1400</v>
      </c>
      <c r="S449">
        <v>160000</v>
      </c>
      <c r="V449">
        <f>River_data[[#This Row],[Dissolved Oxygen Min]]*River_data[[#This Row],[Dissolved Oxygen Max]]/2</f>
        <v>32.4</v>
      </c>
      <c r="W449">
        <f>River_data[[#This Row],[BOD Min]]*River_data[[#This Row],[BOD Max]]/2</f>
        <v>1.25</v>
      </c>
      <c r="X449">
        <f>AVERAGE(River_data[[#This Row],[pH Max]]-River_data[[#This Row],[pH Min]])</f>
        <v>1.0000000000000009</v>
      </c>
    </row>
    <row r="450" spans="1:24" x14ac:dyDescent="0.3">
      <c r="A450">
        <v>3137</v>
      </c>
      <c r="B450" s="1" t="s">
        <v>461</v>
      </c>
      <c r="C450" s="1" t="s">
        <v>207</v>
      </c>
      <c r="D450">
        <v>16</v>
      </c>
      <c r="E450">
        <v>32</v>
      </c>
      <c r="F450">
        <v>7.2</v>
      </c>
      <c r="G450">
        <v>8.8000000000000007</v>
      </c>
      <c r="H450">
        <v>7.5</v>
      </c>
      <c r="I450">
        <v>8.1</v>
      </c>
      <c r="J450">
        <v>193</v>
      </c>
      <c r="K450">
        <v>368</v>
      </c>
      <c r="L450">
        <v>1</v>
      </c>
      <c r="M450">
        <v>2.5</v>
      </c>
      <c r="N450">
        <v>0.3</v>
      </c>
      <c r="O450">
        <v>0.3</v>
      </c>
      <c r="P450">
        <v>130</v>
      </c>
      <c r="Q450">
        <v>54000</v>
      </c>
      <c r="R450">
        <v>230</v>
      </c>
      <c r="S450">
        <v>160000</v>
      </c>
      <c r="V450">
        <f>River_data[[#This Row],[Dissolved Oxygen Min]]*River_data[[#This Row],[Dissolved Oxygen Max]]/2</f>
        <v>31.680000000000003</v>
      </c>
      <c r="W450">
        <f>River_data[[#This Row],[BOD Min]]*River_data[[#This Row],[BOD Max]]/2</f>
        <v>1.25</v>
      </c>
      <c r="X450">
        <f>AVERAGE(River_data[[#This Row],[pH Max]]-River_data[[#This Row],[pH Min]])</f>
        <v>0.59999999999999964</v>
      </c>
    </row>
    <row r="451" spans="1:24" x14ac:dyDescent="0.3">
      <c r="A451">
        <v>2565</v>
      </c>
      <c r="B451" s="1" t="s">
        <v>462</v>
      </c>
      <c r="C451" s="1" t="s">
        <v>207</v>
      </c>
      <c r="D451">
        <v>16</v>
      </c>
      <c r="E451">
        <v>29</v>
      </c>
      <c r="F451">
        <v>7</v>
      </c>
      <c r="G451">
        <v>9.3000000000000007</v>
      </c>
      <c r="H451">
        <v>7</v>
      </c>
      <c r="I451">
        <v>8.4</v>
      </c>
      <c r="J451">
        <v>137</v>
      </c>
      <c r="K451">
        <v>236</v>
      </c>
      <c r="L451">
        <v>1</v>
      </c>
      <c r="M451">
        <v>2.5</v>
      </c>
      <c r="N451">
        <v>0.3</v>
      </c>
      <c r="O451">
        <v>0.3</v>
      </c>
      <c r="P451">
        <v>1700</v>
      </c>
      <c r="Q451">
        <v>92000</v>
      </c>
      <c r="R451">
        <v>2200</v>
      </c>
      <c r="S451">
        <v>160000</v>
      </c>
      <c r="V451">
        <f>River_data[[#This Row],[Dissolved Oxygen Min]]*River_data[[#This Row],[Dissolved Oxygen Max]]/2</f>
        <v>32.550000000000004</v>
      </c>
      <c r="W451">
        <f>River_data[[#This Row],[BOD Min]]*River_data[[#This Row],[BOD Max]]/2</f>
        <v>1.25</v>
      </c>
      <c r="X451">
        <f>AVERAGE(River_data[[#This Row],[pH Max]]-River_data[[#This Row],[pH Min]])</f>
        <v>1.4000000000000004</v>
      </c>
    </row>
    <row r="452" spans="1:24" x14ac:dyDescent="0.3">
      <c r="A452">
        <v>1821</v>
      </c>
      <c r="B452" s="1" t="s">
        <v>463</v>
      </c>
      <c r="C452" s="1" t="s">
        <v>207</v>
      </c>
      <c r="D452">
        <v>17</v>
      </c>
      <c r="E452">
        <v>32</v>
      </c>
      <c r="F452">
        <v>1.7</v>
      </c>
      <c r="G452">
        <v>6.9</v>
      </c>
      <c r="H452">
        <v>7.3</v>
      </c>
      <c r="I452">
        <v>7.9</v>
      </c>
      <c r="J452">
        <v>230</v>
      </c>
      <c r="K452">
        <v>589</v>
      </c>
      <c r="L452">
        <v>2.1</v>
      </c>
      <c r="M452">
        <v>3.8</v>
      </c>
      <c r="N452">
        <v>0.11</v>
      </c>
      <c r="O452">
        <v>0.3</v>
      </c>
      <c r="P452">
        <v>3300</v>
      </c>
      <c r="Q452">
        <v>92000</v>
      </c>
      <c r="R452">
        <v>4900</v>
      </c>
      <c r="S452">
        <v>160000</v>
      </c>
      <c r="V452">
        <f>River_data[[#This Row],[Dissolved Oxygen Min]]*River_data[[#This Row],[Dissolved Oxygen Max]]/2</f>
        <v>5.8650000000000002</v>
      </c>
      <c r="W452">
        <f>River_data[[#This Row],[BOD Min]]*River_data[[#This Row],[BOD Max]]/2</f>
        <v>3.9899999999999998</v>
      </c>
      <c r="X452">
        <f>AVERAGE(River_data[[#This Row],[pH Max]]-River_data[[#This Row],[pH Min]])</f>
        <v>0.60000000000000053</v>
      </c>
    </row>
    <row r="453" spans="1:24" x14ac:dyDescent="0.3">
      <c r="A453">
        <v>2560</v>
      </c>
      <c r="B453" s="1" t="s">
        <v>464</v>
      </c>
      <c r="C453" s="1" t="s">
        <v>207</v>
      </c>
      <c r="D453">
        <v>18</v>
      </c>
      <c r="E453">
        <v>30</v>
      </c>
      <c r="F453">
        <v>6.5</v>
      </c>
      <c r="G453">
        <v>8.6</v>
      </c>
      <c r="H453">
        <v>7.1</v>
      </c>
      <c r="I453">
        <v>8.1999999999999993</v>
      </c>
      <c r="J453">
        <v>262</v>
      </c>
      <c r="K453">
        <v>406</v>
      </c>
      <c r="L453">
        <v>1</v>
      </c>
      <c r="M453">
        <v>2.4</v>
      </c>
      <c r="N453">
        <v>0.3</v>
      </c>
      <c r="O453">
        <v>0.3</v>
      </c>
      <c r="P453">
        <v>4900</v>
      </c>
      <c r="Q453">
        <v>54000</v>
      </c>
      <c r="R453">
        <v>11000</v>
      </c>
      <c r="S453">
        <v>92000</v>
      </c>
      <c r="V453">
        <f>River_data[[#This Row],[Dissolved Oxygen Min]]*River_data[[#This Row],[Dissolved Oxygen Max]]/2</f>
        <v>27.95</v>
      </c>
      <c r="W453">
        <f>River_data[[#This Row],[BOD Min]]*River_data[[#This Row],[BOD Max]]/2</f>
        <v>1.2</v>
      </c>
      <c r="X453">
        <f>AVERAGE(River_data[[#This Row],[pH Max]]-River_data[[#This Row],[pH Min]])</f>
        <v>1.0999999999999996</v>
      </c>
    </row>
    <row r="454" spans="1:24" x14ac:dyDescent="0.3">
      <c r="A454">
        <v>2561</v>
      </c>
      <c r="B454" s="1" t="s">
        <v>465</v>
      </c>
      <c r="C454" s="1" t="s">
        <v>207</v>
      </c>
      <c r="D454">
        <v>18</v>
      </c>
      <c r="E454">
        <v>32</v>
      </c>
      <c r="F454">
        <v>4.8</v>
      </c>
      <c r="G454">
        <v>8.1999999999999993</v>
      </c>
      <c r="H454">
        <v>7.2</v>
      </c>
      <c r="I454">
        <v>8.1999999999999993</v>
      </c>
      <c r="J454">
        <v>198</v>
      </c>
      <c r="K454">
        <v>511</v>
      </c>
      <c r="L454">
        <v>1.2</v>
      </c>
      <c r="M454">
        <v>2.8</v>
      </c>
      <c r="N454">
        <v>0.3</v>
      </c>
      <c r="O454">
        <v>0.3</v>
      </c>
      <c r="P454">
        <v>1300</v>
      </c>
      <c r="Q454">
        <v>92000</v>
      </c>
      <c r="R454">
        <v>2300</v>
      </c>
      <c r="S454">
        <v>160000</v>
      </c>
      <c r="V454">
        <f>River_data[[#This Row],[Dissolved Oxygen Min]]*River_data[[#This Row],[Dissolved Oxygen Max]]/2</f>
        <v>19.679999999999996</v>
      </c>
      <c r="W454">
        <f>River_data[[#This Row],[BOD Min]]*River_data[[#This Row],[BOD Max]]/2</f>
        <v>1.68</v>
      </c>
      <c r="X454">
        <f>AVERAGE(River_data[[#This Row],[pH Max]]-River_data[[#This Row],[pH Min]])</f>
        <v>0.99999999999999911</v>
      </c>
    </row>
    <row r="455" spans="1:24" x14ac:dyDescent="0.3">
      <c r="A455">
        <v>3129</v>
      </c>
      <c r="B455" s="1" t="s">
        <v>466</v>
      </c>
      <c r="C455" s="1" t="s">
        <v>207</v>
      </c>
      <c r="D455">
        <v>17</v>
      </c>
      <c r="E455">
        <v>32</v>
      </c>
      <c r="F455">
        <v>5.6</v>
      </c>
      <c r="G455">
        <v>7.9</v>
      </c>
      <c r="H455">
        <v>7.3</v>
      </c>
      <c r="I455">
        <v>8.1</v>
      </c>
      <c r="J455">
        <v>193</v>
      </c>
      <c r="K455">
        <v>499</v>
      </c>
      <c r="L455">
        <v>1.8</v>
      </c>
      <c r="M455">
        <v>2.9</v>
      </c>
      <c r="N455">
        <v>0.3</v>
      </c>
      <c r="O455">
        <v>0.3</v>
      </c>
      <c r="P455">
        <v>1300</v>
      </c>
      <c r="Q455">
        <v>35000</v>
      </c>
      <c r="R455">
        <v>2300</v>
      </c>
      <c r="S455">
        <v>54000</v>
      </c>
      <c r="V455">
        <f>River_data[[#This Row],[Dissolved Oxygen Min]]*River_data[[#This Row],[Dissolved Oxygen Max]]/2</f>
        <v>22.12</v>
      </c>
      <c r="W455">
        <f>River_data[[#This Row],[BOD Min]]*River_data[[#This Row],[BOD Max]]/2</f>
        <v>2.61</v>
      </c>
      <c r="X455">
        <f>AVERAGE(River_data[[#This Row],[pH Max]]-River_data[[#This Row],[pH Min]])</f>
        <v>0.79999999999999982</v>
      </c>
    </row>
    <row r="456" spans="1:24" x14ac:dyDescent="0.3">
      <c r="A456">
        <v>4292</v>
      </c>
      <c r="B456" s="1" t="s">
        <v>467</v>
      </c>
      <c r="C456" s="1" t="s">
        <v>207</v>
      </c>
      <c r="D456">
        <v>18</v>
      </c>
      <c r="E456">
        <v>31</v>
      </c>
      <c r="F456">
        <v>6.2</v>
      </c>
      <c r="G456">
        <v>8.9</v>
      </c>
      <c r="H456">
        <v>7.3</v>
      </c>
      <c r="I456">
        <v>8.1</v>
      </c>
      <c r="J456">
        <v>227</v>
      </c>
      <c r="K456">
        <v>435</v>
      </c>
      <c r="L456">
        <v>1</v>
      </c>
      <c r="M456">
        <v>2.9</v>
      </c>
      <c r="N456">
        <v>0.3</v>
      </c>
      <c r="O456">
        <v>0.3</v>
      </c>
      <c r="P456">
        <v>1300</v>
      </c>
      <c r="Q456">
        <v>54000</v>
      </c>
      <c r="R456">
        <v>2300</v>
      </c>
      <c r="S456">
        <v>92000</v>
      </c>
      <c r="V456">
        <f>River_data[[#This Row],[Dissolved Oxygen Min]]*River_data[[#This Row],[Dissolved Oxygen Max]]/2</f>
        <v>27.590000000000003</v>
      </c>
      <c r="W456">
        <f>River_data[[#This Row],[BOD Min]]*River_data[[#This Row],[BOD Max]]/2</f>
        <v>1.45</v>
      </c>
      <c r="X456">
        <f>AVERAGE(River_data[[#This Row],[pH Max]]-River_data[[#This Row],[pH Min]])</f>
        <v>0.79999999999999982</v>
      </c>
    </row>
    <row r="457" spans="1:24" x14ac:dyDescent="0.3">
      <c r="A457">
        <v>4397</v>
      </c>
      <c r="B457" s="1" t="s">
        <v>468</v>
      </c>
      <c r="C457" s="1" t="s">
        <v>207</v>
      </c>
      <c r="D457">
        <v>16</v>
      </c>
      <c r="E457">
        <v>32</v>
      </c>
      <c r="F457">
        <v>1</v>
      </c>
      <c r="G457">
        <v>6.7</v>
      </c>
      <c r="H457">
        <v>7.1</v>
      </c>
      <c r="I457">
        <v>7.9</v>
      </c>
      <c r="J457">
        <v>205</v>
      </c>
      <c r="K457">
        <v>648</v>
      </c>
      <c r="L457">
        <v>2.1</v>
      </c>
      <c r="M457">
        <v>4.2</v>
      </c>
      <c r="N457">
        <v>0.3</v>
      </c>
      <c r="O457">
        <v>0.3</v>
      </c>
      <c r="P457">
        <v>13000</v>
      </c>
      <c r="Q457">
        <v>92000</v>
      </c>
      <c r="R457">
        <v>22000</v>
      </c>
      <c r="S457">
        <v>160000</v>
      </c>
      <c r="V457">
        <f>River_data[[#This Row],[Dissolved Oxygen Min]]*River_data[[#This Row],[Dissolved Oxygen Max]]/2</f>
        <v>3.35</v>
      </c>
      <c r="W457">
        <f>River_data[[#This Row],[BOD Min]]*River_data[[#This Row],[BOD Max]]/2</f>
        <v>4.41</v>
      </c>
      <c r="X457">
        <f>AVERAGE(River_data[[#This Row],[pH Max]]-River_data[[#This Row],[pH Min]])</f>
        <v>0.80000000000000071</v>
      </c>
    </row>
    <row r="458" spans="1:24" x14ac:dyDescent="0.3">
      <c r="A458">
        <v>1823</v>
      </c>
      <c r="B458" s="1" t="s">
        <v>469</v>
      </c>
      <c r="C458" s="1" t="s">
        <v>207</v>
      </c>
      <c r="D458">
        <v>21</v>
      </c>
      <c r="E458">
        <v>30</v>
      </c>
      <c r="F458">
        <v>3.5</v>
      </c>
      <c r="G458">
        <v>8.5</v>
      </c>
      <c r="H458">
        <v>7.1</v>
      </c>
      <c r="I458">
        <v>8.3000000000000007</v>
      </c>
      <c r="J458">
        <v>224</v>
      </c>
      <c r="K458">
        <v>332</v>
      </c>
      <c r="L458">
        <v>1.3</v>
      </c>
      <c r="M458">
        <v>3</v>
      </c>
      <c r="N458">
        <v>0.3</v>
      </c>
      <c r="O458">
        <v>0.9</v>
      </c>
      <c r="P458">
        <v>7900</v>
      </c>
      <c r="Q458">
        <v>92000</v>
      </c>
      <c r="R458">
        <v>11000</v>
      </c>
      <c r="S458">
        <v>160000</v>
      </c>
      <c r="V458">
        <f>River_data[[#This Row],[Dissolved Oxygen Min]]*River_data[[#This Row],[Dissolved Oxygen Max]]/2</f>
        <v>14.875</v>
      </c>
      <c r="W458">
        <f>River_data[[#This Row],[BOD Min]]*River_data[[#This Row],[BOD Max]]/2</f>
        <v>1.9500000000000002</v>
      </c>
      <c r="X458">
        <f>AVERAGE(River_data[[#This Row],[pH Max]]-River_data[[#This Row],[pH Min]])</f>
        <v>1.2000000000000011</v>
      </c>
    </row>
    <row r="459" spans="1:24" x14ac:dyDescent="0.3">
      <c r="A459">
        <v>4405</v>
      </c>
      <c r="B459" s="1" t="s">
        <v>470</v>
      </c>
      <c r="C459" s="1" t="s">
        <v>207</v>
      </c>
      <c r="D459">
        <v>21</v>
      </c>
      <c r="E459">
        <v>30</v>
      </c>
      <c r="F459">
        <v>3</v>
      </c>
      <c r="G459">
        <v>8.3000000000000007</v>
      </c>
      <c r="H459">
        <v>7.2</v>
      </c>
      <c r="I459">
        <v>8.3000000000000007</v>
      </c>
      <c r="J459">
        <v>165</v>
      </c>
      <c r="K459">
        <v>350</v>
      </c>
      <c r="L459">
        <v>1.3</v>
      </c>
      <c r="M459">
        <v>4</v>
      </c>
      <c r="N459">
        <v>0.3</v>
      </c>
      <c r="O459">
        <v>0.3</v>
      </c>
      <c r="P459">
        <v>3300</v>
      </c>
      <c r="Q459">
        <v>92000</v>
      </c>
      <c r="R459">
        <v>4900</v>
      </c>
      <c r="S459">
        <v>160000</v>
      </c>
      <c r="V459">
        <f>River_data[[#This Row],[Dissolved Oxygen Min]]*River_data[[#This Row],[Dissolved Oxygen Max]]/2</f>
        <v>12.450000000000001</v>
      </c>
      <c r="W459">
        <f>River_data[[#This Row],[BOD Min]]*River_data[[#This Row],[BOD Max]]/2</f>
        <v>2.6</v>
      </c>
      <c r="X459">
        <f>AVERAGE(River_data[[#This Row],[pH Max]]-River_data[[#This Row],[pH Min]])</f>
        <v>1.1000000000000005</v>
      </c>
    </row>
    <row r="460" spans="1:24" x14ac:dyDescent="0.3">
      <c r="A460">
        <v>2559</v>
      </c>
      <c r="B460" s="1" t="s">
        <v>471</v>
      </c>
      <c r="C460" s="1" t="s">
        <v>207</v>
      </c>
      <c r="D460">
        <v>15</v>
      </c>
      <c r="E460">
        <v>30</v>
      </c>
      <c r="F460">
        <v>0.3</v>
      </c>
      <c r="G460">
        <v>6.3</v>
      </c>
      <c r="H460">
        <v>6.7</v>
      </c>
      <c r="I460">
        <v>7.8</v>
      </c>
      <c r="J460">
        <v>283</v>
      </c>
      <c r="K460">
        <v>735</v>
      </c>
      <c r="L460">
        <v>2.5</v>
      </c>
      <c r="M460">
        <v>8</v>
      </c>
      <c r="N460">
        <v>0.3</v>
      </c>
      <c r="O460">
        <v>0.3</v>
      </c>
      <c r="P460">
        <v>2300</v>
      </c>
      <c r="Q460">
        <v>92000</v>
      </c>
      <c r="R460">
        <v>3300</v>
      </c>
      <c r="S460">
        <v>160000</v>
      </c>
      <c r="V460">
        <f>River_data[[#This Row],[Dissolved Oxygen Min]]*River_data[[#This Row],[Dissolved Oxygen Max]]/2</f>
        <v>0.94499999999999995</v>
      </c>
      <c r="W460">
        <f>River_data[[#This Row],[BOD Min]]*River_data[[#This Row],[BOD Max]]/2</f>
        <v>10</v>
      </c>
      <c r="X460">
        <f>AVERAGE(River_data[[#This Row],[pH Max]]-River_data[[#This Row],[pH Min]])</f>
        <v>1.0999999999999996</v>
      </c>
    </row>
    <row r="461" spans="1:24" x14ac:dyDescent="0.3">
      <c r="A461">
        <v>3130</v>
      </c>
      <c r="B461" s="1" t="s">
        <v>472</v>
      </c>
      <c r="C461" s="1" t="s">
        <v>207</v>
      </c>
      <c r="D461">
        <v>14</v>
      </c>
      <c r="E461">
        <v>29</v>
      </c>
      <c r="F461">
        <v>0.3</v>
      </c>
      <c r="G461">
        <v>6.5</v>
      </c>
      <c r="H461">
        <v>7.1</v>
      </c>
      <c r="I461">
        <v>7.8</v>
      </c>
      <c r="J461">
        <v>263</v>
      </c>
      <c r="K461">
        <v>359</v>
      </c>
      <c r="L461">
        <v>2.1</v>
      </c>
      <c r="M461">
        <v>8</v>
      </c>
      <c r="N461">
        <v>0.3</v>
      </c>
      <c r="O461">
        <v>0.3</v>
      </c>
      <c r="P461">
        <v>7000</v>
      </c>
      <c r="Q461">
        <v>92000</v>
      </c>
      <c r="R461">
        <v>14000</v>
      </c>
      <c r="S461">
        <v>160000</v>
      </c>
      <c r="V461">
        <f>River_data[[#This Row],[Dissolved Oxygen Min]]*River_data[[#This Row],[Dissolved Oxygen Max]]/2</f>
        <v>0.97499999999999998</v>
      </c>
      <c r="W461">
        <f>River_data[[#This Row],[BOD Min]]*River_data[[#This Row],[BOD Max]]/2</f>
        <v>8.4</v>
      </c>
      <c r="X461">
        <f>AVERAGE(River_data[[#This Row],[pH Max]]-River_data[[#This Row],[pH Min]])</f>
        <v>0.70000000000000018</v>
      </c>
    </row>
    <row r="462" spans="1:24" x14ac:dyDescent="0.3">
      <c r="A462">
        <v>3132</v>
      </c>
      <c r="B462" s="1" t="s">
        <v>473</v>
      </c>
      <c r="C462" s="1" t="s">
        <v>207</v>
      </c>
      <c r="D462">
        <v>19</v>
      </c>
      <c r="E462">
        <v>30</v>
      </c>
      <c r="F462">
        <v>7.1</v>
      </c>
      <c r="G462">
        <v>9.8000000000000007</v>
      </c>
      <c r="H462">
        <v>7.3</v>
      </c>
      <c r="I462">
        <v>8.1999999999999993</v>
      </c>
      <c r="J462">
        <v>236</v>
      </c>
      <c r="K462">
        <v>359</v>
      </c>
      <c r="L462">
        <v>1</v>
      </c>
      <c r="M462">
        <v>2.2000000000000002</v>
      </c>
      <c r="N462">
        <v>0.3</v>
      </c>
      <c r="O462">
        <v>0.3</v>
      </c>
      <c r="P462">
        <v>170</v>
      </c>
      <c r="Q462">
        <v>54000</v>
      </c>
      <c r="R462">
        <v>790</v>
      </c>
      <c r="S462">
        <v>92000</v>
      </c>
      <c r="V462">
        <f>River_data[[#This Row],[Dissolved Oxygen Min]]*River_data[[#This Row],[Dissolved Oxygen Max]]/2</f>
        <v>34.79</v>
      </c>
      <c r="W462">
        <f>River_data[[#This Row],[BOD Min]]*River_data[[#This Row],[BOD Max]]/2</f>
        <v>1.1000000000000001</v>
      </c>
      <c r="X462">
        <f>AVERAGE(River_data[[#This Row],[pH Max]]-River_data[[#This Row],[pH Min]])</f>
        <v>0.89999999999999947</v>
      </c>
    </row>
    <row r="463" spans="1:24" x14ac:dyDescent="0.3">
      <c r="A463">
        <v>3135</v>
      </c>
      <c r="B463" s="1" t="s">
        <v>474</v>
      </c>
      <c r="C463" s="1" t="s">
        <v>207</v>
      </c>
      <c r="D463">
        <v>21</v>
      </c>
      <c r="E463">
        <v>30</v>
      </c>
      <c r="F463">
        <v>5.9</v>
      </c>
      <c r="G463">
        <v>9.5</v>
      </c>
      <c r="H463">
        <v>7.5</v>
      </c>
      <c r="I463">
        <v>8.4</v>
      </c>
      <c r="J463">
        <v>168</v>
      </c>
      <c r="K463">
        <v>372</v>
      </c>
      <c r="L463">
        <v>1</v>
      </c>
      <c r="M463">
        <v>2.9</v>
      </c>
      <c r="N463">
        <v>0.3</v>
      </c>
      <c r="O463">
        <v>0.3</v>
      </c>
      <c r="P463">
        <v>1300</v>
      </c>
      <c r="Q463">
        <v>35000</v>
      </c>
      <c r="R463">
        <v>2400</v>
      </c>
      <c r="S463">
        <v>92000</v>
      </c>
      <c r="V463">
        <f>River_data[[#This Row],[Dissolved Oxygen Min]]*River_data[[#This Row],[Dissolved Oxygen Max]]/2</f>
        <v>28.025000000000002</v>
      </c>
      <c r="W463">
        <f>River_data[[#This Row],[BOD Min]]*River_data[[#This Row],[BOD Max]]/2</f>
        <v>1.45</v>
      </c>
      <c r="X463">
        <f>AVERAGE(River_data[[#This Row],[pH Max]]-River_data[[#This Row],[pH Min]])</f>
        <v>0.90000000000000036</v>
      </c>
    </row>
    <row r="464" spans="1:24" x14ac:dyDescent="0.3">
      <c r="A464">
        <v>2563</v>
      </c>
      <c r="B464" s="1" t="s">
        <v>475</v>
      </c>
      <c r="C464" s="1" t="s">
        <v>207</v>
      </c>
      <c r="D464">
        <v>20</v>
      </c>
      <c r="E464">
        <v>31</v>
      </c>
      <c r="F464">
        <v>6.4</v>
      </c>
      <c r="G464">
        <v>9.8000000000000007</v>
      </c>
      <c r="H464">
        <v>7.3</v>
      </c>
      <c r="I464">
        <v>8.4</v>
      </c>
      <c r="J464">
        <v>230</v>
      </c>
      <c r="K464">
        <v>515</v>
      </c>
      <c r="L464">
        <v>1</v>
      </c>
      <c r="M464">
        <v>2.7</v>
      </c>
      <c r="N464">
        <v>0.3</v>
      </c>
      <c r="O464">
        <v>0.3</v>
      </c>
      <c r="P464">
        <v>2300</v>
      </c>
      <c r="Q464">
        <v>24000</v>
      </c>
      <c r="R464">
        <v>3300</v>
      </c>
      <c r="S464">
        <v>54000</v>
      </c>
      <c r="V464">
        <f>River_data[[#This Row],[Dissolved Oxygen Min]]*River_data[[#This Row],[Dissolved Oxygen Max]]/2</f>
        <v>31.360000000000003</v>
      </c>
      <c r="W464">
        <f>River_data[[#This Row],[BOD Min]]*River_data[[#This Row],[BOD Max]]/2</f>
        <v>1.35</v>
      </c>
      <c r="X464">
        <f>AVERAGE(River_data[[#This Row],[pH Max]]-River_data[[#This Row],[pH Min]])</f>
        <v>1.1000000000000005</v>
      </c>
    </row>
    <row r="465" spans="1:24" x14ac:dyDescent="0.3">
      <c r="A465">
        <v>3131</v>
      </c>
      <c r="B465" s="1" t="s">
        <v>476</v>
      </c>
      <c r="C465" s="1" t="s">
        <v>207</v>
      </c>
      <c r="D465">
        <v>19</v>
      </c>
      <c r="E465">
        <v>31</v>
      </c>
      <c r="F465">
        <v>6.9</v>
      </c>
      <c r="G465">
        <v>9.6</v>
      </c>
      <c r="H465">
        <v>7.2</v>
      </c>
      <c r="I465">
        <v>8.3000000000000007</v>
      </c>
      <c r="J465">
        <v>226</v>
      </c>
      <c r="K465">
        <v>456</v>
      </c>
      <c r="L465">
        <v>1</v>
      </c>
      <c r="M465">
        <v>2.5</v>
      </c>
      <c r="N465">
        <v>0.3</v>
      </c>
      <c r="O465">
        <v>0.3</v>
      </c>
      <c r="P465">
        <v>1700</v>
      </c>
      <c r="Q465">
        <v>24000</v>
      </c>
      <c r="R465">
        <v>3300</v>
      </c>
      <c r="S465">
        <v>35000</v>
      </c>
      <c r="V465">
        <f>River_data[[#This Row],[Dissolved Oxygen Min]]*River_data[[#This Row],[Dissolved Oxygen Max]]/2</f>
        <v>33.119999999999997</v>
      </c>
      <c r="W465">
        <f>River_data[[#This Row],[BOD Min]]*River_data[[#This Row],[BOD Max]]/2</f>
        <v>1.25</v>
      </c>
      <c r="X465">
        <f>AVERAGE(River_data[[#This Row],[pH Max]]-River_data[[#This Row],[pH Min]])</f>
        <v>1.1000000000000005</v>
      </c>
    </row>
    <row r="466" spans="1:24" x14ac:dyDescent="0.3">
      <c r="A466">
        <v>4402</v>
      </c>
      <c r="B466" s="1" t="s">
        <v>477</v>
      </c>
      <c r="C466" s="1" t="s">
        <v>207</v>
      </c>
      <c r="D466">
        <v>19</v>
      </c>
      <c r="E466">
        <v>31</v>
      </c>
      <c r="F466">
        <v>7.5</v>
      </c>
      <c r="G466">
        <v>8.9</v>
      </c>
      <c r="H466">
        <v>7.4</v>
      </c>
      <c r="I466">
        <v>8.1999999999999993</v>
      </c>
      <c r="J466">
        <v>336</v>
      </c>
      <c r="K466">
        <v>369</v>
      </c>
      <c r="L466">
        <v>1</v>
      </c>
      <c r="M466">
        <v>1.9</v>
      </c>
      <c r="N466">
        <v>0.3</v>
      </c>
      <c r="O466">
        <v>0.3</v>
      </c>
      <c r="P466">
        <v>1300</v>
      </c>
      <c r="Q466">
        <v>35000</v>
      </c>
      <c r="R466">
        <v>3300</v>
      </c>
      <c r="S466">
        <v>92000</v>
      </c>
      <c r="V466">
        <f>River_data[[#This Row],[Dissolved Oxygen Min]]*River_data[[#This Row],[Dissolved Oxygen Max]]/2</f>
        <v>33.375</v>
      </c>
      <c r="W466">
        <f>River_data[[#This Row],[BOD Min]]*River_data[[#This Row],[BOD Max]]/2</f>
        <v>0.95</v>
      </c>
      <c r="X466">
        <f>AVERAGE(River_data[[#This Row],[pH Max]]-River_data[[#This Row],[pH Min]])</f>
        <v>0.79999999999999893</v>
      </c>
    </row>
    <row r="467" spans="1:24" x14ac:dyDescent="0.3">
      <c r="A467">
        <v>2555</v>
      </c>
      <c r="B467" s="1" t="s">
        <v>478</v>
      </c>
      <c r="C467" s="1" t="s">
        <v>207</v>
      </c>
      <c r="D467">
        <v>14</v>
      </c>
      <c r="E467">
        <v>33</v>
      </c>
      <c r="F467">
        <v>0.3</v>
      </c>
      <c r="G467">
        <v>6.7</v>
      </c>
      <c r="H467">
        <v>7</v>
      </c>
      <c r="I467">
        <v>8</v>
      </c>
      <c r="J467">
        <v>280</v>
      </c>
      <c r="K467">
        <v>925</v>
      </c>
      <c r="L467">
        <v>1.8</v>
      </c>
      <c r="M467">
        <v>5</v>
      </c>
      <c r="N467">
        <v>0.3</v>
      </c>
      <c r="O467">
        <v>0.3</v>
      </c>
      <c r="P467">
        <v>22000</v>
      </c>
      <c r="Q467">
        <v>92000</v>
      </c>
      <c r="R467">
        <v>28000</v>
      </c>
      <c r="S467">
        <v>160000</v>
      </c>
      <c r="V467">
        <f>River_data[[#This Row],[Dissolved Oxygen Min]]*River_data[[#This Row],[Dissolved Oxygen Max]]/2</f>
        <v>1.0049999999999999</v>
      </c>
      <c r="W467">
        <f>River_data[[#This Row],[BOD Min]]*River_data[[#This Row],[BOD Max]]/2</f>
        <v>4.5</v>
      </c>
      <c r="X467">
        <f>AVERAGE(River_data[[#This Row],[pH Max]]-River_data[[#This Row],[pH Min]])</f>
        <v>1</v>
      </c>
    </row>
    <row r="468" spans="1:24" x14ac:dyDescent="0.3">
      <c r="A468">
        <v>3119</v>
      </c>
      <c r="B468" s="1" t="s">
        <v>479</v>
      </c>
      <c r="C468" s="1" t="s">
        <v>207</v>
      </c>
      <c r="D468">
        <v>13</v>
      </c>
      <c r="E468">
        <v>29</v>
      </c>
      <c r="F468">
        <v>7.5</v>
      </c>
      <c r="G468">
        <v>8.6</v>
      </c>
      <c r="H468">
        <v>7.5</v>
      </c>
      <c r="I468">
        <v>8</v>
      </c>
      <c r="J468">
        <v>230</v>
      </c>
      <c r="K468">
        <v>462</v>
      </c>
      <c r="L468">
        <v>1.1000000000000001</v>
      </c>
      <c r="M468">
        <v>2.2000000000000002</v>
      </c>
      <c r="N468">
        <v>0.3</v>
      </c>
      <c r="O468">
        <v>0.3</v>
      </c>
      <c r="P468">
        <v>7000</v>
      </c>
      <c r="Q468">
        <v>35000</v>
      </c>
      <c r="R468">
        <v>11000</v>
      </c>
      <c r="S468">
        <v>54000</v>
      </c>
      <c r="V468">
        <f>River_data[[#This Row],[Dissolved Oxygen Min]]*River_data[[#This Row],[Dissolved Oxygen Max]]/2</f>
        <v>32.25</v>
      </c>
      <c r="W468">
        <f>River_data[[#This Row],[BOD Min]]*River_data[[#This Row],[BOD Max]]/2</f>
        <v>1.2100000000000002</v>
      </c>
      <c r="X468">
        <f>AVERAGE(River_data[[#This Row],[pH Max]]-River_data[[#This Row],[pH Min]])</f>
        <v>0.5</v>
      </c>
    </row>
    <row r="469" spans="1:24" x14ac:dyDescent="0.3">
      <c r="A469">
        <v>3120</v>
      </c>
      <c r="B469" s="1" t="s">
        <v>480</v>
      </c>
      <c r="C469" s="1" t="s">
        <v>207</v>
      </c>
      <c r="D469">
        <v>10</v>
      </c>
      <c r="E469">
        <v>31</v>
      </c>
      <c r="F469">
        <v>7.3</v>
      </c>
      <c r="G469">
        <v>9.5</v>
      </c>
      <c r="H469">
        <v>7.5</v>
      </c>
      <c r="I469">
        <v>8.4</v>
      </c>
      <c r="J469">
        <v>222</v>
      </c>
      <c r="K469">
        <v>365</v>
      </c>
      <c r="L469">
        <v>1</v>
      </c>
      <c r="M469">
        <v>2.6</v>
      </c>
      <c r="N469">
        <v>0.3</v>
      </c>
      <c r="O469">
        <v>0.3</v>
      </c>
      <c r="P469">
        <v>450</v>
      </c>
      <c r="Q469">
        <v>28000</v>
      </c>
      <c r="R469">
        <v>3300</v>
      </c>
      <c r="S469">
        <v>92000</v>
      </c>
      <c r="V469">
        <f>River_data[[#This Row],[Dissolved Oxygen Min]]*River_data[[#This Row],[Dissolved Oxygen Max]]/2</f>
        <v>34.674999999999997</v>
      </c>
      <c r="W469">
        <f>River_data[[#This Row],[BOD Min]]*River_data[[#This Row],[BOD Max]]/2</f>
        <v>1.3</v>
      </c>
      <c r="X469">
        <f>AVERAGE(River_data[[#This Row],[pH Max]]-River_data[[#This Row],[pH Min]])</f>
        <v>0.90000000000000036</v>
      </c>
    </row>
    <row r="470" spans="1:24" x14ac:dyDescent="0.3">
      <c r="A470">
        <v>4406</v>
      </c>
      <c r="B470" s="1" t="s">
        <v>481</v>
      </c>
      <c r="C470" s="1" t="s">
        <v>207</v>
      </c>
      <c r="D470">
        <v>13</v>
      </c>
      <c r="E470">
        <v>29</v>
      </c>
      <c r="F470">
        <v>7.2</v>
      </c>
      <c r="G470">
        <v>8.6</v>
      </c>
      <c r="H470">
        <v>7.5</v>
      </c>
      <c r="I470">
        <v>8.1999999999999993</v>
      </c>
      <c r="J470">
        <v>198</v>
      </c>
      <c r="K470">
        <v>430</v>
      </c>
      <c r="L470">
        <v>1</v>
      </c>
      <c r="M470">
        <v>2.1</v>
      </c>
      <c r="N470">
        <v>0.3</v>
      </c>
      <c r="O470">
        <v>0.3</v>
      </c>
      <c r="P470">
        <v>7900</v>
      </c>
      <c r="Q470">
        <v>92000</v>
      </c>
      <c r="R470">
        <v>11000</v>
      </c>
      <c r="S470">
        <v>160000</v>
      </c>
      <c r="V470">
        <f>River_data[[#This Row],[Dissolved Oxygen Min]]*River_data[[#This Row],[Dissolved Oxygen Max]]/2</f>
        <v>30.96</v>
      </c>
      <c r="W470">
        <f>River_data[[#This Row],[BOD Min]]*River_data[[#This Row],[BOD Max]]/2</f>
        <v>1.05</v>
      </c>
      <c r="X470">
        <f>AVERAGE(River_data[[#This Row],[pH Max]]-River_data[[#This Row],[pH Min]])</f>
        <v>0.69999999999999929</v>
      </c>
    </row>
    <row r="471" spans="1:24" x14ac:dyDescent="0.3">
      <c r="A471">
        <v>4293</v>
      </c>
      <c r="B471" s="1" t="s">
        <v>482</v>
      </c>
      <c r="C471" s="1" t="s">
        <v>207</v>
      </c>
      <c r="D471">
        <v>20</v>
      </c>
      <c r="E471">
        <v>32</v>
      </c>
      <c r="F471">
        <v>3.6</v>
      </c>
      <c r="G471">
        <v>11.4</v>
      </c>
      <c r="H471">
        <v>7.2</v>
      </c>
      <c r="I471">
        <v>7.8</v>
      </c>
      <c r="J471">
        <v>246</v>
      </c>
      <c r="K471">
        <v>580</v>
      </c>
      <c r="L471">
        <v>1.5</v>
      </c>
      <c r="M471">
        <v>3.1</v>
      </c>
      <c r="N471">
        <v>0.3</v>
      </c>
      <c r="O471">
        <v>0.3</v>
      </c>
      <c r="P471">
        <v>1300</v>
      </c>
      <c r="Q471">
        <v>92000</v>
      </c>
      <c r="R471">
        <v>2200</v>
      </c>
      <c r="S471">
        <v>160000</v>
      </c>
      <c r="V471">
        <f>River_data[[#This Row],[Dissolved Oxygen Min]]*River_data[[#This Row],[Dissolved Oxygen Max]]/2</f>
        <v>20.52</v>
      </c>
      <c r="W471">
        <f>River_data[[#This Row],[BOD Min]]*River_data[[#This Row],[BOD Max]]/2</f>
        <v>2.3250000000000002</v>
      </c>
      <c r="X471">
        <f>AVERAGE(River_data[[#This Row],[pH Max]]-River_data[[#This Row],[pH Min]])</f>
        <v>0.59999999999999964</v>
      </c>
    </row>
    <row r="472" spans="1:24" x14ac:dyDescent="0.3">
      <c r="A472">
        <v>4294</v>
      </c>
      <c r="B472" s="1" t="s">
        <v>483</v>
      </c>
      <c r="C472" s="1" t="s">
        <v>207</v>
      </c>
      <c r="D472">
        <v>20</v>
      </c>
      <c r="E472">
        <v>32</v>
      </c>
      <c r="F472">
        <v>0.3</v>
      </c>
      <c r="G472">
        <v>9.6999999999999993</v>
      </c>
      <c r="H472">
        <v>7.3</v>
      </c>
      <c r="I472">
        <v>8.3000000000000007</v>
      </c>
      <c r="J472">
        <v>252</v>
      </c>
      <c r="K472">
        <v>897</v>
      </c>
      <c r="L472">
        <v>1.6</v>
      </c>
      <c r="M472">
        <v>20</v>
      </c>
      <c r="N472">
        <v>0.3</v>
      </c>
      <c r="O472">
        <v>0.3</v>
      </c>
      <c r="P472">
        <v>1300</v>
      </c>
      <c r="Q472">
        <v>92000</v>
      </c>
      <c r="R472">
        <v>3300</v>
      </c>
      <c r="S472">
        <v>160000</v>
      </c>
      <c r="V472">
        <f>River_data[[#This Row],[Dissolved Oxygen Min]]*River_data[[#This Row],[Dissolved Oxygen Max]]/2</f>
        <v>1.4549999999999998</v>
      </c>
      <c r="W472">
        <f>River_data[[#This Row],[BOD Min]]*River_data[[#This Row],[BOD Max]]/2</f>
        <v>16</v>
      </c>
      <c r="X472">
        <f>AVERAGE(River_data[[#This Row],[pH Max]]-River_data[[#This Row],[pH Min]])</f>
        <v>1.0000000000000009</v>
      </c>
    </row>
    <row r="473" spans="1:24" x14ac:dyDescent="0.3">
      <c r="A473">
        <v>4399</v>
      </c>
      <c r="B473" s="1" t="s">
        <v>484</v>
      </c>
      <c r="C473" s="1" t="s">
        <v>207</v>
      </c>
      <c r="D473">
        <v>18</v>
      </c>
      <c r="E473">
        <v>33</v>
      </c>
      <c r="F473">
        <v>5.0999999999999996</v>
      </c>
      <c r="G473">
        <v>9.8000000000000007</v>
      </c>
      <c r="H473">
        <v>7.5</v>
      </c>
      <c r="I473">
        <v>8.1</v>
      </c>
      <c r="J473">
        <v>204</v>
      </c>
      <c r="K473">
        <v>392</v>
      </c>
      <c r="L473">
        <v>1</v>
      </c>
      <c r="M473">
        <v>2.6</v>
      </c>
      <c r="N473">
        <v>0.3</v>
      </c>
      <c r="O473">
        <v>0.3</v>
      </c>
      <c r="P473">
        <v>1100</v>
      </c>
      <c r="Q473">
        <v>54000</v>
      </c>
      <c r="R473">
        <v>2100</v>
      </c>
      <c r="S473">
        <v>92000</v>
      </c>
      <c r="V473">
        <f>River_data[[#This Row],[Dissolved Oxygen Min]]*River_data[[#This Row],[Dissolved Oxygen Max]]/2</f>
        <v>24.99</v>
      </c>
      <c r="W473">
        <f>River_data[[#This Row],[BOD Min]]*River_data[[#This Row],[BOD Max]]/2</f>
        <v>1.3</v>
      </c>
      <c r="X473">
        <f>AVERAGE(River_data[[#This Row],[pH Max]]-River_data[[#This Row],[pH Min]])</f>
        <v>0.59999999999999964</v>
      </c>
    </row>
    <row r="474" spans="1:24" x14ac:dyDescent="0.3">
      <c r="A474">
        <v>4400</v>
      </c>
      <c r="B474" s="1" t="s">
        <v>485</v>
      </c>
      <c r="C474" s="1" t="s">
        <v>207</v>
      </c>
      <c r="D474">
        <v>19</v>
      </c>
      <c r="E474">
        <v>30</v>
      </c>
      <c r="F474">
        <v>5.2</v>
      </c>
      <c r="G474">
        <v>9.4</v>
      </c>
      <c r="H474">
        <v>7.5</v>
      </c>
      <c r="I474">
        <v>8.1999999999999993</v>
      </c>
      <c r="J474">
        <v>240</v>
      </c>
      <c r="K474">
        <v>396</v>
      </c>
      <c r="L474">
        <v>1</v>
      </c>
      <c r="M474">
        <v>2.2000000000000002</v>
      </c>
      <c r="N474">
        <v>0.3</v>
      </c>
      <c r="O474">
        <v>0.3</v>
      </c>
      <c r="P474">
        <v>1300</v>
      </c>
      <c r="Q474">
        <v>54000</v>
      </c>
      <c r="R474">
        <v>2600</v>
      </c>
      <c r="S474">
        <v>160000</v>
      </c>
      <c r="V474">
        <f>River_data[[#This Row],[Dissolved Oxygen Min]]*River_data[[#This Row],[Dissolved Oxygen Max]]/2</f>
        <v>24.44</v>
      </c>
      <c r="W474">
        <f>River_data[[#This Row],[BOD Min]]*River_data[[#This Row],[BOD Max]]/2</f>
        <v>1.1000000000000001</v>
      </c>
      <c r="X474">
        <f>AVERAGE(River_data[[#This Row],[pH Max]]-River_data[[#This Row],[pH Min]])</f>
        <v>0.69999999999999929</v>
      </c>
    </row>
    <row r="475" spans="1:24" x14ac:dyDescent="0.3">
      <c r="A475">
        <v>4401</v>
      </c>
      <c r="B475" s="1" t="s">
        <v>486</v>
      </c>
      <c r="C475" s="1" t="s">
        <v>207</v>
      </c>
      <c r="D475">
        <v>19</v>
      </c>
      <c r="E475">
        <v>30</v>
      </c>
      <c r="F475">
        <v>4.0999999999999996</v>
      </c>
      <c r="G475">
        <v>7.1</v>
      </c>
      <c r="H475">
        <v>7.5</v>
      </c>
      <c r="I475">
        <v>8.1</v>
      </c>
      <c r="J475">
        <v>264</v>
      </c>
      <c r="K475">
        <v>461</v>
      </c>
      <c r="L475">
        <v>1.5</v>
      </c>
      <c r="M475">
        <v>3.5</v>
      </c>
      <c r="N475">
        <v>0.3</v>
      </c>
      <c r="O475">
        <v>0.3</v>
      </c>
      <c r="P475">
        <v>2100</v>
      </c>
      <c r="Q475">
        <v>92000</v>
      </c>
      <c r="R475">
        <v>7000</v>
      </c>
      <c r="S475">
        <v>160000</v>
      </c>
      <c r="V475">
        <f>River_data[[#This Row],[Dissolved Oxygen Min]]*River_data[[#This Row],[Dissolved Oxygen Max]]/2</f>
        <v>14.554999999999998</v>
      </c>
      <c r="W475">
        <f>River_data[[#This Row],[BOD Min]]*River_data[[#This Row],[BOD Max]]/2</f>
        <v>2.625</v>
      </c>
      <c r="X475">
        <f>AVERAGE(River_data[[#This Row],[pH Max]]-River_data[[#This Row],[pH Min]])</f>
        <v>0.59999999999999964</v>
      </c>
    </row>
    <row r="476" spans="1:24" x14ac:dyDescent="0.3">
      <c r="A476">
        <v>4404</v>
      </c>
      <c r="B476" s="1" t="s">
        <v>487</v>
      </c>
      <c r="C476" s="1" t="s">
        <v>207</v>
      </c>
      <c r="D476">
        <v>18</v>
      </c>
      <c r="E476">
        <v>29</v>
      </c>
      <c r="F476">
        <v>1.5</v>
      </c>
      <c r="G476">
        <v>6.2</v>
      </c>
      <c r="H476">
        <v>7.5</v>
      </c>
      <c r="I476">
        <v>8.1999999999999993</v>
      </c>
      <c r="J476">
        <v>169</v>
      </c>
      <c r="K476">
        <v>663</v>
      </c>
      <c r="L476">
        <v>2.4</v>
      </c>
      <c r="M476">
        <v>8</v>
      </c>
      <c r="N476">
        <v>0.3</v>
      </c>
      <c r="O476">
        <v>0.3</v>
      </c>
      <c r="P476">
        <v>11000</v>
      </c>
      <c r="Q476">
        <v>92000</v>
      </c>
      <c r="R476">
        <v>14000</v>
      </c>
      <c r="S476">
        <v>160000</v>
      </c>
      <c r="V476">
        <f>River_data[[#This Row],[Dissolved Oxygen Min]]*River_data[[#This Row],[Dissolved Oxygen Max]]/2</f>
        <v>4.6500000000000004</v>
      </c>
      <c r="W476">
        <f>River_data[[#This Row],[BOD Min]]*River_data[[#This Row],[BOD Max]]/2</f>
        <v>9.6</v>
      </c>
      <c r="X476">
        <f>AVERAGE(River_data[[#This Row],[pH Max]]-River_data[[#This Row],[pH Min]])</f>
        <v>0.69999999999999929</v>
      </c>
    </row>
    <row r="477" spans="1:24" x14ac:dyDescent="0.3">
      <c r="A477">
        <v>1824</v>
      </c>
      <c r="B477" s="1" t="s">
        <v>488</v>
      </c>
      <c r="C477" s="1" t="s">
        <v>207</v>
      </c>
      <c r="D477">
        <v>16</v>
      </c>
      <c r="E477">
        <v>34</v>
      </c>
      <c r="F477">
        <v>6.4</v>
      </c>
      <c r="G477">
        <v>8.5</v>
      </c>
      <c r="H477">
        <v>7.3</v>
      </c>
      <c r="I477">
        <v>8</v>
      </c>
      <c r="J477">
        <v>210</v>
      </c>
      <c r="K477">
        <v>341</v>
      </c>
      <c r="L477">
        <v>1</v>
      </c>
      <c r="M477">
        <v>2.6</v>
      </c>
      <c r="N477">
        <v>0.3</v>
      </c>
      <c r="O477">
        <v>0.3</v>
      </c>
      <c r="P477">
        <v>4900</v>
      </c>
      <c r="Q477">
        <v>92000</v>
      </c>
      <c r="R477">
        <v>7900</v>
      </c>
      <c r="S477">
        <v>160000</v>
      </c>
      <c r="V477">
        <f>River_data[[#This Row],[Dissolved Oxygen Min]]*River_data[[#This Row],[Dissolved Oxygen Max]]/2</f>
        <v>27.200000000000003</v>
      </c>
      <c r="W477">
        <f>River_data[[#This Row],[BOD Min]]*River_data[[#This Row],[BOD Max]]/2</f>
        <v>1.3</v>
      </c>
      <c r="X477">
        <f>AVERAGE(River_data[[#This Row],[pH Max]]-River_data[[#This Row],[pH Min]])</f>
        <v>0.70000000000000018</v>
      </c>
    </row>
    <row r="478" spans="1:24" x14ac:dyDescent="0.3">
      <c r="A478">
        <v>2117</v>
      </c>
      <c r="B478" s="1" t="s">
        <v>489</v>
      </c>
      <c r="C478" s="1" t="s">
        <v>352</v>
      </c>
      <c r="D478">
        <v>21.2</v>
      </c>
      <c r="E478">
        <v>29.5</v>
      </c>
      <c r="F478">
        <v>6.4</v>
      </c>
      <c r="G478">
        <v>7.2</v>
      </c>
      <c r="H478">
        <v>7.1</v>
      </c>
      <c r="I478">
        <v>8.5</v>
      </c>
      <c r="J478">
        <v>258</v>
      </c>
      <c r="K478">
        <v>571</v>
      </c>
      <c r="L478">
        <v>1.8</v>
      </c>
      <c r="M478">
        <v>2.8</v>
      </c>
      <c r="N478">
        <v>0.71</v>
      </c>
      <c r="O478">
        <v>1.06</v>
      </c>
      <c r="P478">
        <v>2</v>
      </c>
      <c r="Q478">
        <v>8</v>
      </c>
      <c r="R478">
        <v>63</v>
      </c>
      <c r="S478">
        <v>94</v>
      </c>
      <c r="T478">
        <v>2</v>
      </c>
      <c r="U478">
        <v>2</v>
      </c>
      <c r="V478">
        <f>River_data[[#This Row],[Dissolved Oxygen Min]]*River_data[[#This Row],[Dissolved Oxygen Max]]/2</f>
        <v>23.040000000000003</v>
      </c>
      <c r="W478">
        <f>River_data[[#This Row],[BOD Min]]*River_data[[#This Row],[BOD Max]]/2</f>
        <v>2.52</v>
      </c>
      <c r="X478">
        <f>AVERAGE(River_data[[#This Row],[pH Max]]-River_data[[#This Row],[pH Min]])</f>
        <v>1.4000000000000004</v>
      </c>
    </row>
    <row r="479" spans="1:24" x14ac:dyDescent="0.3">
      <c r="A479">
        <v>1433</v>
      </c>
      <c r="B479" s="1" t="s">
        <v>490</v>
      </c>
      <c r="C479" s="1" t="s">
        <v>352</v>
      </c>
      <c r="D479">
        <v>15</v>
      </c>
      <c r="E479">
        <v>31.1</v>
      </c>
      <c r="F479">
        <v>1.6</v>
      </c>
      <c r="G479">
        <v>8.6999999999999993</v>
      </c>
      <c r="H479">
        <v>7.2</v>
      </c>
      <c r="I479">
        <v>7.7</v>
      </c>
      <c r="J479">
        <v>128</v>
      </c>
      <c r="K479">
        <v>620</v>
      </c>
      <c r="L479">
        <v>1.1000000000000001</v>
      </c>
      <c r="M479">
        <v>1.8</v>
      </c>
      <c r="N479">
        <v>0.4</v>
      </c>
      <c r="O479">
        <v>1.2</v>
      </c>
      <c r="P479">
        <v>2</v>
      </c>
      <c r="Q479">
        <v>6</v>
      </c>
      <c r="R479">
        <v>10</v>
      </c>
      <c r="S479">
        <v>24</v>
      </c>
      <c r="V479">
        <f>River_data[[#This Row],[Dissolved Oxygen Min]]*River_data[[#This Row],[Dissolved Oxygen Max]]/2</f>
        <v>6.96</v>
      </c>
      <c r="W479">
        <f>River_data[[#This Row],[BOD Min]]*River_data[[#This Row],[BOD Max]]/2</f>
        <v>0.9900000000000001</v>
      </c>
      <c r="X479">
        <f>AVERAGE(River_data[[#This Row],[pH Max]]-River_data[[#This Row],[pH Min]])</f>
        <v>0.5</v>
      </c>
    </row>
    <row r="480" spans="1:24" x14ac:dyDescent="0.3">
      <c r="A480">
        <v>1075</v>
      </c>
      <c r="B480" s="1" t="s">
        <v>491</v>
      </c>
      <c r="C480" s="1" t="s">
        <v>207</v>
      </c>
      <c r="D480">
        <v>15</v>
      </c>
      <c r="E480">
        <v>29</v>
      </c>
      <c r="F480">
        <v>7.9</v>
      </c>
      <c r="G480">
        <v>8.9</v>
      </c>
      <c r="H480">
        <v>7</v>
      </c>
      <c r="I480">
        <v>8.1</v>
      </c>
      <c r="J480">
        <v>133</v>
      </c>
      <c r="K480">
        <v>254</v>
      </c>
      <c r="L480">
        <v>1</v>
      </c>
      <c r="M480">
        <v>2</v>
      </c>
      <c r="N480">
        <v>0.3</v>
      </c>
      <c r="O480">
        <v>0.3</v>
      </c>
      <c r="P480">
        <v>490</v>
      </c>
      <c r="Q480">
        <v>7900</v>
      </c>
      <c r="R480">
        <v>790</v>
      </c>
      <c r="S480">
        <v>17000</v>
      </c>
      <c r="V480">
        <f>River_data[[#This Row],[Dissolved Oxygen Min]]*River_data[[#This Row],[Dissolved Oxygen Max]]/2</f>
        <v>35.155000000000001</v>
      </c>
      <c r="W480">
        <f>River_data[[#This Row],[BOD Min]]*River_data[[#This Row],[BOD Max]]/2</f>
        <v>1</v>
      </c>
      <c r="X480">
        <f>AVERAGE(River_data[[#This Row],[pH Max]]-River_data[[#This Row],[pH Min]])</f>
        <v>1.0999999999999996</v>
      </c>
    </row>
    <row r="481" spans="1:24" x14ac:dyDescent="0.3">
      <c r="A481">
        <v>3127</v>
      </c>
      <c r="B481" s="1" t="s">
        <v>492</v>
      </c>
      <c r="C481" s="1" t="s">
        <v>207</v>
      </c>
      <c r="D481">
        <v>16</v>
      </c>
      <c r="E481">
        <v>28</v>
      </c>
      <c r="F481">
        <v>7.6</v>
      </c>
      <c r="G481">
        <v>8.8000000000000007</v>
      </c>
      <c r="H481">
        <v>7.2</v>
      </c>
      <c r="I481">
        <v>8.1999999999999993</v>
      </c>
      <c r="J481">
        <v>137</v>
      </c>
      <c r="K481">
        <v>268</v>
      </c>
      <c r="L481">
        <v>1</v>
      </c>
      <c r="M481">
        <v>2</v>
      </c>
      <c r="N481">
        <v>0.3</v>
      </c>
      <c r="O481">
        <v>0.3</v>
      </c>
      <c r="P481">
        <v>330</v>
      </c>
      <c r="Q481">
        <v>17000</v>
      </c>
      <c r="R481">
        <v>490</v>
      </c>
      <c r="S481">
        <v>28000</v>
      </c>
      <c r="V481">
        <f>River_data[[#This Row],[Dissolved Oxygen Min]]*River_data[[#This Row],[Dissolved Oxygen Max]]/2</f>
        <v>33.44</v>
      </c>
      <c r="W481">
        <f>River_data[[#This Row],[BOD Min]]*River_data[[#This Row],[BOD Max]]/2</f>
        <v>1</v>
      </c>
      <c r="X481">
        <f>AVERAGE(River_data[[#This Row],[pH Max]]-River_data[[#This Row],[pH Min]])</f>
        <v>0.99999999999999911</v>
      </c>
    </row>
    <row r="482" spans="1:24" x14ac:dyDescent="0.3">
      <c r="A482">
        <v>4913</v>
      </c>
      <c r="B482" s="1" t="s">
        <v>493</v>
      </c>
      <c r="C482" s="1" t="s">
        <v>207</v>
      </c>
      <c r="D482">
        <v>10</v>
      </c>
      <c r="E482">
        <v>32</v>
      </c>
      <c r="F482">
        <v>7.5</v>
      </c>
      <c r="G482">
        <v>8.9</v>
      </c>
      <c r="H482">
        <v>7.3</v>
      </c>
      <c r="I482">
        <v>8.1999999999999993</v>
      </c>
      <c r="J482">
        <v>166</v>
      </c>
      <c r="K482">
        <v>394</v>
      </c>
      <c r="L482">
        <v>1</v>
      </c>
      <c r="M482">
        <v>2.8</v>
      </c>
      <c r="N482">
        <v>0.3</v>
      </c>
      <c r="O482">
        <v>0.3</v>
      </c>
      <c r="P482">
        <v>130</v>
      </c>
      <c r="Q482">
        <v>35000</v>
      </c>
      <c r="R482">
        <v>230</v>
      </c>
      <c r="S482">
        <v>54000</v>
      </c>
      <c r="V482">
        <f>River_data[[#This Row],[Dissolved Oxygen Min]]*River_data[[#This Row],[Dissolved Oxygen Max]]/2</f>
        <v>33.375</v>
      </c>
      <c r="W482">
        <f>River_data[[#This Row],[BOD Min]]*River_data[[#This Row],[BOD Max]]/2</f>
        <v>1.4</v>
      </c>
      <c r="X482">
        <f>AVERAGE(River_data[[#This Row],[pH Max]]-River_data[[#This Row],[pH Min]])</f>
        <v>0.89999999999999947</v>
      </c>
    </row>
    <row r="483" spans="1:24" x14ac:dyDescent="0.3">
      <c r="A483">
        <v>3128</v>
      </c>
      <c r="B483" s="1" t="s">
        <v>494</v>
      </c>
      <c r="C483" s="1" t="s">
        <v>207</v>
      </c>
      <c r="D483">
        <v>15</v>
      </c>
      <c r="E483">
        <v>33</v>
      </c>
      <c r="F483">
        <v>7.5</v>
      </c>
      <c r="G483">
        <v>9.1999999999999993</v>
      </c>
      <c r="H483">
        <v>7.4</v>
      </c>
      <c r="I483">
        <v>8.1999999999999993</v>
      </c>
      <c r="J483">
        <v>143</v>
      </c>
      <c r="K483">
        <v>359</v>
      </c>
      <c r="L483">
        <v>1</v>
      </c>
      <c r="M483">
        <v>3</v>
      </c>
      <c r="N483">
        <v>0.3</v>
      </c>
      <c r="O483">
        <v>0.3</v>
      </c>
      <c r="P483">
        <v>1300</v>
      </c>
      <c r="Q483">
        <v>92000</v>
      </c>
      <c r="R483">
        <v>2300</v>
      </c>
      <c r="S483">
        <v>160000</v>
      </c>
      <c r="V483">
        <f>River_data[[#This Row],[Dissolved Oxygen Min]]*River_data[[#This Row],[Dissolved Oxygen Max]]/2</f>
        <v>34.5</v>
      </c>
      <c r="W483">
        <f>River_data[[#This Row],[BOD Min]]*River_data[[#This Row],[BOD Max]]/2</f>
        <v>1.5</v>
      </c>
      <c r="X483">
        <f>AVERAGE(River_data[[#This Row],[pH Max]]-River_data[[#This Row],[pH Min]])</f>
        <v>0.79999999999999893</v>
      </c>
    </row>
    <row r="484" spans="1:24" x14ac:dyDescent="0.3">
      <c r="A484">
        <v>4298</v>
      </c>
      <c r="B484" s="1" t="s">
        <v>495</v>
      </c>
      <c r="C484" s="1" t="s">
        <v>207</v>
      </c>
      <c r="D484">
        <v>10</v>
      </c>
      <c r="E484">
        <v>30</v>
      </c>
      <c r="F484">
        <v>7.5</v>
      </c>
      <c r="G484">
        <v>8.9</v>
      </c>
      <c r="H484">
        <v>7.4</v>
      </c>
      <c r="I484">
        <v>8.1</v>
      </c>
      <c r="J484">
        <v>137</v>
      </c>
      <c r="K484">
        <v>341</v>
      </c>
      <c r="L484">
        <v>1</v>
      </c>
      <c r="M484">
        <v>2.1</v>
      </c>
      <c r="N484">
        <v>0.3</v>
      </c>
      <c r="O484">
        <v>0.3</v>
      </c>
      <c r="P484">
        <v>1100</v>
      </c>
      <c r="Q484">
        <v>28000</v>
      </c>
      <c r="R484">
        <v>1700</v>
      </c>
      <c r="S484">
        <v>35000</v>
      </c>
      <c r="V484">
        <f>River_data[[#This Row],[Dissolved Oxygen Min]]*River_data[[#This Row],[Dissolved Oxygen Max]]/2</f>
        <v>33.375</v>
      </c>
      <c r="W484">
        <f>River_data[[#This Row],[BOD Min]]*River_data[[#This Row],[BOD Max]]/2</f>
        <v>1.05</v>
      </c>
      <c r="X484">
        <f>AVERAGE(River_data[[#This Row],[pH Max]]-River_data[[#This Row],[pH Min]])</f>
        <v>0.69999999999999929</v>
      </c>
    </row>
    <row r="485" spans="1:24" x14ac:dyDescent="0.3">
      <c r="A485">
        <v>2556</v>
      </c>
      <c r="B485" s="1" t="s">
        <v>496</v>
      </c>
      <c r="C485" s="1" t="s">
        <v>207</v>
      </c>
      <c r="D485">
        <v>14</v>
      </c>
      <c r="E485">
        <v>31</v>
      </c>
      <c r="F485">
        <v>7.6</v>
      </c>
      <c r="G485">
        <v>9.5</v>
      </c>
      <c r="H485">
        <v>7.5</v>
      </c>
      <c r="I485">
        <v>8.1</v>
      </c>
      <c r="J485">
        <v>126</v>
      </c>
      <c r="K485">
        <v>302</v>
      </c>
      <c r="L485">
        <v>1</v>
      </c>
      <c r="M485">
        <v>2.5</v>
      </c>
      <c r="N485">
        <v>0.3</v>
      </c>
      <c r="O485">
        <v>0.3</v>
      </c>
      <c r="P485">
        <v>1300</v>
      </c>
      <c r="Q485">
        <v>17000</v>
      </c>
      <c r="R485">
        <v>2300</v>
      </c>
      <c r="S485">
        <v>28000</v>
      </c>
      <c r="V485">
        <f>River_data[[#This Row],[Dissolved Oxygen Min]]*River_data[[#This Row],[Dissolved Oxygen Max]]/2</f>
        <v>36.1</v>
      </c>
      <c r="W485">
        <f>River_data[[#This Row],[BOD Min]]*River_data[[#This Row],[BOD Max]]/2</f>
        <v>1.25</v>
      </c>
      <c r="X485">
        <f>AVERAGE(River_data[[#This Row],[pH Max]]-River_data[[#This Row],[pH Min]])</f>
        <v>0.59999999999999964</v>
      </c>
    </row>
    <row r="486" spans="1:24" x14ac:dyDescent="0.3">
      <c r="A486">
        <v>4407</v>
      </c>
      <c r="B486" s="1" t="s">
        <v>497</v>
      </c>
      <c r="C486" s="1" t="s">
        <v>207</v>
      </c>
      <c r="D486">
        <v>13</v>
      </c>
      <c r="E486">
        <v>33</v>
      </c>
      <c r="F486">
        <v>7.5</v>
      </c>
      <c r="G486">
        <v>8.5</v>
      </c>
      <c r="H486">
        <v>7.3</v>
      </c>
      <c r="I486">
        <v>8.1</v>
      </c>
      <c r="J486">
        <v>144</v>
      </c>
      <c r="K486">
        <v>225</v>
      </c>
      <c r="L486">
        <v>1</v>
      </c>
      <c r="M486">
        <v>2.6</v>
      </c>
      <c r="N486">
        <v>0.3</v>
      </c>
      <c r="O486">
        <v>0.3</v>
      </c>
      <c r="P486">
        <v>780</v>
      </c>
      <c r="Q486">
        <v>35000</v>
      </c>
      <c r="R486">
        <v>2300</v>
      </c>
      <c r="S486">
        <v>92000</v>
      </c>
      <c r="V486">
        <f>River_data[[#This Row],[Dissolved Oxygen Min]]*River_data[[#This Row],[Dissolved Oxygen Max]]/2</f>
        <v>31.875</v>
      </c>
      <c r="W486">
        <f>River_data[[#This Row],[BOD Min]]*River_data[[#This Row],[BOD Max]]/2</f>
        <v>1.3</v>
      </c>
      <c r="X486">
        <f>AVERAGE(River_data[[#This Row],[pH Max]]-River_data[[#This Row],[pH Min]])</f>
        <v>0.79999999999999982</v>
      </c>
    </row>
    <row r="487" spans="1:24" x14ac:dyDescent="0.3">
      <c r="A487">
        <v>3121</v>
      </c>
      <c r="B487" s="1" t="s">
        <v>498</v>
      </c>
      <c r="C487" s="1" t="s">
        <v>207</v>
      </c>
      <c r="D487">
        <v>15</v>
      </c>
      <c r="E487">
        <v>30</v>
      </c>
      <c r="F487">
        <v>7</v>
      </c>
      <c r="G487">
        <v>9.1999999999999993</v>
      </c>
      <c r="H487">
        <v>7.4</v>
      </c>
      <c r="I487">
        <v>8.1</v>
      </c>
      <c r="J487">
        <v>127</v>
      </c>
      <c r="K487">
        <v>318</v>
      </c>
      <c r="L487">
        <v>1</v>
      </c>
      <c r="M487">
        <v>2.1</v>
      </c>
      <c r="N487">
        <v>0.3</v>
      </c>
      <c r="O487">
        <v>0.3</v>
      </c>
      <c r="P487">
        <v>790</v>
      </c>
      <c r="Q487">
        <v>35000</v>
      </c>
      <c r="R487">
        <v>1300</v>
      </c>
      <c r="S487">
        <v>92000</v>
      </c>
      <c r="V487">
        <f>River_data[[#This Row],[Dissolved Oxygen Min]]*River_data[[#This Row],[Dissolved Oxygen Max]]/2</f>
        <v>32.199999999999996</v>
      </c>
      <c r="W487">
        <f>River_data[[#This Row],[BOD Min]]*River_data[[#This Row],[BOD Max]]/2</f>
        <v>1.05</v>
      </c>
      <c r="X487">
        <f>AVERAGE(River_data[[#This Row],[pH Max]]-River_data[[#This Row],[pH Min]])</f>
        <v>0.69999999999999929</v>
      </c>
    </row>
    <row r="488" spans="1:24" x14ac:dyDescent="0.3">
      <c r="A488">
        <v>30081</v>
      </c>
      <c r="B488" s="1" t="s">
        <v>499</v>
      </c>
      <c r="C488" s="1" t="s">
        <v>169</v>
      </c>
      <c r="D488">
        <v>21</v>
      </c>
      <c r="E488">
        <v>27.2</v>
      </c>
      <c r="F488">
        <v>7</v>
      </c>
      <c r="G488">
        <v>10.7</v>
      </c>
      <c r="H488">
        <v>7.3</v>
      </c>
      <c r="I488">
        <v>8.3000000000000007</v>
      </c>
      <c r="J488">
        <v>200</v>
      </c>
      <c r="K488">
        <v>358</v>
      </c>
      <c r="L488">
        <v>1</v>
      </c>
      <c r="M488">
        <v>1</v>
      </c>
      <c r="N488">
        <v>0.32</v>
      </c>
      <c r="O488">
        <v>0.32</v>
      </c>
      <c r="P488">
        <v>2</v>
      </c>
      <c r="Q488">
        <v>17000</v>
      </c>
      <c r="R488">
        <v>2</v>
      </c>
      <c r="S488">
        <v>33000</v>
      </c>
      <c r="T488">
        <v>2</v>
      </c>
      <c r="U488">
        <v>2</v>
      </c>
      <c r="V488">
        <f>River_data[[#This Row],[Dissolved Oxygen Min]]*River_data[[#This Row],[Dissolved Oxygen Max]]/2</f>
        <v>37.449999999999996</v>
      </c>
      <c r="W488">
        <f>River_data[[#This Row],[BOD Min]]*River_data[[#This Row],[BOD Max]]/2</f>
        <v>0.5</v>
      </c>
      <c r="X488">
        <f>AVERAGE(River_data[[#This Row],[pH Max]]-River_data[[#This Row],[pH Min]])</f>
        <v>1.0000000000000009</v>
      </c>
    </row>
    <row r="489" spans="1:24" x14ac:dyDescent="0.3">
      <c r="A489">
        <v>30082</v>
      </c>
      <c r="B489" s="1" t="s">
        <v>500</v>
      </c>
      <c r="C489" s="1" t="s">
        <v>352</v>
      </c>
      <c r="D489">
        <v>21.5</v>
      </c>
      <c r="E489">
        <v>27.3</v>
      </c>
      <c r="F489">
        <v>7.4</v>
      </c>
      <c r="G489">
        <v>10.9</v>
      </c>
      <c r="H489">
        <v>7.3</v>
      </c>
      <c r="I489">
        <v>8</v>
      </c>
      <c r="J489">
        <v>254</v>
      </c>
      <c r="K489">
        <v>324</v>
      </c>
      <c r="L489">
        <v>1</v>
      </c>
      <c r="M489">
        <v>2.2999999999999998</v>
      </c>
      <c r="N489">
        <v>0.32</v>
      </c>
      <c r="O489">
        <v>0.32</v>
      </c>
      <c r="P489">
        <v>2</v>
      </c>
      <c r="Q489">
        <v>4500</v>
      </c>
      <c r="R489">
        <v>2</v>
      </c>
      <c r="S489">
        <v>7800</v>
      </c>
      <c r="T489">
        <v>2</v>
      </c>
      <c r="U489">
        <v>2</v>
      </c>
      <c r="V489">
        <f>River_data[[#This Row],[Dissolved Oxygen Min]]*River_data[[#This Row],[Dissolved Oxygen Max]]/2</f>
        <v>40.330000000000005</v>
      </c>
      <c r="W489">
        <f>River_data[[#This Row],[BOD Min]]*River_data[[#This Row],[BOD Max]]/2</f>
        <v>1.1499999999999999</v>
      </c>
      <c r="X489">
        <f>AVERAGE(River_data[[#This Row],[pH Max]]-River_data[[#This Row],[pH Min]])</f>
        <v>0.70000000000000018</v>
      </c>
    </row>
    <row r="490" spans="1:24" x14ac:dyDescent="0.3">
      <c r="A490">
        <v>4604</v>
      </c>
      <c r="B490" s="1" t="s">
        <v>501</v>
      </c>
      <c r="C490" s="1" t="s">
        <v>352</v>
      </c>
      <c r="D490">
        <v>19.600000000000001</v>
      </c>
      <c r="E490">
        <v>29.1</v>
      </c>
      <c r="F490">
        <v>7</v>
      </c>
      <c r="G490">
        <v>7.5</v>
      </c>
      <c r="H490">
        <v>7.7</v>
      </c>
      <c r="I490">
        <v>7.9</v>
      </c>
      <c r="J490">
        <v>290</v>
      </c>
      <c r="K490">
        <v>372</v>
      </c>
      <c r="L490">
        <v>1.3</v>
      </c>
      <c r="M490">
        <v>1.5</v>
      </c>
      <c r="N490">
        <v>0.5</v>
      </c>
      <c r="O490">
        <v>0.95</v>
      </c>
      <c r="P490">
        <v>2</v>
      </c>
      <c r="Q490">
        <v>2</v>
      </c>
      <c r="R490">
        <v>41</v>
      </c>
      <c r="S490">
        <v>46</v>
      </c>
      <c r="T490">
        <v>2</v>
      </c>
      <c r="U490">
        <v>2</v>
      </c>
      <c r="V490">
        <f>River_data[[#This Row],[Dissolved Oxygen Min]]*River_data[[#This Row],[Dissolved Oxygen Max]]/2</f>
        <v>26.25</v>
      </c>
      <c r="W490">
        <f>River_data[[#This Row],[BOD Min]]*River_data[[#This Row],[BOD Max]]/2</f>
        <v>0.97500000000000009</v>
      </c>
      <c r="X490">
        <f>AVERAGE(River_data[[#This Row],[pH Max]]-River_data[[#This Row],[pH Min]])</f>
        <v>0.20000000000000018</v>
      </c>
    </row>
    <row r="491" spans="1:24" x14ac:dyDescent="0.3">
      <c r="A491">
        <v>3834</v>
      </c>
      <c r="B491" s="1" t="s">
        <v>502</v>
      </c>
      <c r="C491" s="1" t="s">
        <v>352</v>
      </c>
      <c r="D491">
        <v>24</v>
      </c>
      <c r="E491">
        <v>27.3</v>
      </c>
      <c r="F491">
        <v>5.8</v>
      </c>
      <c r="G491">
        <v>8.9</v>
      </c>
      <c r="H491">
        <v>7.5</v>
      </c>
      <c r="I491">
        <v>8.4</v>
      </c>
      <c r="J491">
        <v>265</v>
      </c>
      <c r="K491">
        <v>680</v>
      </c>
      <c r="L491">
        <v>1.6</v>
      </c>
      <c r="M491">
        <v>7</v>
      </c>
      <c r="N491">
        <v>0</v>
      </c>
      <c r="O491">
        <v>3.99</v>
      </c>
      <c r="P491">
        <v>2</v>
      </c>
      <c r="Q491">
        <v>2</v>
      </c>
      <c r="R491">
        <v>50</v>
      </c>
      <c r="S491">
        <v>78</v>
      </c>
      <c r="V491">
        <f>River_data[[#This Row],[Dissolved Oxygen Min]]*River_data[[#This Row],[Dissolved Oxygen Max]]/2</f>
        <v>25.81</v>
      </c>
      <c r="W491">
        <f>River_data[[#This Row],[BOD Min]]*River_data[[#This Row],[BOD Max]]/2</f>
        <v>5.6000000000000005</v>
      </c>
      <c r="X491">
        <f>AVERAGE(River_data[[#This Row],[pH Max]]-River_data[[#This Row],[pH Min]])</f>
        <v>0.90000000000000036</v>
      </c>
    </row>
    <row r="492" spans="1:24" x14ac:dyDescent="0.3">
      <c r="A492">
        <v>3836</v>
      </c>
      <c r="B492" s="1" t="s">
        <v>503</v>
      </c>
      <c r="C492" s="1" t="s">
        <v>352</v>
      </c>
      <c r="D492">
        <v>25</v>
      </c>
      <c r="E492">
        <v>28.2</v>
      </c>
      <c r="F492">
        <v>5.5</v>
      </c>
      <c r="G492">
        <v>7.1</v>
      </c>
      <c r="H492">
        <v>7.5</v>
      </c>
      <c r="I492">
        <v>7.5</v>
      </c>
      <c r="J492">
        <v>255</v>
      </c>
      <c r="K492">
        <v>306</v>
      </c>
      <c r="L492">
        <v>1.1000000000000001</v>
      </c>
      <c r="M492">
        <v>1.9</v>
      </c>
      <c r="N492">
        <v>0</v>
      </c>
      <c r="O492">
        <v>0</v>
      </c>
      <c r="V492">
        <f>River_data[[#This Row],[Dissolved Oxygen Min]]*River_data[[#This Row],[Dissolved Oxygen Max]]/2</f>
        <v>19.524999999999999</v>
      </c>
      <c r="W492">
        <f>River_data[[#This Row],[BOD Min]]*River_data[[#This Row],[BOD Max]]/2</f>
        <v>1.0449999999999999</v>
      </c>
      <c r="X492">
        <f>AVERAGE(River_data[[#This Row],[pH Max]]-River_data[[#This Row],[pH Min]])</f>
        <v>0</v>
      </c>
    </row>
    <row r="493" spans="1:24" x14ac:dyDescent="0.3">
      <c r="A493">
        <v>3851</v>
      </c>
      <c r="B493" s="1" t="s">
        <v>504</v>
      </c>
      <c r="C493" s="1" t="s">
        <v>352</v>
      </c>
      <c r="D493">
        <v>18.5</v>
      </c>
      <c r="E493">
        <v>29.5</v>
      </c>
      <c r="F493">
        <v>7.3</v>
      </c>
      <c r="G493">
        <v>7.9</v>
      </c>
      <c r="H493">
        <v>7.7</v>
      </c>
      <c r="I493">
        <v>7.9</v>
      </c>
      <c r="J493">
        <v>302</v>
      </c>
      <c r="K493">
        <v>332</v>
      </c>
      <c r="L493">
        <v>1.2</v>
      </c>
      <c r="M493">
        <v>1.6</v>
      </c>
      <c r="N493">
        <v>0.44</v>
      </c>
      <c r="O493">
        <v>0.64</v>
      </c>
      <c r="P493">
        <v>2</v>
      </c>
      <c r="Q493">
        <v>2</v>
      </c>
      <c r="R493">
        <v>46</v>
      </c>
      <c r="S493">
        <v>70</v>
      </c>
      <c r="T493">
        <v>2</v>
      </c>
      <c r="U493">
        <v>2</v>
      </c>
      <c r="V493">
        <f>River_data[[#This Row],[Dissolved Oxygen Min]]*River_data[[#This Row],[Dissolved Oxygen Max]]/2</f>
        <v>28.835000000000001</v>
      </c>
      <c r="W493">
        <f>River_data[[#This Row],[BOD Min]]*River_data[[#This Row],[BOD Max]]/2</f>
        <v>0.96</v>
      </c>
      <c r="X493">
        <f>AVERAGE(River_data[[#This Row],[pH Max]]-River_data[[#This Row],[pH Min]])</f>
        <v>0.20000000000000018</v>
      </c>
    </row>
    <row r="494" spans="1:24" x14ac:dyDescent="0.3">
      <c r="A494">
        <v>3329</v>
      </c>
      <c r="B494" s="1" t="s">
        <v>505</v>
      </c>
      <c r="C494" s="1" t="s">
        <v>352</v>
      </c>
      <c r="D494">
        <v>18.600000000000001</v>
      </c>
      <c r="E494">
        <v>31.1</v>
      </c>
      <c r="F494">
        <v>7</v>
      </c>
      <c r="G494">
        <v>7.6</v>
      </c>
      <c r="H494">
        <v>7.8</v>
      </c>
      <c r="I494">
        <v>8</v>
      </c>
      <c r="J494">
        <v>208</v>
      </c>
      <c r="K494">
        <v>326</v>
      </c>
      <c r="L494">
        <v>1</v>
      </c>
      <c r="M494">
        <v>1.8</v>
      </c>
      <c r="N494">
        <v>0.45</v>
      </c>
      <c r="O494">
        <v>0.83</v>
      </c>
      <c r="P494">
        <v>2</v>
      </c>
      <c r="Q494">
        <v>18</v>
      </c>
      <c r="R494">
        <v>43</v>
      </c>
      <c r="S494">
        <v>49</v>
      </c>
      <c r="T494">
        <v>2</v>
      </c>
      <c r="U494">
        <v>2</v>
      </c>
      <c r="V494">
        <f>River_data[[#This Row],[Dissolved Oxygen Min]]*River_data[[#This Row],[Dissolved Oxygen Max]]/2</f>
        <v>26.599999999999998</v>
      </c>
      <c r="W494">
        <f>River_data[[#This Row],[BOD Min]]*River_data[[#This Row],[BOD Max]]/2</f>
        <v>0.9</v>
      </c>
      <c r="X494">
        <f>AVERAGE(River_data[[#This Row],[pH Max]]-River_data[[#This Row],[pH Min]])</f>
        <v>0.20000000000000018</v>
      </c>
    </row>
    <row r="495" spans="1:24" x14ac:dyDescent="0.3">
      <c r="A495">
        <v>3852</v>
      </c>
      <c r="B495" s="1" t="s">
        <v>506</v>
      </c>
      <c r="C495" s="1" t="s">
        <v>352</v>
      </c>
      <c r="D495">
        <v>20</v>
      </c>
      <c r="E495">
        <v>29.3</v>
      </c>
      <c r="F495">
        <v>7.1</v>
      </c>
      <c r="G495">
        <v>7.8</v>
      </c>
      <c r="H495">
        <v>7.6</v>
      </c>
      <c r="I495">
        <v>8</v>
      </c>
      <c r="J495">
        <v>226</v>
      </c>
      <c r="K495">
        <v>388</v>
      </c>
      <c r="L495">
        <v>1.1000000000000001</v>
      </c>
      <c r="M495">
        <v>1.6</v>
      </c>
      <c r="N495">
        <v>0.37</v>
      </c>
      <c r="O495">
        <v>0.95</v>
      </c>
      <c r="P495">
        <v>2</v>
      </c>
      <c r="Q495">
        <v>2</v>
      </c>
      <c r="R495">
        <v>34</v>
      </c>
      <c r="S495">
        <v>58</v>
      </c>
      <c r="T495">
        <v>2</v>
      </c>
      <c r="U495">
        <v>2</v>
      </c>
      <c r="V495">
        <f>River_data[[#This Row],[Dissolved Oxygen Min]]*River_data[[#This Row],[Dissolved Oxygen Max]]/2</f>
        <v>27.689999999999998</v>
      </c>
      <c r="W495">
        <f>River_data[[#This Row],[BOD Min]]*River_data[[#This Row],[BOD Max]]/2</f>
        <v>0.88000000000000012</v>
      </c>
      <c r="X495">
        <f>AVERAGE(River_data[[#This Row],[pH Max]]-River_data[[#This Row],[pH Min]])</f>
        <v>0.40000000000000036</v>
      </c>
    </row>
    <row r="496" spans="1:24" x14ac:dyDescent="0.3">
      <c r="A496">
        <v>1612</v>
      </c>
      <c r="B496" s="1" t="s">
        <v>507</v>
      </c>
      <c r="C496" s="1" t="s">
        <v>352</v>
      </c>
      <c r="D496">
        <v>23.4</v>
      </c>
      <c r="E496">
        <v>30.5</v>
      </c>
      <c r="F496">
        <v>6.7</v>
      </c>
      <c r="G496">
        <v>8.1</v>
      </c>
      <c r="H496">
        <v>7.2</v>
      </c>
      <c r="I496">
        <v>7.9</v>
      </c>
      <c r="J496">
        <v>189</v>
      </c>
      <c r="K496">
        <v>378</v>
      </c>
      <c r="L496">
        <v>1</v>
      </c>
      <c r="M496">
        <v>1.5</v>
      </c>
      <c r="N496">
        <v>0.32</v>
      </c>
      <c r="O496">
        <v>1.1200000000000001</v>
      </c>
      <c r="P496">
        <v>2</v>
      </c>
      <c r="Q496">
        <v>2</v>
      </c>
      <c r="R496">
        <v>3</v>
      </c>
      <c r="S496">
        <v>50</v>
      </c>
      <c r="T496">
        <v>2</v>
      </c>
      <c r="U496">
        <v>2</v>
      </c>
      <c r="V496">
        <f>River_data[[#This Row],[Dissolved Oxygen Min]]*River_data[[#This Row],[Dissolved Oxygen Max]]/2</f>
        <v>27.134999999999998</v>
      </c>
      <c r="W496">
        <f>River_data[[#This Row],[BOD Min]]*River_data[[#This Row],[BOD Max]]/2</f>
        <v>0.75</v>
      </c>
      <c r="X496">
        <f>AVERAGE(River_data[[#This Row],[pH Max]]-River_data[[#This Row],[pH Min]])</f>
        <v>0.70000000000000018</v>
      </c>
    </row>
    <row r="497" spans="1:24" x14ac:dyDescent="0.3">
      <c r="A497">
        <v>1371</v>
      </c>
      <c r="B497" s="1" t="s">
        <v>508</v>
      </c>
      <c r="C497" s="1" t="s">
        <v>352</v>
      </c>
      <c r="D497">
        <v>23.5</v>
      </c>
      <c r="E497">
        <v>30.4</v>
      </c>
      <c r="F497">
        <v>6.6</v>
      </c>
      <c r="G497">
        <v>8.1</v>
      </c>
      <c r="H497">
        <v>7</v>
      </c>
      <c r="I497">
        <v>8.4</v>
      </c>
      <c r="J497">
        <v>205</v>
      </c>
      <c r="K497">
        <v>413</v>
      </c>
      <c r="L497">
        <v>1</v>
      </c>
      <c r="M497">
        <v>1.8</v>
      </c>
      <c r="N497">
        <v>0.32</v>
      </c>
      <c r="O497">
        <v>1.3</v>
      </c>
      <c r="P497">
        <v>2</v>
      </c>
      <c r="Q497">
        <v>2</v>
      </c>
      <c r="R497">
        <v>27</v>
      </c>
      <c r="S497">
        <v>73</v>
      </c>
      <c r="T497">
        <v>2</v>
      </c>
      <c r="U497">
        <v>2</v>
      </c>
      <c r="V497">
        <f>River_data[[#This Row],[Dissolved Oxygen Min]]*River_data[[#This Row],[Dissolved Oxygen Max]]/2</f>
        <v>26.729999999999997</v>
      </c>
      <c r="W497">
        <f>River_data[[#This Row],[BOD Min]]*River_data[[#This Row],[BOD Max]]/2</f>
        <v>0.9</v>
      </c>
      <c r="X497">
        <f>AVERAGE(River_data[[#This Row],[pH Max]]-River_data[[#This Row],[pH Min]])</f>
        <v>1.4000000000000004</v>
      </c>
    </row>
    <row r="498" spans="1:24" x14ac:dyDescent="0.3">
      <c r="A498">
        <v>3846</v>
      </c>
      <c r="B498" s="1" t="s">
        <v>509</v>
      </c>
      <c r="C498" s="1" t="s">
        <v>352</v>
      </c>
      <c r="D498">
        <v>23.4</v>
      </c>
      <c r="E498">
        <v>30.5</v>
      </c>
      <c r="F498">
        <v>6.7</v>
      </c>
      <c r="G498">
        <v>9.1999999999999993</v>
      </c>
      <c r="H498">
        <v>7.2</v>
      </c>
      <c r="I498">
        <v>8.1999999999999993</v>
      </c>
      <c r="J498">
        <v>206</v>
      </c>
      <c r="K498">
        <v>2164</v>
      </c>
      <c r="L498">
        <v>1</v>
      </c>
      <c r="M498">
        <v>1.8</v>
      </c>
      <c r="N498">
        <v>0.32</v>
      </c>
      <c r="O498">
        <v>0.44</v>
      </c>
      <c r="P498">
        <v>2</v>
      </c>
      <c r="Q498">
        <v>2</v>
      </c>
      <c r="R498">
        <v>31</v>
      </c>
      <c r="S498">
        <v>70</v>
      </c>
      <c r="T498">
        <v>2</v>
      </c>
      <c r="U498">
        <v>2</v>
      </c>
      <c r="V498">
        <f>River_data[[#This Row],[Dissolved Oxygen Min]]*River_data[[#This Row],[Dissolved Oxygen Max]]/2</f>
        <v>30.819999999999997</v>
      </c>
      <c r="W498">
        <f>River_data[[#This Row],[BOD Min]]*River_data[[#This Row],[BOD Max]]/2</f>
        <v>0.9</v>
      </c>
      <c r="X498">
        <f>AVERAGE(River_data[[#This Row],[pH Max]]-River_data[[#This Row],[pH Min]])</f>
        <v>0.99999999999999911</v>
      </c>
    </row>
    <row r="499" spans="1:24" x14ac:dyDescent="0.3">
      <c r="A499">
        <v>3327</v>
      </c>
      <c r="B499" s="1" t="s">
        <v>510</v>
      </c>
      <c r="C499" s="1" t="s">
        <v>352</v>
      </c>
      <c r="D499">
        <v>23.4</v>
      </c>
      <c r="E499">
        <v>30.4</v>
      </c>
      <c r="F499">
        <v>6.6</v>
      </c>
      <c r="G499">
        <v>7.6</v>
      </c>
      <c r="H499">
        <v>6.9</v>
      </c>
      <c r="I499">
        <v>8.3000000000000007</v>
      </c>
      <c r="J499">
        <v>204</v>
      </c>
      <c r="K499">
        <v>515</v>
      </c>
      <c r="L499">
        <v>1.2</v>
      </c>
      <c r="M499">
        <v>1.6</v>
      </c>
      <c r="N499">
        <v>0.38</v>
      </c>
      <c r="O499">
        <v>1.05</v>
      </c>
      <c r="P499">
        <v>2</v>
      </c>
      <c r="Q499">
        <v>2</v>
      </c>
      <c r="R499">
        <v>41</v>
      </c>
      <c r="S499">
        <v>73</v>
      </c>
      <c r="T499">
        <v>2</v>
      </c>
      <c r="U499">
        <v>2</v>
      </c>
      <c r="V499">
        <f>River_data[[#This Row],[Dissolved Oxygen Min]]*River_data[[#This Row],[Dissolved Oxygen Max]]/2</f>
        <v>25.08</v>
      </c>
      <c r="W499">
        <f>River_data[[#This Row],[BOD Min]]*River_data[[#This Row],[BOD Max]]/2</f>
        <v>0.96</v>
      </c>
      <c r="X499">
        <f>AVERAGE(River_data[[#This Row],[pH Max]]-River_data[[#This Row],[pH Min]])</f>
        <v>1.4000000000000004</v>
      </c>
    </row>
    <row r="500" spans="1:24" x14ac:dyDescent="0.3">
      <c r="A500">
        <v>1142</v>
      </c>
      <c r="B500" s="1" t="s">
        <v>511</v>
      </c>
      <c r="C500" s="1" t="s">
        <v>352</v>
      </c>
      <c r="D500">
        <v>23.4</v>
      </c>
      <c r="E500">
        <v>30.4</v>
      </c>
      <c r="F500">
        <v>6.7</v>
      </c>
      <c r="G500">
        <v>8.1999999999999993</v>
      </c>
      <c r="H500">
        <v>7.3</v>
      </c>
      <c r="I500">
        <v>8.1999999999999993</v>
      </c>
      <c r="J500">
        <v>203</v>
      </c>
      <c r="K500">
        <v>426</v>
      </c>
      <c r="L500">
        <v>1</v>
      </c>
      <c r="M500">
        <v>1.7</v>
      </c>
      <c r="N500">
        <v>0.32</v>
      </c>
      <c r="O500">
        <v>14.82</v>
      </c>
      <c r="P500">
        <v>2</v>
      </c>
      <c r="Q500">
        <v>2</v>
      </c>
      <c r="R500">
        <v>27</v>
      </c>
      <c r="S500">
        <v>84</v>
      </c>
      <c r="T500">
        <v>2</v>
      </c>
      <c r="U500">
        <v>2</v>
      </c>
      <c r="V500">
        <f>River_data[[#This Row],[Dissolved Oxygen Min]]*River_data[[#This Row],[Dissolved Oxygen Max]]/2</f>
        <v>27.47</v>
      </c>
      <c r="W500">
        <f>River_data[[#This Row],[BOD Min]]*River_data[[#This Row],[BOD Max]]/2</f>
        <v>0.85</v>
      </c>
      <c r="X500">
        <f>AVERAGE(River_data[[#This Row],[pH Max]]-River_data[[#This Row],[pH Min]])</f>
        <v>0.89999999999999947</v>
      </c>
    </row>
    <row r="501" spans="1:24" x14ac:dyDescent="0.3">
      <c r="A501">
        <v>1610</v>
      </c>
      <c r="B501" s="1" t="s">
        <v>512</v>
      </c>
      <c r="C501" s="1" t="s">
        <v>352</v>
      </c>
      <c r="D501">
        <v>23.4</v>
      </c>
      <c r="E501">
        <v>29.5</v>
      </c>
      <c r="F501">
        <v>6.6</v>
      </c>
      <c r="G501">
        <v>7.8</v>
      </c>
      <c r="H501">
        <v>6.5</v>
      </c>
      <c r="I501">
        <v>8</v>
      </c>
      <c r="J501">
        <v>136</v>
      </c>
      <c r="K501">
        <v>197</v>
      </c>
      <c r="L501">
        <v>1</v>
      </c>
      <c r="M501">
        <v>1.2</v>
      </c>
      <c r="N501">
        <v>0.32</v>
      </c>
      <c r="O501">
        <v>0.32</v>
      </c>
      <c r="P501">
        <v>2</v>
      </c>
      <c r="Q501">
        <v>2</v>
      </c>
      <c r="R501">
        <v>2</v>
      </c>
      <c r="S501">
        <v>6</v>
      </c>
      <c r="T501">
        <v>2</v>
      </c>
      <c r="U501">
        <v>2</v>
      </c>
      <c r="V501">
        <f>River_data[[#This Row],[Dissolved Oxygen Min]]*River_data[[#This Row],[Dissolved Oxygen Max]]/2</f>
        <v>25.74</v>
      </c>
      <c r="W501">
        <f>River_data[[#This Row],[BOD Min]]*River_data[[#This Row],[BOD Max]]/2</f>
        <v>0.6</v>
      </c>
      <c r="X501">
        <f>AVERAGE(River_data[[#This Row],[pH Max]]-River_data[[#This Row],[pH Min]])</f>
        <v>1.5</v>
      </c>
    </row>
    <row r="502" spans="1:24" x14ac:dyDescent="0.3">
      <c r="A502">
        <v>3835</v>
      </c>
      <c r="B502" s="1" t="s">
        <v>513</v>
      </c>
      <c r="C502" s="1" t="s">
        <v>352</v>
      </c>
      <c r="D502">
        <v>25</v>
      </c>
      <c r="E502">
        <v>26</v>
      </c>
      <c r="F502">
        <v>7</v>
      </c>
      <c r="G502">
        <v>7.1</v>
      </c>
      <c r="H502">
        <v>7.5</v>
      </c>
      <c r="I502">
        <v>7.6</v>
      </c>
      <c r="J502">
        <v>240</v>
      </c>
      <c r="K502">
        <v>250</v>
      </c>
      <c r="L502">
        <v>1.8</v>
      </c>
      <c r="M502">
        <v>1.9</v>
      </c>
      <c r="N502">
        <v>0</v>
      </c>
      <c r="O502">
        <v>0</v>
      </c>
      <c r="V502">
        <f>River_data[[#This Row],[Dissolved Oxygen Min]]*River_data[[#This Row],[Dissolved Oxygen Max]]/2</f>
        <v>24.849999999999998</v>
      </c>
      <c r="W502">
        <f>River_data[[#This Row],[BOD Min]]*River_data[[#This Row],[BOD Max]]/2</f>
        <v>1.71</v>
      </c>
      <c r="X502">
        <f>AVERAGE(River_data[[#This Row],[pH Max]]-River_data[[#This Row],[pH Min]])</f>
        <v>9.9999999999999645E-2</v>
      </c>
    </row>
    <row r="503" spans="1:24" x14ac:dyDescent="0.3">
      <c r="A503">
        <v>1611</v>
      </c>
      <c r="B503" s="1" t="s">
        <v>514</v>
      </c>
      <c r="C503" s="1" t="s">
        <v>352</v>
      </c>
      <c r="D503">
        <v>23.5</v>
      </c>
      <c r="E503">
        <v>30.5</v>
      </c>
      <c r="F503">
        <v>6.7</v>
      </c>
      <c r="G503">
        <v>8.1</v>
      </c>
      <c r="H503">
        <v>7.2</v>
      </c>
      <c r="I503">
        <v>8.1</v>
      </c>
      <c r="J503">
        <v>189</v>
      </c>
      <c r="K503">
        <v>447</v>
      </c>
      <c r="L503">
        <v>1</v>
      </c>
      <c r="M503">
        <v>1.6</v>
      </c>
      <c r="N503">
        <v>0.32</v>
      </c>
      <c r="O503">
        <v>0.5</v>
      </c>
      <c r="P503">
        <v>2</v>
      </c>
      <c r="Q503">
        <v>2</v>
      </c>
      <c r="R503">
        <v>27</v>
      </c>
      <c r="S503">
        <v>73</v>
      </c>
      <c r="T503">
        <v>2</v>
      </c>
      <c r="U503">
        <v>2</v>
      </c>
      <c r="V503">
        <f>River_data[[#This Row],[Dissolved Oxygen Min]]*River_data[[#This Row],[Dissolved Oxygen Max]]/2</f>
        <v>27.134999999999998</v>
      </c>
      <c r="W503">
        <f>River_data[[#This Row],[BOD Min]]*River_data[[#This Row],[BOD Max]]/2</f>
        <v>0.8</v>
      </c>
      <c r="X503">
        <f>AVERAGE(River_data[[#This Row],[pH Max]]-River_data[[#This Row],[pH Min]])</f>
        <v>0.89999999999999947</v>
      </c>
    </row>
    <row r="504" spans="1:24" x14ac:dyDescent="0.3">
      <c r="A504">
        <v>2116</v>
      </c>
      <c r="B504" s="1" t="s">
        <v>515</v>
      </c>
      <c r="C504" s="1" t="s">
        <v>352</v>
      </c>
      <c r="D504">
        <v>21.6</v>
      </c>
      <c r="E504">
        <v>30.9</v>
      </c>
      <c r="F504">
        <v>6.5</v>
      </c>
      <c r="G504">
        <v>7.6</v>
      </c>
      <c r="H504">
        <v>7.5</v>
      </c>
      <c r="I504">
        <v>8.3000000000000007</v>
      </c>
      <c r="J504">
        <v>269</v>
      </c>
      <c r="K504">
        <v>388</v>
      </c>
      <c r="L504">
        <v>1.4</v>
      </c>
      <c r="M504">
        <v>2</v>
      </c>
      <c r="N504">
        <v>0.53</v>
      </c>
      <c r="O504">
        <v>1.1499999999999999</v>
      </c>
      <c r="P504">
        <v>2</v>
      </c>
      <c r="Q504">
        <v>2</v>
      </c>
      <c r="R504">
        <v>43</v>
      </c>
      <c r="S504">
        <v>49</v>
      </c>
      <c r="T504">
        <v>2</v>
      </c>
      <c r="U504">
        <v>2</v>
      </c>
      <c r="V504">
        <f>River_data[[#This Row],[Dissolved Oxygen Min]]*River_data[[#This Row],[Dissolved Oxygen Max]]/2</f>
        <v>24.7</v>
      </c>
      <c r="W504">
        <f>River_data[[#This Row],[BOD Min]]*River_data[[#This Row],[BOD Max]]/2</f>
        <v>1.4</v>
      </c>
      <c r="X504">
        <f>AVERAGE(River_data[[#This Row],[pH Max]]-River_data[[#This Row],[pH Min]])</f>
        <v>0.80000000000000071</v>
      </c>
    </row>
    <row r="505" spans="1:24" x14ac:dyDescent="0.3">
      <c r="A505">
        <v>1608</v>
      </c>
      <c r="B505" s="1" t="s">
        <v>516</v>
      </c>
      <c r="C505" s="1" t="s">
        <v>352</v>
      </c>
      <c r="D505">
        <v>18</v>
      </c>
      <c r="E505">
        <v>24</v>
      </c>
      <c r="F505">
        <v>7</v>
      </c>
      <c r="G505">
        <v>8</v>
      </c>
      <c r="H505">
        <v>7.1</v>
      </c>
      <c r="I505">
        <v>7.7</v>
      </c>
      <c r="J505">
        <v>300</v>
      </c>
      <c r="K505">
        <v>540</v>
      </c>
      <c r="L505">
        <v>1.4</v>
      </c>
      <c r="M505">
        <v>1.8</v>
      </c>
      <c r="N505">
        <v>0.3</v>
      </c>
      <c r="O505">
        <v>1.3</v>
      </c>
      <c r="P505">
        <v>2</v>
      </c>
      <c r="Q505">
        <v>6</v>
      </c>
      <c r="R505">
        <v>14</v>
      </c>
      <c r="S505">
        <v>36</v>
      </c>
      <c r="V505">
        <f>River_data[[#This Row],[Dissolved Oxygen Min]]*River_data[[#This Row],[Dissolved Oxygen Max]]/2</f>
        <v>28</v>
      </c>
      <c r="W505">
        <f>River_data[[#This Row],[BOD Min]]*River_data[[#This Row],[BOD Max]]/2</f>
        <v>1.26</v>
      </c>
      <c r="X505">
        <f>AVERAGE(River_data[[#This Row],[pH Max]]-River_data[[#This Row],[pH Min]])</f>
        <v>0.60000000000000053</v>
      </c>
    </row>
    <row r="506" spans="1:24" x14ac:dyDescent="0.3">
      <c r="A506">
        <v>3306</v>
      </c>
      <c r="B506" s="1" t="s">
        <v>517</v>
      </c>
      <c r="C506" s="1" t="s">
        <v>352</v>
      </c>
      <c r="D506">
        <v>18</v>
      </c>
      <c r="E506">
        <v>32</v>
      </c>
      <c r="F506">
        <v>7</v>
      </c>
      <c r="G506">
        <v>8</v>
      </c>
      <c r="H506">
        <v>7.2</v>
      </c>
      <c r="I506">
        <v>7.8</v>
      </c>
      <c r="J506">
        <v>290</v>
      </c>
      <c r="K506">
        <v>564</v>
      </c>
      <c r="L506">
        <v>1.4</v>
      </c>
      <c r="M506">
        <v>2.5</v>
      </c>
      <c r="N506">
        <v>0.3</v>
      </c>
      <c r="O506">
        <v>2.5099999999999998</v>
      </c>
      <c r="P506">
        <v>2</v>
      </c>
      <c r="Q506">
        <v>5</v>
      </c>
      <c r="R506">
        <v>22</v>
      </c>
      <c r="S506">
        <v>28</v>
      </c>
      <c r="V506">
        <f>River_data[[#This Row],[Dissolved Oxygen Min]]*River_data[[#This Row],[Dissolved Oxygen Max]]/2</f>
        <v>28</v>
      </c>
      <c r="W506">
        <f>River_data[[#This Row],[BOD Min]]*River_data[[#This Row],[BOD Max]]/2</f>
        <v>1.75</v>
      </c>
      <c r="X506">
        <f>AVERAGE(River_data[[#This Row],[pH Max]]-River_data[[#This Row],[pH Min]])</f>
        <v>0.59999999999999964</v>
      </c>
    </row>
    <row r="507" spans="1:24" x14ac:dyDescent="0.3">
      <c r="A507">
        <v>3307</v>
      </c>
      <c r="B507" s="1" t="s">
        <v>518</v>
      </c>
      <c r="C507" s="1" t="s">
        <v>352</v>
      </c>
      <c r="D507">
        <v>18</v>
      </c>
      <c r="E507">
        <v>32</v>
      </c>
      <c r="F507">
        <v>6.9</v>
      </c>
      <c r="G507">
        <v>7.9</v>
      </c>
      <c r="H507">
        <v>7</v>
      </c>
      <c r="I507">
        <v>8</v>
      </c>
      <c r="J507">
        <v>290</v>
      </c>
      <c r="K507">
        <v>640</v>
      </c>
      <c r="L507">
        <v>1.6</v>
      </c>
      <c r="M507">
        <v>2.7</v>
      </c>
      <c r="N507">
        <v>0.3</v>
      </c>
      <c r="O507">
        <v>2.5</v>
      </c>
      <c r="P507">
        <v>2</v>
      </c>
      <c r="Q507">
        <v>7</v>
      </c>
      <c r="R507">
        <v>18</v>
      </c>
      <c r="S507">
        <v>28</v>
      </c>
      <c r="V507">
        <f>River_data[[#This Row],[Dissolved Oxygen Min]]*River_data[[#This Row],[Dissolved Oxygen Max]]/2</f>
        <v>27.255000000000003</v>
      </c>
      <c r="W507">
        <f>River_data[[#This Row],[BOD Min]]*River_data[[#This Row],[BOD Max]]/2</f>
        <v>2.16</v>
      </c>
      <c r="X507">
        <f>AVERAGE(River_data[[#This Row],[pH Max]]-River_data[[#This Row],[pH Min]])</f>
        <v>1</v>
      </c>
    </row>
    <row r="508" spans="1:24" x14ac:dyDescent="0.3">
      <c r="A508">
        <v>3311</v>
      </c>
      <c r="B508" s="1" t="s">
        <v>519</v>
      </c>
      <c r="C508" s="1" t="s">
        <v>352</v>
      </c>
      <c r="D508">
        <v>23</v>
      </c>
      <c r="E508">
        <v>32</v>
      </c>
      <c r="F508">
        <v>7.2</v>
      </c>
      <c r="G508">
        <v>9</v>
      </c>
      <c r="H508">
        <v>7.6</v>
      </c>
      <c r="I508">
        <v>8.1</v>
      </c>
      <c r="J508">
        <v>360</v>
      </c>
      <c r="K508">
        <v>415</v>
      </c>
      <c r="L508">
        <v>1</v>
      </c>
      <c r="M508">
        <v>2.1</v>
      </c>
      <c r="N508">
        <v>0.34</v>
      </c>
      <c r="O508">
        <v>1.18</v>
      </c>
      <c r="P508">
        <v>2</v>
      </c>
      <c r="Q508">
        <v>2</v>
      </c>
      <c r="R508">
        <v>21</v>
      </c>
      <c r="S508">
        <v>48</v>
      </c>
      <c r="T508">
        <v>2</v>
      </c>
      <c r="U508">
        <v>2</v>
      </c>
      <c r="V508">
        <f>River_data[[#This Row],[Dissolved Oxygen Min]]*River_data[[#This Row],[Dissolved Oxygen Max]]/2</f>
        <v>32.4</v>
      </c>
      <c r="W508">
        <f>River_data[[#This Row],[BOD Min]]*River_data[[#This Row],[BOD Max]]/2</f>
        <v>1.05</v>
      </c>
      <c r="X508">
        <f>AVERAGE(River_data[[#This Row],[pH Max]]-River_data[[#This Row],[pH Min]])</f>
        <v>0.5</v>
      </c>
    </row>
    <row r="509" spans="1:24" x14ac:dyDescent="0.3">
      <c r="A509">
        <v>2401</v>
      </c>
      <c r="B509" s="1" t="s">
        <v>520</v>
      </c>
      <c r="C509" s="1" t="s">
        <v>242</v>
      </c>
      <c r="D509">
        <v>15</v>
      </c>
      <c r="E509">
        <v>37</v>
      </c>
      <c r="F509">
        <v>5.7</v>
      </c>
      <c r="G509">
        <v>7.2</v>
      </c>
      <c r="H509">
        <v>7.4</v>
      </c>
      <c r="I509">
        <v>7.7</v>
      </c>
      <c r="J509">
        <v>102</v>
      </c>
      <c r="K509">
        <v>134</v>
      </c>
      <c r="L509">
        <v>1.1000000000000001</v>
      </c>
      <c r="M509">
        <v>1.4</v>
      </c>
      <c r="N509">
        <v>0</v>
      </c>
      <c r="O509">
        <v>0</v>
      </c>
      <c r="V509">
        <f>River_data[[#This Row],[Dissolved Oxygen Min]]*River_data[[#This Row],[Dissolved Oxygen Max]]/2</f>
        <v>20.52</v>
      </c>
      <c r="W509">
        <f>River_data[[#This Row],[BOD Min]]*River_data[[#This Row],[BOD Max]]/2</f>
        <v>0.77</v>
      </c>
      <c r="X509">
        <f>AVERAGE(River_data[[#This Row],[pH Max]]-River_data[[#This Row],[pH Min]])</f>
        <v>0.29999999999999982</v>
      </c>
    </row>
    <row r="510" spans="1:24" x14ac:dyDescent="0.3">
      <c r="A510">
        <v>4490</v>
      </c>
      <c r="B510" s="1" t="s">
        <v>521</v>
      </c>
      <c r="C510" s="1" t="s">
        <v>242</v>
      </c>
      <c r="D510">
        <v>15</v>
      </c>
      <c r="E510">
        <v>36</v>
      </c>
      <c r="F510">
        <v>7.1</v>
      </c>
      <c r="G510">
        <v>8.6999999999999993</v>
      </c>
      <c r="H510">
        <v>7.4</v>
      </c>
      <c r="I510">
        <v>7.6</v>
      </c>
      <c r="J510">
        <v>88</v>
      </c>
      <c r="K510">
        <v>220</v>
      </c>
      <c r="L510">
        <v>1</v>
      </c>
      <c r="M510">
        <v>1.3</v>
      </c>
      <c r="N510">
        <v>0</v>
      </c>
      <c r="O510">
        <v>0</v>
      </c>
      <c r="V510">
        <f>River_data[[#This Row],[Dissolved Oxygen Min]]*River_data[[#This Row],[Dissolved Oxygen Max]]/2</f>
        <v>30.884999999999994</v>
      </c>
      <c r="W510">
        <f>River_data[[#This Row],[BOD Min]]*River_data[[#This Row],[BOD Max]]/2</f>
        <v>0.65</v>
      </c>
      <c r="X510">
        <f>AVERAGE(River_data[[#This Row],[pH Max]]-River_data[[#This Row],[pH Min]])</f>
        <v>0.19999999999999929</v>
      </c>
    </row>
    <row r="511" spans="1:24" x14ac:dyDescent="0.3">
      <c r="A511">
        <v>4745</v>
      </c>
      <c r="B511" s="1" t="s">
        <v>522</v>
      </c>
      <c r="C511" s="1" t="s">
        <v>242</v>
      </c>
      <c r="D511">
        <v>15.4</v>
      </c>
      <c r="E511">
        <v>36</v>
      </c>
      <c r="F511">
        <v>6.2</v>
      </c>
      <c r="G511">
        <v>8.1999999999999993</v>
      </c>
      <c r="H511">
        <v>6.3</v>
      </c>
      <c r="I511">
        <v>8.4</v>
      </c>
      <c r="J511">
        <v>216</v>
      </c>
      <c r="K511">
        <v>369</v>
      </c>
      <c r="L511">
        <v>1.8</v>
      </c>
      <c r="M511">
        <v>4.8</v>
      </c>
      <c r="N511">
        <v>0</v>
      </c>
      <c r="O511">
        <v>0</v>
      </c>
      <c r="V511">
        <f>River_data[[#This Row],[Dissolved Oxygen Min]]*River_data[[#This Row],[Dissolved Oxygen Max]]/2</f>
        <v>25.419999999999998</v>
      </c>
      <c r="W511">
        <f>River_data[[#This Row],[BOD Min]]*River_data[[#This Row],[BOD Max]]/2</f>
        <v>4.32</v>
      </c>
      <c r="X511">
        <f>AVERAGE(River_data[[#This Row],[pH Max]]-River_data[[#This Row],[pH Min]])</f>
        <v>2.1000000000000005</v>
      </c>
    </row>
    <row r="512" spans="1:24" x14ac:dyDescent="0.3">
      <c r="A512">
        <v>4747</v>
      </c>
      <c r="B512" s="1" t="s">
        <v>523</v>
      </c>
      <c r="C512" s="1" t="s">
        <v>242</v>
      </c>
      <c r="D512">
        <v>19.2</v>
      </c>
      <c r="E512">
        <v>37</v>
      </c>
      <c r="F512">
        <v>6.9</v>
      </c>
      <c r="G512">
        <v>8.1</v>
      </c>
      <c r="H512">
        <v>7.2</v>
      </c>
      <c r="I512">
        <v>8.3000000000000007</v>
      </c>
      <c r="J512">
        <v>234</v>
      </c>
      <c r="K512">
        <v>481</v>
      </c>
      <c r="L512">
        <v>1.2</v>
      </c>
      <c r="M512">
        <v>3.1</v>
      </c>
      <c r="N512">
        <v>0</v>
      </c>
      <c r="O512">
        <v>0</v>
      </c>
      <c r="V512">
        <f>River_data[[#This Row],[Dissolved Oxygen Min]]*River_data[[#This Row],[Dissolved Oxygen Max]]/2</f>
        <v>27.945</v>
      </c>
      <c r="W512">
        <f>River_data[[#This Row],[BOD Min]]*River_data[[#This Row],[BOD Max]]/2</f>
        <v>1.8599999999999999</v>
      </c>
      <c r="X512">
        <f>AVERAGE(River_data[[#This Row],[pH Max]]-River_data[[#This Row],[pH Min]])</f>
        <v>1.1000000000000005</v>
      </c>
    </row>
    <row r="513" spans="1:24" x14ac:dyDescent="0.3">
      <c r="A513">
        <v>2567</v>
      </c>
      <c r="B513" s="1" t="s">
        <v>524</v>
      </c>
      <c r="C513" s="1" t="s">
        <v>207</v>
      </c>
      <c r="D513">
        <v>21</v>
      </c>
      <c r="E513">
        <v>30</v>
      </c>
      <c r="F513">
        <v>6.2</v>
      </c>
      <c r="G513">
        <v>9.8000000000000007</v>
      </c>
      <c r="H513">
        <v>7.1</v>
      </c>
      <c r="I513">
        <v>8.4</v>
      </c>
      <c r="J513">
        <v>160</v>
      </c>
      <c r="K513">
        <v>365</v>
      </c>
      <c r="L513">
        <v>1</v>
      </c>
      <c r="M513">
        <v>3</v>
      </c>
      <c r="N513">
        <v>0.3</v>
      </c>
      <c r="O513">
        <v>0.3</v>
      </c>
      <c r="P513">
        <v>7000</v>
      </c>
      <c r="Q513">
        <v>54000</v>
      </c>
      <c r="R513">
        <v>11000</v>
      </c>
      <c r="S513">
        <v>92000</v>
      </c>
      <c r="V513">
        <f>River_data[[#This Row],[Dissolved Oxygen Min]]*River_data[[#This Row],[Dissolved Oxygen Max]]/2</f>
        <v>30.380000000000003</v>
      </c>
      <c r="W513">
        <f>River_data[[#This Row],[BOD Min]]*River_data[[#This Row],[BOD Max]]/2</f>
        <v>1.5</v>
      </c>
      <c r="X513">
        <f>AVERAGE(River_data[[#This Row],[pH Max]]-River_data[[#This Row],[pH Min]])</f>
        <v>1.3000000000000007</v>
      </c>
    </row>
    <row r="514" spans="1:24" x14ac:dyDescent="0.3">
      <c r="A514">
        <v>2569</v>
      </c>
      <c r="B514" s="1" t="s">
        <v>525</v>
      </c>
      <c r="C514" s="1" t="s">
        <v>207</v>
      </c>
      <c r="D514">
        <v>14</v>
      </c>
      <c r="E514">
        <v>29</v>
      </c>
      <c r="F514">
        <v>2.2000000000000002</v>
      </c>
      <c r="G514">
        <v>7.2</v>
      </c>
      <c r="H514">
        <v>7.4</v>
      </c>
      <c r="I514">
        <v>7.9</v>
      </c>
      <c r="J514">
        <v>131</v>
      </c>
      <c r="K514">
        <v>864</v>
      </c>
      <c r="L514">
        <v>1.4</v>
      </c>
      <c r="M514">
        <v>4</v>
      </c>
      <c r="N514">
        <v>0.3</v>
      </c>
      <c r="O514">
        <v>0.3</v>
      </c>
      <c r="P514">
        <v>4900</v>
      </c>
      <c r="Q514">
        <v>92000</v>
      </c>
      <c r="R514">
        <v>17000</v>
      </c>
      <c r="S514">
        <v>160000</v>
      </c>
      <c r="V514">
        <f>River_data[[#This Row],[Dissolved Oxygen Min]]*River_data[[#This Row],[Dissolved Oxygen Max]]/2</f>
        <v>7.9200000000000008</v>
      </c>
      <c r="W514">
        <f>River_data[[#This Row],[BOD Min]]*River_data[[#This Row],[BOD Max]]/2</f>
        <v>2.8</v>
      </c>
      <c r="X514">
        <f>AVERAGE(River_data[[#This Row],[pH Max]]-River_data[[#This Row],[pH Min]])</f>
        <v>0.5</v>
      </c>
    </row>
    <row r="515" spans="1:24" x14ac:dyDescent="0.3">
      <c r="A515">
        <v>3133</v>
      </c>
      <c r="B515" s="1" t="s">
        <v>526</v>
      </c>
      <c r="C515" s="1" t="s">
        <v>207</v>
      </c>
      <c r="D515">
        <v>20</v>
      </c>
      <c r="E515">
        <v>30</v>
      </c>
      <c r="F515">
        <v>6.8</v>
      </c>
      <c r="G515">
        <v>9.1</v>
      </c>
      <c r="H515">
        <v>7.3</v>
      </c>
      <c r="I515">
        <v>8.3000000000000007</v>
      </c>
      <c r="J515">
        <v>222</v>
      </c>
      <c r="K515">
        <v>335</v>
      </c>
      <c r="L515">
        <v>1</v>
      </c>
      <c r="M515">
        <v>2.2000000000000002</v>
      </c>
      <c r="N515">
        <v>0.3</v>
      </c>
      <c r="O515">
        <v>0.3</v>
      </c>
      <c r="P515">
        <v>3300</v>
      </c>
      <c r="Q515">
        <v>92000</v>
      </c>
      <c r="R515">
        <v>7900</v>
      </c>
      <c r="S515">
        <v>160000</v>
      </c>
      <c r="V515">
        <f>River_data[[#This Row],[Dissolved Oxygen Min]]*River_data[[#This Row],[Dissolved Oxygen Max]]/2</f>
        <v>30.939999999999998</v>
      </c>
      <c r="W515">
        <f>River_data[[#This Row],[BOD Min]]*River_data[[#This Row],[BOD Max]]/2</f>
        <v>1.1000000000000001</v>
      </c>
      <c r="X515">
        <f>AVERAGE(River_data[[#This Row],[pH Max]]-River_data[[#This Row],[pH Min]])</f>
        <v>1.0000000000000009</v>
      </c>
    </row>
    <row r="516" spans="1:24" x14ac:dyDescent="0.3">
      <c r="A516">
        <v>4299</v>
      </c>
      <c r="B516" s="1" t="s">
        <v>527</v>
      </c>
      <c r="C516" s="1" t="s">
        <v>207</v>
      </c>
      <c r="D516">
        <v>18</v>
      </c>
      <c r="E516">
        <v>27</v>
      </c>
      <c r="F516">
        <v>6.1</v>
      </c>
      <c r="G516">
        <v>9.1999999999999993</v>
      </c>
      <c r="H516">
        <v>7.1</v>
      </c>
      <c r="I516">
        <v>8.3000000000000007</v>
      </c>
      <c r="J516">
        <v>176</v>
      </c>
      <c r="K516">
        <v>511</v>
      </c>
      <c r="L516">
        <v>1</v>
      </c>
      <c r="M516">
        <v>2.6</v>
      </c>
      <c r="N516">
        <v>0.3</v>
      </c>
      <c r="O516">
        <v>0.3</v>
      </c>
      <c r="P516">
        <v>4900</v>
      </c>
      <c r="Q516">
        <v>92000</v>
      </c>
      <c r="R516">
        <v>7900</v>
      </c>
      <c r="S516">
        <v>160000</v>
      </c>
      <c r="V516">
        <f>River_data[[#This Row],[Dissolved Oxygen Min]]*River_data[[#This Row],[Dissolved Oxygen Max]]/2</f>
        <v>28.059999999999995</v>
      </c>
      <c r="W516">
        <f>River_data[[#This Row],[BOD Min]]*River_data[[#This Row],[BOD Max]]/2</f>
        <v>1.3</v>
      </c>
      <c r="X516">
        <f>AVERAGE(River_data[[#This Row],[pH Max]]-River_data[[#This Row],[pH Min]])</f>
        <v>1.2000000000000011</v>
      </c>
    </row>
    <row r="517" spans="1:24" x14ac:dyDescent="0.3">
      <c r="A517">
        <v>2572</v>
      </c>
      <c r="B517" s="1" t="s">
        <v>528</v>
      </c>
      <c r="C517" s="1" t="s">
        <v>207</v>
      </c>
      <c r="D517">
        <v>16</v>
      </c>
      <c r="E517">
        <v>34</v>
      </c>
      <c r="F517">
        <v>6.9</v>
      </c>
      <c r="G517">
        <v>8.4</v>
      </c>
      <c r="H517">
        <v>7.4</v>
      </c>
      <c r="I517">
        <v>8</v>
      </c>
      <c r="J517">
        <v>105</v>
      </c>
      <c r="K517">
        <v>232</v>
      </c>
      <c r="L517">
        <v>1.3</v>
      </c>
      <c r="M517">
        <v>2.5</v>
      </c>
      <c r="N517">
        <v>0.3</v>
      </c>
      <c r="O517">
        <v>0.3</v>
      </c>
      <c r="P517">
        <v>130</v>
      </c>
      <c r="Q517">
        <v>17000</v>
      </c>
      <c r="R517">
        <v>220</v>
      </c>
      <c r="S517">
        <v>54000</v>
      </c>
      <c r="V517">
        <f>River_data[[#This Row],[Dissolved Oxygen Min]]*River_data[[#This Row],[Dissolved Oxygen Max]]/2</f>
        <v>28.980000000000004</v>
      </c>
      <c r="W517">
        <f>River_data[[#This Row],[BOD Min]]*River_data[[#This Row],[BOD Max]]/2</f>
        <v>1.625</v>
      </c>
      <c r="X517">
        <f>AVERAGE(River_data[[#This Row],[pH Max]]-River_data[[#This Row],[pH Min]])</f>
        <v>0.59999999999999964</v>
      </c>
    </row>
    <row r="518" spans="1:24" x14ac:dyDescent="0.3">
      <c r="A518">
        <v>1336</v>
      </c>
      <c r="B518" s="1" t="s">
        <v>529</v>
      </c>
      <c r="C518" s="1" t="s">
        <v>247</v>
      </c>
      <c r="D518">
        <v>22</v>
      </c>
      <c r="E518">
        <v>34</v>
      </c>
      <c r="F518">
        <v>7.6</v>
      </c>
      <c r="G518">
        <v>8.9</v>
      </c>
      <c r="H518">
        <v>7.4</v>
      </c>
      <c r="I518">
        <v>8.1999999999999993</v>
      </c>
      <c r="J518">
        <v>135</v>
      </c>
      <c r="K518">
        <v>416</v>
      </c>
      <c r="L518">
        <v>2</v>
      </c>
      <c r="M518">
        <v>2.9</v>
      </c>
      <c r="N518">
        <v>0.3</v>
      </c>
      <c r="O518">
        <v>1.91</v>
      </c>
      <c r="P518">
        <v>1700</v>
      </c>
      <c r="Q518">
        <v>3200</v>
      </c>
      <c r="R518">
        <v>2100</v>
      </c>
      <c r="S518">
        <v>4000</v>
      </c>
      <c r="T518">
        <v>17</v>
      </c>
      <c r="U518">
        <v>27</v>
      </c>
      <c r="V518">
        <f>River_data[[#This Row],[Dissolved Oxygen Min]]*River_data[[#This Row],[Dissolved Oxygen Max]]/2</f>
        <v>33.82</v>
      </c>
      <c r="W518">
        <f>River_data[[#This Row],[BOD Min]]*River_data[[#This Row],[BOD Max]]/2</f>
        <v>2.9</v>
      </c>
      <c r="X518">
        <f>AVERAGE(River_data[[#This Row],[pH Max]]-River_data[[#This Row],[pH Min]])</f>
        <v>0.79999999999999893</v>
      </c>
    </row>
    <row r="519" spans="1:24" x14ac:dyDescent="0.3">
      <c r="A519">
        <v>1331</v>
      </c>
      <c r="B519" s="1" t="s">
        <v>530</v>
      </c>
      <c r="C519" s="1" t="s">
        <v>247</v>
      </c>
      <c r="D519">
        <v>21</v>
      </c>
      <c r="E519">
        <v>33</v>
      </c>
      <c r="F519">
        <v>7.6</v>
      </c>
      <c r="G519">
        <v>9</v>
      </c>
      <c r="H519">
        <v>6.7</v>
      </c>
      <c r="I519">
        <v>8.1</v>
      </c>
      <c r="J519">
        <v>167</v>
      </c>
      <c r="K519">
        <v>370</v>
      </c>
      <c r="L519">
        <v>1.9</v>
      </c>
      <c r="M519">
        <v>2.8</v>
      </c>
      <c r="N519">
        <v>0.3</v>
      </c>
      <c r="O519">
        <v>1.73</v>
      </c>
      <c r="P519">
        <v>1400</v>
      </c>
      <c r="Q519">
        <v>3200</v>
      </c>
      <c r="R519">
        <v>2400</v>
      </c>
      <c r="S519">
        <v>4900</v>
      </c>
      <c r="T519">
        <v>14</v>
      </c>
      <c r="U519">
        <v>3300</v>
      </c>
      <c r="V519">
        <f>River_data[[#This Row],[Dissolved Oxygen Min]]*River_data[[#This Row],[Dissolved Oxygen Max]]/2</f>
        <v>34.199999999999996</v>
      </c>
      <c r="W519">
        <f>River_data[[#This Row],[BOD Min]]*River_data[[#This Row],[BOD Max]]/2</f>
        <v>2.6599999999999997</v>
      </c>
      <c r="X519">
        <f>AVERAGE(River_data[[#This Row],[pH Max]]-River_data[[#This Row],[pH Min]])</f>
        <v>1.3999999999999995</v>
      </c>
    </row>
    <row r="520" spans="1:24" x14ac:dyDescent="0.3">
      <c r="A520">
        <v>1332</v>
      </c>
      <c r="B520" s="1" t="s">
        <v>531</v>
      </c>
      <c r="C520" s="1" t="s">
        <v>247</v>
      </c>
      <c r="D520">
        <v>21</v>
      </c>
      <c r="E520">
        <v>33</v>
      </c>
      <c r="F520">
        <v>7.6</v>
      </c>
      <c r="G520">
        <v>8.8000000000000007</v>
      </c>
      <c r="H520">
        <v>7.1</v>
      </c>
      <c r="I520">
        <v>8.1999999999999993</v>
      </c>
      <c r="J520">
        <v>193</v>
      </c>
      <c r="K520">
        <v>407</v>
      </c>
      <c r="L520">
        <v>2</v>
      </c>
      <c r="M520">
        <v>2.7</v>
      </c>
      <c r="N520">
        <v>0.3</v>
      </c>
      <c r="O520">
        <v>1.42</v>
      </c>
      <c r="P520">
        <v>1700</v>
      </c>
      <c r="Q520">
        <v>2700</v>
      </c>
      <c r="R520">
        <v>2600</v>
      </c>
      <c r="S520">
        <v>4700</v>
      </c>
      <c r="T520">
        <v>17</v>
      </c>
      <c r="U520">
        <v>26</v>
      </c>
      <c r="V520">
        <f>River_data[[#This Row],[Dissolved Oxygen Min]]*River_data[[#This Row],[Dissolved Oxygen Max]]/2</f>
        <v>33.44</v>
      </c>
      <c r="W520">
        <f>River_data[[#This Row],[BOD Min]]*River_data[[#This Row],[BOD Max]]/2</f>
        <v>2.7</v>
      </c>
      <c r="X520">
        <f>AVERAGE(River_data[[#This Row],[pH Max]]-River_data[[#This Row],[pH Min]])</f>
        <v>1.0999999999999996</v>
      </c>
    </row>
    <row r="521" spans="1:24" x14ac:dyDescent="0.3">
      <c r="A521">
        <v>1333</v>
      </c>
      <c r="B521" s="1" t="s">
        <v>532</v>
      </c>
      <c r="C521" s="1" t="s">
        <v>247</v>
      </c>
      <c r="D521">
        <v>21</v>
      </c>
      <c r="E521">
        <v>34</v>
      </c>
      <c r="F521">
        <v>7.6</v>
      </c>
      <c r="G521">
        <v>8.6999999999999993</v>
      </c>
      <c r="H521">
        <v>6.8</v>
      </c>
      <c r="I521">
        <v>7.9</v>
      </c>
      <c r="J521">
        <v>172</v>
      </c>
      <c r="K521">
        <v>625</v>
      </c>
      <c r="L521">
        <v>2.1</v>
      </c>
      <c r="M521">
        <v>2.9</v>
      </c>
      <c r="N521">
        <v>0.3</v>
      </c>
      <c r="O521">
        <v>2.91</v>
      </c>
      <c r="P521">
        <v>1700</v>
      </c>
      <c r="Q521">
        <v>3200</v>
      </c>
      <c r="R521">
        <v>2100</v>
      </c>
      <c r="S521">
        <v>4000</v>
      </c>
      <c r="T521">
        <v>17</v>
      </c>
      <c r="U521">
        <v>32</v>
      </c>
      <c r="V521">
        <f>River_data[[#This Row],[Dissolved Oxygen Min]]*River_data[[#This Row],[Dissolved Oxygen Max]]/2</f>
        <v>33.059999999999995</v>
      </c>
      <c r="W521">
        <f>River_data[[#This Row],[BOD Min]]*River_data[[#This Row],[BOD Max]]/2</f>
        <v>3.0449999999999999</v>
      </c>
      <c r="X521">
        <f>AVERAGE(River_data[[#This Row],[pH Max]]-River_data[[#This Row],[pH Min]])</f>
        <v>1.1000000000000005</v>
      </c>
    </row>
    <row r="522" spans="1:24" x14ac:dyDescent="0.3">
      <c r="A522">
        <v>1334</v>
      </c>
      <c r="B522" s="1" t="s">
        <v>533</v>
      </c>
      <c r="C522" s="1" t="s">
        <v>247</v>
      </c>
      <c r="D522">
        <v>19</v>
      </c>
      <c r="E522">
        <v>34</v>
      </c>
      <c r="F522">
        <v>6.7</v>
      </c>
      <c r="G522">
        <v>8.5</v>
      </c>
      <c r="H522">
        <v>6.9</v>
      </c>
      <c r="I522">
        <v>8.1999999999999993</v>
      </c>
      <c r="J522">
        <v>218</v>
      </c>
      <c r="K522">
        <v>481</v>
      </c>
      <c r="L522">
        <v>2.2000000000000002</v>
      </c>
      <c r="M522">
        <v>3.8</v>
      </c>
      <c r="N522">
        <v>0.3</v>
      </c>
      <c r="O522">
        <v>2.48</v>
      </c>
      <c r="P522">
        <v>1400</v>
      </c>
      <c r="Q522">
        <v>3300</v>
      </c>
      <c r="R522">
        <v>1700</v>
      </c>
      <c r="S522">
        <v>4000</v>
      </c>
      <c r="T522">
        <v>17</v>
      </c>
      <c r="U522">
        <v>26</v>
      </c>
      <c r="V522">
        <f>River_data[[#This Row],[Dissolved Oxygen Min]]*River_data[[#This Row],[Dissolved Oxygen Max]]/2</f>
        <v>28.475000000000001</v>
      </c>
      <c r="W522">
        <f>River_data[[#This Row],[BOD Min]]*River_data[[#This Row],[BOD Max]]/2</f>
        <v>4.18</v>
      </c>
      <c r="X522">
        <f>AVERAGE(River_data[[#This Row],[pH Max]]-River_data[[#This Row],[pH Min]])</f>
        <v>1.2999999999999989</v>
      </c>
    </row>
    <row r="523" spans="1:24" x14ac:dyDescent="0.3">
      <c r="A523">
        <v>2527</v>
      </c>
      <c r="B523" s="1" t="s">
        <v>534</v>
      </c>
      <c r="C523" s="1" t="s">
        <v>247</v>
      </c>
      <c r="D523">
        <v>19</v>
      </c>
      <c r="E523">
        <v>33</v>
      </c>
      <c r="F523">
        <v>7.5</v>
      </c>
      <c r="G523">
        <v>8.9</v>
      </c>
      <c r="H523">
        <v>6.2</v>
      </c>
      <c r="I523">
        <v>8.3000000000000007</v>
      </c>
      <c r="J523">
        <v>213</v>
      </c>
      <c r="K523">
        <v>477</v>
      </c>
      <c r="L523">
        <v>2</v>
      </c>
      <c r="M523">
        <v>2.7</v>
      </c>
      <c r="N523">
        <v>0.3</v>
      </c>
      <c r="O523">
        <v>1.8</v>
      </c>
      <c r="P523">
        <v>1100</v>
      </c>
      <c r="Q523">
        <v>2600</v>
      </c>
      <c r="R523">
        <v>1700</v>
      </c>
      <c r="S523">
        <v>3900</v>
      </c>
      <c r="T523">
        <v>14</v>
      </c>
      <c r="U523">
        <v>26</v>
      </c>
      <c r="V523">
        <f>River_data[[#This Row],[Dissolved Oxygen Min]]*River_data[[#This Row],[Dissolved Oxygen Max]]/2</f>
        <v>33.375</v>
      </c>
      <c r="W523">
        <f>River_data[[#This Row],[BOD Min]]*River_data[[#This Row],[BOD Max]]/2</f>
        <v>2.7</v>
      </c>
      <c r="X523">
        <f>AVERAGE(River_data[[#This Row],[pH Max]]-River_data[[#This Row],[pH Min]])</f>
        <v>2.1000000000000005</v>
      </c>
    </row>
    <row r="524" spans="1:24" x14ac:dyDescent="0.3">
      <c r="A524">
        <v>30066</v>
      </c>
      <c r="B524" s="1" t="s">
        <v>535</v>
      </c>
      <c r="C524" s="1" t="s">
        <v>242</v>
      </c>
      <c r="D524">
        <v>20</v>
      </c>
      <c r="E524">
        <v>35</v>
      </c>
      <c r="F524">
        <v>5.2</v>
      </c>
      <c r="G524">
        <v>10.8</v>
      </c>
      <c r="H524">
        <v>7.3</v>
      </c>
      <c r="I524">
        <v>8.5</v>
      </c>
      <c r="J524">
        <v>304</v>
      </c>
      <c r="K524">
        <v>513</v>
      </c>
      <c r="L524">
        <v>1</v>
      </c>
      <c r="M524">
        <v>4</v>
      </c>
      <c r="N524">
        <v>0.32</v>
      </c>
      <c r="O524">
        <v>0.99</v>
      </c>
      <c r="P524">
        <v>2200</v>
      </c>
      <c r="Q524">
        <v>7900</v>
      </c>
      <c r="R524">
        <v>17000</v>
      </c>
      <c r="S524">
        <v>170000</v>
      </c>
      <c r="T524">
        <v>45</v>
      </c>
      <c r="U524">
        <v>130</v>
      </c>
      <c r="V524">
        <f>River_data[[#This Row],[Dissolved Oxygen Min]]*River_data[[#This Row],[Dissolved Oxygen Max]]/2</f>
        <v>28.080000000000002</v>
      </c>
      <c r="W524">
        <f>River_data[[#This Row],[BOD Min]]*River_data[[#This Row],[BOD Max]]/2</f>
        <v>2</v>
      </c>
      <c r="X524">
        <f>AVERAGE(River_data[[#This Row],[pH Max]]-River_data[[#This Row],[pH Min]])</f>
        <v>1.2000000000000002</v>
      </c>
    </row>
    <row r="525" spans="1:24" x14ac:dyDescent="0.3">
      <c r="A525">
        <v>30065</v>
      </c>
      <c r="B525" s="1" t="s">
        <v>536</v>
      </c>
      <c r="C525" s="1" t="s">
        <v>247</v>
      </c>
      <c r="D525">
        <v>18</v>
      </c>
      <c r="E525">
        <v>34</v>
      </c>
      <c r="F525">
        <v>6.3</v>
      </c>
      <c r="G525">
        <v>8.4</v>
      </c>
      <c r="H525">
        <v>7</v>
      </c>
      <c r="I525">
        <v>8</v>
      </c>
      <c r="J525">
        <v>185</v>
      </c>
      <c r="K525">
        <v>313</v>
      </c>
      <c r="L525">
        <v>1</v>
      </c>
      <c r="M525">
        <v>1</v>
      </c>
      <c r="N525">
        <v>0.32</v>
      </c>
      <c r="O525">
        <v>0.43</v>
      </c>
      <c r="P525">
        <v>490</v>
      </c>
      <c r="Q525">
        <v>35000</v>
      </c>
      <c r="R525">
        <v>1300</v>
      </c>
      <c r="S525">
        <v>540000</v>
      </c>
      <c r="T525">
        <v>2</v>
      </c>
      <c r="U525">
        <v>2400</v>
      </c>
      <c r="V525">
        <f>River_data[[#This Row],[Dissolved Oxygen Min]]*River_data[[#This Row],[Dissolved Oxygen Max]]/2</f>
        <v>26.46</v>
      </c>
      <c r="W525">
        <f>River_data[[#This Row],[BOD Min]]*River_data[[#This Row],[BOD Max]]/2</f>
        <v>0.5</v>
      </c>
      <c r="X525">
        <f>AVERAGE(River_data[[#This Row],[pH Max]]-River_data[[#This Row],[pH Min]])</f>
        <v>1</v>
      </c>
    </row>
    <row r="526" spans="1:24" x14ac:dyDescent="0.3">
      <c r="A526">
        <v>10107</v>
      </c>
      <c r="B526" s="1" t="s">
        <v>537</v>
      </c>
      <c r="C526" s="1" t="s">
        <v>247</v>
      </c>
      <c r="D526">
        <v>21</v>
      </c>
      <c r="E526">
        <v>34</v>
      </c>
      <c r="F526">
        <v>7.5</v>
      </c>
      <c r="G526">
        <v>9</v>
      </c>
      <c r="H526">
        <v>7.2</v>
      </c>
      <c r="I526">
        <v>8.1999999999999993</v>
      </c>
      <c r="J526">
        <v>195</v>
      </c>
      <c r="K526">
        <v>739</v>
      </c>
      <c r="L526">
        <v>2.1</v>
      </c>
      <c r="M526">
        <v>2.8</v>
      </c>
      <c r="N526">
        <v>0.3</v>
      </c>
      <c r="O526">
        <v>1.2</v>
      </c>
      <c r="P526">
        <v>1400</v>
      </c>
      <c r="Q526">
        <v>2600</v>
      </c>
      <c r="R526">
        <v>2600</v>
      </c>
      <c r="S526">
        <v>4000</v>
      </c>
      <c r="T526">
        <v>17</v>
      </c>
      <c r="U526">
        <v>32</v>
      </c>
      <c r="V526">
        <f>River_data[[#This Row],[Dissolved Oxygen Min]]*River_data[[#This Row],[Dissolved Oxygen Max]]/2</f>
        <v>33.75</v>
      </c>
      <c r="W526">
        <f>River_data[[#This Row],[BOD Min]]*River_data[[#This Row],[BOD Max]]/2</f>
        <v>2.94</v>
      </c>
      <c r="X526">
        <f>AVERAGE(River_data[[#This Row],[pH Max]]-River_data[[#This Row],[pH Min]])</f>
        <v>0.99999999999999911</v>
      </c>
    </row>
    <row r="527" spans="1:24" x14ac:dyDescent="0.3">
      <c r="A527">
        <v>10108</v>
      </c>
      <c r="B527" s="1" t="s">
        <v>538</v>
      </c>
      <c r="C527" s="1" t="s">
        <v>247</v>
      </c>
      <c r="D527">
        <v>20</v>
      </c>
      <c r="E527">
        <v>35</v>
      </c>
      <c r="F527">
        <v>7.6</v>
      </c>
      <c r="G527">
        <v>8.9</v>
      </c>
      <c r="H527">
        <v>7.4</v>
      </c>
      <c r="I527">
        <v>8.1999999999999993</v>
      </c>
      <c r="J527">
        <v>195</v>
      </c>
      <c r="K527">
        <v>471</v>
      </c>
      <c r="L527">
        <v>2.2999999999999998</v>
      </c>
      <c r="M527">
        <v>2.8</v>
      </c>
      <c r="N527">
        <v>0.3</v>
      </c>
      <c r="O527">
        <v>1.3</v>
      </c>
      <c r="P527">
        <v>1700</v>
      </c>
      <c r="Q527">
        <v>3300</v>
      </c>
      <c r="R527">
        <v>2200</v>
      </c>
      <c r="S527">
        <v>4000</v>
      </c>
      <c r="T527">
        <v>17</v>
      </c>
      <c r="U527">
        <v>26</v>
      </c>
      <c r="V527">
        <f>River_data[[#This Row],[Dissolved Oxygen Min]]*River_data[[#This Row],[Dissolved Oxygen Max]]/2</f>
        <v>33.82</v>
      </c>
      <c r="W527">
        <f>River_data[[#This Row],[BOD Min]]*River_data[[#This Row],[BOD Max]]/2</f>
        <v>3.2199999999999998</v>
      </c>
      <c r="X527">
        <f>AVERAGE(River_data[[#This Row],[pH Max]]-River_data[[#This Row],[pH Min]])</f>
        <v>0.79999999999999893</v>
      </c>
    </row>
    <row r="528" spans="1:24" x14ac:dyDescent="0.3">
      <c r="A528">
        <v>10109</v>
      </c>
      <c r="B528" s="1" t="s">
        <v>539</v>
      </c>
      <c r="C528" s="1" t="s">
        <v>247</v>
      </c>
      <c r="D528">
        <v>23</v>
      </c>
      <c r="E528">
        <v>33</v>
      </c>
      <c r="F528">
        <v>7.6</v>
      </c>
      <c r="G528">
        <v>9</v>
      </c>
      <c r="H528">
        <v>7.1</v>
      </c>
      <c r="I528">
        <v>8.1999999999999993</v>
      </c>
      <c r="J528">
        <v>159</v>
      </c>
      <c r="K528">
        <v>432</v>
      </c>
      <c r="L528">
        <v>1.7</v>
      </c>
      <c r="M528">
        <v>2.1</v>
      </c>
      <c r="N528">
        <v>0.3</v>
      </c>
      <c r="O528">
        <v>1.52</v>
      </c>
      <c r="P528">
        <v>1700</v>
      </c>
      <c r="Q528">
        <v>3200</v>
      </c>
      <c r="R528">
        <v>2100</v>
      </c>
      <c r="S528">
        <v>4600</v>
      </c>
      <c r="T528">
        <v>14</v>
      </c>
      <c r="U528">
        <v>36</v>
      </c>
      <c r="V528">
        <f>River_data[[#This Row],[Dissolved Oxygen Min]]*River_data[[#This Row],[Dissolved Oxygen Max]]/2</f>
        <v>34.199999999999996</v>
      </c>
      <c r="W528">
        <f>River_data[[#This Row],[BOD Min]]*River_data[[#This Row],[BOD Max]]/2</f>
        <v>1.7849999999999999</v>
      </c>
      <c r="X528">
        <f>AVERAGE(River_data[[#This Row],[pH Max]]-River_data[[#This Row],[pH Min]])</f>
        <v>1.0999999999999996</v>
      </c>
    </row>
    <row r="529" spans="1:24" x14ac:dyDescent="0.3">
      <c r="A529">
        <v>10110</v>
      </c>
      <c r="B529" s="1" t="s">
        <v>540</v>
      </c>
      <c r="C529" s="1" t="s">
        <v>247</v>
      </c>
      <c r="D529">
        <v>21</v>
      </c>
      <c r="E529">
        <v>35</v>
      </c>
      <c r="F529">
        <v>7.6</v>
      </c>
      <c r="G529">
        <v>8.9</v>
      </c>
      <c r="H529">
        <v>7.5</v>
      </c>
      <c r="I529">
        <v>8.4</v>
      </c>
      <c r="J529">
        <v>194</v>
      </c>
      <c r="K529">
        <v>475</v>
      </c>
      <c r="L529">
        <v>2.2999999999999998</v>
      </c>
      <c r="M529">
        <v>2.9</v>
      </c>
      <c r="N529">
        <v>0.3</v>
      </c>
      <c r="O529">
        <v>1.04</v>
      </c>
      <c r="P529">
        <v>1400</v>
      </c>
      <c r="Q529">
        <v>3400</v>
      </c>
      <c r="R529">
        <v>2100</v>
      </c>
      <c r="S529">
        <v>4700</v>
      </c>
      <c r="T529">
        <v>17</v>
      </c>
      <c r="U529">
        <v>26</v>
      </c>
      <c r="V529">
        <f>River_data[[#This Row],[Dissolved Oxygen Min]]*River_data[[#This Row],[Dissolved Oxygen Max]]/2</f>
        <v>33.82</v>
      </c>
      <c r="W529">
        <f>River_data[[#This Row],[BOD Min]]*River_data[[#This Row],[BOD Max]]/2</f>
        <v>3.3349999999999995</v>
      </c>
      <c r="X529">
        <f>AVERAGE(River_data[[#This Row],[pH Max]]-River_data[[#This Row],[pH Min]])</f>
        <v>0.90000000000000036</v>
      </c>
    </row>
    <row r="530" spans="1:24" x14ac:dyDescent="0.3">
      <c r="A530">
        <v>10111</v>
      </c>
      <c r="B530" s="1" t="s">
        <v>541</v>
      </c>
      <c r="C530" s="1" t="s">
        <v>247</v>
      </c>
      <c r="D530">
        <v>18</v>
      </c>
      <c r="E530">
        <v>33</v>
      </c>
      <c r="F530">
        <v>7.5</v>
      </c>
      <c r="G530">
        <v>9</v>
      </c>
      <c r="H530">
        <v>7.4</v>
      </c>
      <c r="I530">
        <v>8</v>
      </c>
      <c r="J530">
        <v>227</v>
      </c>
      <c r="K530">
        <v>714</v>
      </c>
      <c r="L530">
        <v>2.1</v>
      </c>
      <c r="M530">
        <v>2.8</v>
      </c>
      <c r="N530">
        <v>0.3</v>
      </c>
      <c r="O530">
        <v>2.95</v>
      </c>
      <c r="P530">
        <v>1400</v>
      </c>
      <c r="Q530">
        <v>3300</v>
      </c>
      <c r="R530">
        <v>2600</v>
      </c>
      <c r="S530">
        <v>4600</v>
      </c>
      <c r="T530">
        <v>14</v>
      </c>
      <c r="U530">
        <v>33</v>
      </c>
      <c r="V530">
        <f>River_data[[#This Row],[Dissolved Oxygen Min]]*River_data[[#This Row],[Dissolved Oxygen Max]]/2</f>
        <v>33.75</v>
      </c>
      <c r="W530">
        <f>River_data[[#This Row],[BOD Min]]*River_data[[#This Row],[BOD Max]]/2</f>
        <v>2.94</v>
      </c>
      <c r="X530">
        <f>AVERAGE(River_data[[#This Row],[pH Max]]-River_data[[#This Row],[pH Min]])</f>
        <v>0.59999999999999964</v>
      </c>
    </row>
    <row r="531" spans="1:24" x14ac:dyDescent="0.3">
      <c r="A531">
        <v>4742</v>
      </c>
      <c r="B531" s="1" t="s">
        <v>542</v>
      </c>
      <c r="C531" s="1" t="s">
        <v>242</v>
      </c>
      <c r="D531">
        <v>16</v>
      </c>
      <c r="E531">
        <v>35</v>
      </c>
      <c r="F531">
        <v>6.9</v>
      </c>
      <c r="G531">
        <v>8.1999999999999993</v>
      </c>
      <c r="H531">
        <v>7.1</v>
      </c>
      <c r="I531">
        <v>7.9</v>
      </c>
      <c r="J531">
        <v>224</v>
      </c>
      <c r="K531">
        <v>312</v>
      </c>
      <c r="L531">
        <v>1.1000000000000001</v>
      </c>
      <c r="M531">
        <v>5</v>
      </c>
      <c r="N531">
        <v>0</v>
      </c>
      <c r="O531">
        <v>0</v>
      </c>
      <c r="V531">
        <f>River_data[[#This Row],[Dissolved Oxygen Min]]*River_data[[#This Row],[Dissolved Oxygen Max]]/2</f>
        <v>28.29</v>
      </c>
      <c r="W531">
        <f>River_data[[#This Row],[BOD Min]]*River_data[[#This Row],[BOD Max]]/2</f>
        <v>2.75</v>
      </c>
      <c r="X531">
        <f>AVERAGE(River_data[[#This Row],[pH Max]]-River_data[[#This Row],[pH Min]])</f>
        <v>0.80000000000000071</v>
      </c>
    </row>
    <row r="532" spans="1:24" x14ac:dyDescent="0.3">
      <c r="A532">
        <v>2517</v>
      </c>
      <c r="B532" s="1" t="s">
        <v>543</v>
      </c>
      <c r="C532" s="1" t="s">
        <v>247</v>
      </c>
      <c r="D532">
        <v>19</v>
      </c>
      <c r="E532">
        <v>39</v>
      </c>
      <c r="F532">
        <v>1</v>
      </c>
      <c r="G532">
        <v>5.6</v>
      </c>
      <c r="H532">
        <v>7</v>
      </c>
      <c r="I532">
        <v>8.4</v>
      </c>
      <c r="J532">
        <v>339</v>
      </c>
      <c r="K532">
        <v>715</v>
      </c>
      <c r="L532">
        <v>1.7</v>
      </c>
      <c r="M532">
        <v>12.8</v>
      </c>
      <c r="N532">
        <v>0.3</v>
      </c>
      <c r="O532">
        <v>0.83</v>
      </c>
      <c r="P532">
        <v>5400</v>
      </c>
      <c r="Q532">
        <v>79000</v>
      </c>
      <c r="R532">
        <v>24000</v>
      </c>
      <c r="S532">
        <v>130000</v>
      </c>
      <c r="T532">
        <v>790</v>
      </c>
      <c r="U532">
        <v>2400</v>
      </c>
      <c r="V532">
        <f>River_data[[#This Row],[Dissolved Oxygen Min]]*River_data[[#This Row],[Dissolved Oxygen Max]]/2</f>
        <v>2.8</v>
      </c>
      <c r="W532">
        <f>River_data[[#This Row],[BOD Min]]*River_data[[#This Row],[BOD Max]]/2</f>
        <v>10.88</v>
      </c>
      <c r="X532">
        <f>AVERAGE(River_data[[#This Row],[pH Max]]-River_data[[#This Row],[pH Min]])</f>
        <v>1.4000000000000004</v>
      </c>
    </row>
    <row r="533" spans="1:24" x14ac:dyDescent="0.3">
      <c r="A533">
        <v>30064</v>
      </c>
      <c r="B533" s="1" t="s">
        <v>544</v>
      </c>
      <c r="C533" s="1" t="s">
        <v>247</v>
      </c>
      <c r="D533">
        <v>25</v>
      </c>
      <c r="E533">
        <v>33</v>
      </c>
      <c r="F533">
        <v>0.3</v>
      </c>
      <c r="G533">
        <v>1.5</v>
      </c>
      <c r="H533">
        <v>7</v>
      </c>
      <c r="I533">
        <v>7.7</v>
      </c>
      <c r="J533">
        <v>255</v>
      </c>
      <c r="K533">
        <v>696</v>
      </c>
      <c r="L533">
        <v>4</v>
      </c>
      <c r="M533">
        <v>6</v>
      </c>
      <c r="N533">
        <v>0.32</v>
      </c>
      <c r="O533">
        <v>0.34</v>
      </c>
      <c r="P533">
        <v>5400</v>
      </c>
      <c r="Q533">
        <v>1100000</v>
      </c>
      <c r="R533">
        <v>17000</v>
      </c>
      <c r="S533">
        <v>4900000</v>
      </c>
      <c r="T533">
        <v>45</v>
      </c>
      <c r="U533">
        <v>1400</v>
      </c>
      <c r="V533">
        <f>River_data[[#This Row],[Dissolved Oxygen Min]]*River_data[[#This Row],[Dissolved Oxygen Max]]/2</f>
        <v>0.22499999999999998</v>
      </c>
      <c r="W533">
        <f>River_data[[#This Row],[BOD Min]]*River_data[[#This Row],[BOD Max]]/2</f>
        <v>12</v>
      </c>
      <c r="X533">
        <f>AVERAGE(River_data[[#This Row],[pH Max]]-River_data[[#This Row],[pH Min]])</f>
        <v>0.70000000000000018</v>
      </c>
    </row>
    <row r="534" spans="1:24" x14ac:dyDescent="0.3">
      <c r="A534">
        <v>1764</v>
      </c>
      <c r="B534" s="1" t="s">
        <v>545</v>
      </c>
      <c r="C534" s="1" t="s">
        <v>247</v>
      </c>
      <c r="D534">
        <v>18</v>
      </c>
      <c r="E534">
        <v>36</v>
      </c>
      <c r="F534">
        <v>1</v>
      </c>
      <c r="G534">
        <v>3.6</v>
      </c>
      <c r="H534">
        <v>6.8</v>
      </c>
      <c r="I534">
        <v>8.3000000000000007</v>
      </c>
      <c r="J534">
        <v>385</v>
      </c>
      <c r="K534">
        <v>748</v>
      </c>
      <c r="L534">
        <v>1.7</v>
      </c>
      <c r="M534">
        <v>4.8</v>
      </c>
      <c r="N534">
        <v>0.3</v>
      </c>
      <c r="O534">
        <v>0.94</v>
      </c>
      <c r="P534">
        <v>13000</v>
      </c>
      <c r="Q534">
        <v>130000</v>
      </c>
      <c r="R534">
        <v>33000</v>
      </c>
      <c r="S534">
        <v>170000</v>
      </c>
      <c r="T534">
        <v>1100</v>
      </c>
      <c r="U534">
        <v>2400</v>
      </c>
      <c r="V534">
        <f>River_data[[#This Row],[Dissolved Oxygen Min]]*River_data[[#This Row],[Dissolved Oxygen Max]]/2</f>
        <v>1.8</v>
      </c>
      <c r="W534">
        <f>River_data[[#This Row],[BOD Min]]*River_data[[#This Row],[BOD Max]]/2</f>
        <v>4.08</v>
      </c>
      <c r="X534">
        <f>AVERAGE(River_data[[#This Row],[pH Max]]-River_data[[#This Row],[pH Min]])</f>
        <v>1.5000000000000009</v>
      </c>
    </row>
    <row r="535" spans="1:24" x14ac:dyDescent="0.3">
      <c r="A535">
        <v>2518</v>
      </c>
      <c r="B535" s="1" t="s">
        <v>546</v>
      </c>
      <c r="C535" s="1" t="s">
        <v>247</v>
      </c>
      <c r="D535">
        <v>20</v>
      </c>
      <c r="E535">
        <v>38</v>
      </c>
      <c r="F535">
        <v>1</v>
      </c>
      <c r="G535">
        <v>3.5</v>
      </c>
      <c r="H535">
        <v>6.8</v>
      </c>
      <c r="I535">
        <v>8.3000000000000007</v>
      </c>
      <c r="J535">
        <v>328</v>
      </c>
      <c r="K535">
        <v>769</v>
      </c>
      <c r="L535">
        <v>1.7</v>
      </c>
      <c r="M535">
        <v>10.5</v>
      </c>
      <c r="N535">
        <v>0.3</v>
      </c>
      <c r="O535">
        <v>0.49</v>
      </c>
      <c r="P535">
        <v>3500</v>
      </c>
      <c r="Q535">
        <v>35000</v>
      </c>
      <c r="R535">
        <v>7900</v>
      </c>
      <c r="S535">
        <v>79000</v>
      </c>
      <c r="T535">
        <v>240</v>
      </c>
      <c r="U535">
        <v>1300</v>
      </c>
      <c r="V535">
        <f>River_data[[#This Row],[Dissolved Oxygen Min]]*River_data[[#This Row],[Dissolved Oxygen Max]]/2</f>
        <v>1.75</v>
      </c>
      <c r="W535">
        <f>River_data[[#This Row],[BOD Min]]*River_data[[#This Row],[BOD Max]]/2</f>
        <v>8.9249999999999989</v>
      </c>
      <c r="X535">
        <f>AVERAGE(River_data[[#This Row],[pH Max]]-River_data[[#This Row],[pH Min]])</f>
        <v>1.5000000000000009</v>
      </c>
    </row>
    <row r="536" spans="1:24" x14ac:dyDescent="0.3">
      <c r="A536">
        <v>2541</v>
      </c>
      <c r="B536" s="1" t="s">
        <v>547</v>
      </c>
      <c r="C536" s="1" t="s">
        <v>247</v>
      </c>
      <c r="D536">
        <v>18</v>
      </c>
      <c r="E536">
        <v>33</v>
      </c>
      <c r="F536">
        <v>7.6</v>
      </c>
      <c r="G536">
        <v>9.1</v>
      </c>
      <c r="H536">
        <v>7.5</v>
      </c>
      <c r="I536">
        <v>8.1999999999999993</v>
      </c>
      <c r="J536">
        <v>209</v>
      </c>
      <c r="K536">
        <v>445</v>
      </c>
      <c r="L536">
        <v>2.2000000000000002</v>
      </c>
      <c r="M536">
        <v>3.5</v>
      </c>
      <c r="N536">
        <v>0.3</v>
      </c>
      <c r="O536">
        <v>3.17</v>
      </c>
      <c r="P536">
        <v>1700</v>
      </c>
      <c r="Q536">
        <v>3200</v>
      </c>
      <c r="R536">
        <v>2100</v>
      </c>
      <c r="S536">
        <v>3900</v>
      </c>
      <c r="T536">
        <v>17</v>
      </c>
      <c r="U536">
        <v>32</v>
      </c>
      <c r="V536">
        <f>River_data[[#This Row],[Dissolved Oxygen Min]]*River_data[[#This Row],[Dissolved Oxygen Max]]/2</f>
        <v>34.58</v>
      </c>
      <c r="W536">
        <f>River_data[[#This Row],[BOD Min]]*River_data[[#This Row],[BOD Max]]/2</f>
        <v>3.8500000000000005</v>
      </c>
      <c r="X536">
        <f>AVERAGE(River_data[[#This Row],[pH Max]]-River_data[[#This Row],[pH Min]])</f>
        <v>0.69999999999999929</v>
      </c>
    </row>
    <row r="537" spans="1:24" x14ac:dyDescent="0.3">
      <c r="A537">
        <v>2514</v>
      </c>
      <c r="B537" s="1" t="s">
        <v>548</v>
      </c>
      <c r="C537" s="1" t="s">
        <v>247</v>
      </c>
      <c r="D537">
        <v>18</v>
      </c>
      <c r="E537">
        <v>37</v>
      </c>
      <c r="F537">
        <v>1.1000000000000001</v>
      </c>
      <c r="G537">
        <v>8.9</v>
      </c>
      <c r="H537">
        <v>7</v>
      </c>
      <c r="I537">
        <v>8.8000000000000007</v>
      </c>
      <c r="J537">
        <v>263</v>
      </c>
      <c r="K537">
        <v>624</v>
      </c>
      <c r="L537">
        <v>1.7</v>
      </c>
      <c r="M537">
        <v>4.0999999999999996</v>
      </c>
      <c r="N537">
        <v>0.3</v>
      </c>
      <c r="O537">
        <v>0.49</v>
      </c>
      <c r="P537">
        <v>700</v>
      </c>
      <c r="Q537">
        <v>24000</v>
      </c>
      <c r="R537">
        <v>1700</v>
      </c>
      <c r="S537">
        <v>35000</v>
      </c>
      <c r="T537">
        <v>49</v>
      </c>
      <c r="U537">
        <v>1100</v>
      </c>
      <c r="V537">
        <f>River_data[[#This Row],[Dissolved Oxygen Min]]*River_data[[#This Row],[Dissolved Oxygen Max]]/2</f>
        <v>4.8950000000000005</v>
      </c>
      <c r="W537">
        <f>River_data[[#This Row],[BOD Min]]*River_data[[#This Row],[BOD Max]]/2</f>
        <v>3.4849999999999994</v>
      </c>
      <c r="X537">
        <f>AVERAGE(River_data[[#This Row],[pH Max]]-River_data[[#This Row],[pH Min]])</f>
        <v>1.8000000000000007</v>
      </c>
    </row>
    <row r="538" spans="1:24" x14ac:dyDescent="0.3">
      <c r="A538">
        <v>1337</v>
      </c>
      <c r="B538" s="1" t="s">
        <v>549</v>
      </c>
      <c r="C538" s="1" t="s">
        <v>247</v>
      </c>
      <c r="D538">
        <v>22</v>
      </c>
      <c r="E538">
        <v>34</v>
      </c>
      <c r="F538">
        <v>5.0999999999999996</v>
      </c>
      <c r="G538">
        <v>7</v>
      </c>
      <c r="H538">
        <v>7.5</v>
      </c>
      <c r="I538">
        <v>8.9</v>
      </c>
      <c r="J538">
        <v>416</v>
      </c>
      <c r="K538">
        <v>3945</v>
      </c>
      <c r="L538">
        <v>1</v>
      </c>
      <c r="M538">
        <v>2.9</v>
      </c>
      <c r="N538">
        <v>0.3</v>
      </c>
      <c r="O538">
        <v>0.97</v>
      </c>
      <c r="P538">
        <v>3200</v>
      </c>
      <c r="Q538">
        <v>4900</v>
      </c>
      <c r="R538">
        <v>6300</v>
      </c>
      <c r="S538">
        <v>9400</v>
      </c>
      <c r="T538">
        <v>92</v>
      </c>
      <c r="U538">
        <v>210</v>
      </c>
      <c r="V538">
        <f>River_data[[#This Row],[Dissolved Oxygen Min]]*River_data[[#This Row],[Dissolved Oxygen Max]]/2</f>
        <v>17.849999999999998</v>
      </c>
      <c r="W538">
        <f>River_data[[#This Row],[BOD Min]]*River_data[[#This Row],[BOD Max]]/2</f>
        <v>1.45</v>
      </c>
      <c r="X538">
        <f>AVERAGE(River_data[[#This Row],[pH Max]]-River_data[[#This Row],[pH Min]])</f>
        <v>1.4000000000000004</v>
      </c>
    </row>
    <row r="539" spans="1:24" x14ac:dyDescent="0.3">
      <c r="A539">
        <v>2509</v>
      </c>
      <c r="B539" s="1" t="s">
        <v>550</v>
      </c>
      <c r="C539" s="1" t="s">
        <v>247</v>
      </c>
      <c r="D539">
        <v>21</v>
      </c>
      <c r="E539">
        <v>35</v>
      </c>
      <c r="F539">
        <v>5</v>
      </c>
      <c r="G539">
        <v>9.6999999999999993</v>
      </c>
      <c r="H539">
        <v>7.9</v>
      </c>
      <c r="I539">
        <v>8.6999999999999993</v>
      </c>
      <c r="J539">
        <v>232</v>
      </c>
      <c r="K539">
        <v>1884</v>
      </c>
      <c r="L539">
        <v>1</v>
      </c>
      <c r="M539">
        <v>2.9</v>
      </c>
      <c r="N539">
        <v>0.3</v>
      </c>
      <c r="O539">
        <v>0.98</v>
      </c>
      <c r="P539">
        <v>3300</v>
      </c>
      <c r="Q539">
        <v>4900</v>
      </c>
      <c r="R539">
        <v>7000</v>
      </c>
      <c r="S539">
        <v>11000</v>
      </c>
      <c r="T539">
        <v>93</v>
      </c>
      <c r="U539">
        <v>200</v>
      </c>
      <c r="V539">
        <f>River_data[[#This Row],[Dissolved Oxygen Min]]*River_data[[#This Row],[Dissolved Oxygen Max]]/2</f>
        <v>24.25</v>
      </c>
      <c r="W539">
        <f>River_data[[#This Row],[BOD Min]]*River_data[[#This Row],[BOD Max]]/2</f>
        <v>1.45</v>
      </c>
      <c r="X539">
        <f>AVERAGE(River_data[[#This Row],[pH Max]]-River_data[[#This Row],[pH Min]])</f>
        <v>0.79999999999999893</v>
      </c>
    </row>
    <row r="540" spans="1:24" x14ac:dyDescent="0.3">
      <c r="A540">
        <v>2531</v>
      </c>
      <c r="B540" s="1" t="s">
        <v>551</v>
      </c>
      <c r="C540" s="1" t="s">
        <v>247</v>
      </c>
      <c r="D540">
        <v>21</v>
      </c>
      <c r="E540">
        <v>32</v>
      </c>
      <c r="F540">
        <v>7.2</v>
      </c>
      <c r="G540">
        <v>10.4</v>
      </c>
      <c r="H540">
        <v>6.7</v>
      </c>
      <c r="I540">
        <v>8.5</v>
      </c>
      <c r="J540">
        <v>124</v>
      </c>
      <c r="K540">
        <v>736</v>
      </c>
      <c r="L540">
        <v>2.1</v>
      </c>
      <c r="M540">
        <v>8.9</v>
      </c>
      <c r="N540">
        <v>0.3</v>
      </c>
      <c r="O540">
        <v>1.89</v>
      </c>
      <c r="P540">
        <v>1700</v>
      </c>
      <c r="Q540">
        <v>3400</v>
      </c>
      <c r="R540">
        <v>3200</v>
      </c>
      <c r="S540">
        <v>4900</v>
      </c>
      <c r="T540">
        <v>17</v>
      </c>
      <c r="U540">
        <v>33</v>
      </c>
      <c r="V540">
        <f>River_data[[#This Row],[Dissolved Oxygen Min]]*River_data[[#This Row],[Dissolved Oxygen Max]]/2</f>
        <v>37.440000000000005</v>
      </c>
      <c r="W540">
        <f>River_data[[#This Row],[BOD Min]]*River_data[[#This Row],[BOD Max]]/2</f>
        <v>9.3450000000000006</v>
      </c>
      <c r="X540">
        <f>AVERAGE(River_data[[#This Row],[pH Max]]-River_data[[#This Row],[pH Min]])</f>
        <v>1.7999999999999998</v>
      </c>
    </row>
    <row r="541" spans="1:24" x14ac:dyDescent="0.3">
      <c r="A541">
        <v>2532</v>
      </c>
      <c r="B541" s="1" t="s">
        <v>552</v>
      </c>
      <c r="C541" s="1" t="s">
        <v>247</v>
      </c>
      <c r="D541">
        <v>21</v>
      </c>
      <c r="E541">
        <v>32</v>
      </c>
      <c r="F541">
        <v>6.9</v>
      </c>
      <c r="G541">
        <v>10.6</v>
      </c>
      <c r="H541">
        <v>6.9</v>
      </c>
      <c r="I541">
        <v>8.1999999999999993</v>
      </c>
      <c r="J541">
        <v>128</v>
      </c>
      <c r="K541">
        <v>972</v>
      </c>
      <c r="L541">
        <v>2.6</v>
      </c>
      <c r="M541">
        <v>9.8000000000000007</v>
      </c>
      <c r="N541">
        <v>0.3</v>
      </c>
      <c r="O541">
        <v>3.5</v>
      </c>
      <c r="P541">
        <v>1700</v>
      </c>
      <c r="Q541">
        <v>3900</v>
      </c>
      <c r="R541">
        <v>2600</v>
      </c>
      <c r="S541">
        <v>9400</v>
      </c>
      <c r="T541">
        <v>17</v>
      </c>
      <c r="U541">
        <v>27</v>
      </c>
      <c r="V541">
        <f>River_data[[#This Row],[Dissolved Oxygen Min]]*River_data[[#This Row],[Dissolved Oxygen Max]]/2</f>
        <v>36.57</v>
      </c>
      <c r="W541">
        <f>River_data[[#This Row],[BOD Min]]*River_data[[#This Row],[BOD Max]]/2</f>
        <v>12.740000000000002</v>
      </c>
      <c r="X541">
        <f>AVERAGE(River_data[[#This Row],[pH Max]]-River_data[[#This Row],[pH Min]])</f>
        <v>1.2999999999999989</v>
      </c>
    </row>
    <row r="542" spans="1:24" x14ac:dyDescent="0.3">
      <c r="A542">
        <v>2549</v>
      </c>
      <c r="B542" s="1" t="s">
        <v>553</v>
      </c>
      <c r="C542" s="1" t="s">
        <v>247</v>
      </c>
      <c r="D542">
        <v>19</v>
      </c>
      <c r="E542">
        <v>35</v>
      </c>
      <c r="F542">
        <v>0.3</v>
      </c>
      <c r="G542">
        <v>1.5</v>
      </c>
      <c r="H542">
        <v>7.1</v>
      </c>
      <c r="I542">
        <v>7.7</v>
      </c>
      <c r="J542">
        <v>601</v>
      </c>
      <c r="K542">
        <v>2379</v>
      </c>
      <c r="L542">
        <v>8.5</v>
      </c>
      <c r="M542">
        <v>13</v>
      </c>
      <c r="N542">
        <v>0.73</v>
      </c>
      <c r="O542">
        <v>3.97</v>
      </c>
      <c r="P542">
        <v>32000</v>
      </c>
      <c r="Q542">
        <v>79000</v>
      </c>
      <c r="R542">
        <v>70000</v>
      </c>
      <c r="S542">
        <v>140000</v>
      </c>
      <c r="T542">
        <v>240</v>
      </c>
      <c r="U542">
        <v>460</v>
      </c>
      <c r="V542">
        <f>River_data[[#This Row],[Dissolved Oxygen Min]]*River_data[[#This Row],[Dissolved Oxygen Max]]/2</f>
        <v>0.22499999999999998</v>
      </c>
      <c r="W542">
        <f>River_data[[#This Row],[BOD Min]]*River_data[[#This Row],[BOD Max]]/2</f>
        <v>55.25</v>
      </c>
      <c r="X542">
        <f>AVERAGE(River_data[[#This Row],[pH Max]]-River_data[[#This Row],[pH Min]])</f>
        <v>0.60000000000000053</v>
      </c>
    </row>
    <row r="543" spans="1:24" x14ac:dyDescent="0.3">
      <c r="A543">
        <v>2550</v>
      </c>
      <c r="B543" s="1" t="s">
        <v>554</v>
      </c>
      <c r="C543" s="1" t="s">
        <v>247</v>
      </c>
      <c r="D543">
        <v>21</v>
      </c>
      <c r="E543">
        <v>36</v>
      </c>
      <c r="F543">
        <v>0.6</v>
      </c>
      <c r="G543">
        <v>2.1</v>
      </c>
      <c r="H543">
        <v>7.1</v>
      </c>
      <c r="I543">
        <v>7.5</v>
      </c>
      <c r="J543">
        <v>1293</v>
      </c>
      <c r="K543">
        <v>20380</v>
      </c>
      <c r="L543">
        <v>6</v>
      </c>
      <c r="M543">
        <v>10.4</v>
      </c>
      <c r="N543">
        <v>0.62</v>
      </c>
      <c r="O543">
        <v>4.09</v>
      </c>
      <c r="P543">
        <v>23000</v>
      </c>
      <c r="Q543">
        <v>49000</v>
      </c>
      <c r="R543">
        <v>63000</v>
      </c>
      <c r="S543">
        <v>79000</v>
      </c>
      <c r="T543">
        <v>170</v>
      </c>
      <c r="U543">
        <v>460</v>
      </c>
      <c r="V543">
        <f>River_data[[#This Row],[Dissolved Oxygen Min]]*River_data[[#This Row],[Dissolved Oxygen Max]]/2</f>
        <v>0.63</v>
      </c>
      <c r="W543">
        <f>River_data[[#This Row],[BOD Min]]*River_data[[#This Row],[BOD Max]]/2</f>
        <v>31.200000000000003</v>
      </c>
      <c r="X543">
        <f>AVERAGE(River_data[[#This Row],[pH Max]]-River_data[[#This Row],[pH Min]])</f>
        <v>0.40000000000000036</v>
      </c>
    </row>
    <row r="544" spans="1:24" x14ac:dyDescent="0.3">
      <c r="A544">
        <v>2507</v>
      </c>
      <c r="B544" s="1" t="s">
        <v>555</v>
      </c>
      <c r="C544" s="1" t="s">
        <v>247</v>
      </c>
      <c r="D544">
        <v>20</v>
      </c>
      <c r="E544">
        <v>36</v>
      </c>
      <c r="F544">
        <v>5.0999999999999996</v>
      </c>
      <c r="G544">
        <v>8.4</v>
      </c>
      <c r="H544">
        <v>7.2</v>
      </c>
      <c r="I544">
        <v>8.8000000000000007</v>
      </c>
      <c r="J544">
        <v>193</v>
      </c>
      <c r="K544">
        <v>636</v>
      </c>
      <c r="L544">
        <v>1.2</v>
      </c>
      <c r="M544">
        <v>2.9</v>
      </c>
      <c r="N544">
        <v>0.3</v>
      </c>
      <c r="O544">
        <v>0.54</v>
      </c>
      <c r="P544">
        <v>2200</v>
      </c>
      <c r="Q544">
        <v>4600</v>
      </c>
      <c r="R544">
        <v>4600</v>
      </c>
      <c r="S544">
        <v>7900</v>
      </c>
      <c r="T544">
        <v>68</v>
      </c>
      <c r="U544">
        <v>170</v>
      </c>
      <c r="V544">
        <f>River_data[[#This Row],[Dissolved Oxygen Min]]*River_data[[#This Row],[Dissolved Oxygen Max]]/2</f>
        <v>21.419999999999998</v>
      </c>
      <c r="W544">
        <f>River_data[[#This Row],[BOD Min]]*River_data[[#This Row],[BOD Max]]/2</f>
        <v>1.74</v>
      </c>
      <c r="X544">
        <f>AVERAGE(River_data[[#This Row],[pH Max]]-River_data[[#This Row],[pH Min]])</f>
        <v>1.6000000000000005</v>
      </c>
    </row>
    <row r="545" spans="1:24" x14ac:dyDescent="0.3">
      <c r="A545">
        <v>2525</v>
      </c>
      <c r="B545" s="1" t="s">
        <v>556</v>
      </c>
      <c r="C545" s="1" t="s">
        <v>247</v>
      </c>
      <c r="D545">
        <v>18</v>
      </c>
      <c r="E545">
        <v>30</v>
      </c>
      <c r="F545">
        <v>2.2000000000000002</v>
      </c>
      <c r="G545">
        <v>5.7</v>
      </c>
      <c r="H545">
        <v>6.1</v>
      </c>
      <c r="I545">
        <v>7.6</v>
      </c>
      <c r="J545">
        <v>117</v>
      </c>
      <c r="K545">
        <v>240</v>
      </c>
      <c r="L545">
        <v>7</v>
      </c>
      <c r="M545">
        <v>23.5</v>
      </c>
      <c r="N545">
        <v>0.3</v>
      </c>
      <c r="O545">
        <v>1.54</v>
      </c>
      <c r="P545">
        <v>110000</v>
      </c>
      <c r="Q545">
        <v>1400000</v>
      </c>
      <c r="R545">
        <v>220000</v>
      </c>
      <c r="S545">
        <v>5000000</v>
      </c>
      <c r="T545">
        <v>1100</v>
      </c>
      <c r="U545">
        <v>35000</v>
      </c>
      <c r="V545">
        <f>River_data[[#This Row],[Dissolved Oxygen Min]]*River_data[[#This Row],[Dissolved Oxygen Max]]/2</f>
        <v>6.2700000000000005</v>
      </c>
      <c r="W545">
        <f>River_data[[#This Row],[BOD Min]]*River_data[[#This Row],[BOD Max]]/2</f>
        <v>82.25</v>
      </c>
      <c r="X545">
        <f>AVERAGE(River_data[[#This Row],[pH Max]]-River_data[[#This Row],[pH Min]])</f>
        <v>1.5</v>
      </c>
    </row>
    <row r="546" spans="1:24" x14ac:dyDescent="0.3">
      <c r="A546">
        <v>1946</v>
      </c>
      <c r="B546" s="1" t="s">
        <v>557</v>
      </c>
      <c r="C546" s="1" t="s">
        <v>247</v>
      </c>
      <c r="D546">
        <v>17</v>
      </c>
      <c r="E546">
        <v>29</v>
      </c>
      <c r="F546">
        <v>5.9</v>
      </c>
      <c r="G546">
        <v>7.9</v>
      </c>
      <c r="H546">
        <v>6.7</v>
      </c>
      <c r="I546">
        <v>7.6</v>
      </c>
      <c r="J546">
        <v>65</v>
      </c>
      <c r="K546">
        <v>202</v>
      </c>
      <c r="L546">
        <v>1.6</v>
      </c>
      <c r="M546">
        <v>3.2</v>
      </c>
      <c r="N546">
        <v>0.3</v>
      </c>
      <c r="O546">
        <v>0.68</v>
      </c>
      <c r="P546">
        <v>14000</v>
      </c>
      <c r="Q546">
        <v>300000</v>
      </c>
      <c r="R546">
        <v>90000</v>
      </c>
      <c r="S546">
        <v>900000</v>
      </c>
      <c r="T546">
        <v>14</v>
      </c>
      <c r="U546">
        <v>930</v>
      </c>
      <c r="V546">
        <f>River_data[[#This Row],[Dissolved Oxygen Min]]*River_data[[#This Row],[Dissolved Oxygen Max]]/2</f>
        <v>23.305000000000003</v>
      </c>
      <c r="W546">
        <f>River_data[[#This Row],[BOD Min]]*River_data[[#This Row],[BOD Max]]/2</f>
        <v>2.5600000000000005</v>
      </c>
      <c r="X546">
        <f>AVERAGE(River_data[[#This Row],[pH Max]]-River_data[[#This Row],[pH Min]])</f>
        <v>0.89999999999999947</v>
      </c>
    </row>
    <row r="547" spans="1:24" x14ac:dyDescent="0.3">
      <c r="A547">
        <v>4727</v>
      </c>
      <c r="B547" s="1" t="s">
        <v>558</v>
      </c>
      <c r="C547" s="1" t="s">
        <v>247</v>
      </c>
      <c r="D547">
        <v>20</v>
      </c>
      <c r="E547">
        <v>30</v>
      </c>
      <c r="F547">
        <v>5.3</v>
      </c>
      <c r="G547">
        <v>8</v>
      </c>
      <c r="H547">
        <v>6.8</v>
      </c>
      <c r="I547">
        <v>7.9</v>
      </c>
      <c r="J547">
        <v>55</v>
      </c>
      <c r="K547">
        <v>115</v>
      </c>
      <c r="L547">
        <v>1</v>
      </c>
      <c r="M547">
        <v>2.2000000000000002</v>
      </c>
      <c r="N547">
        <v>0.3</v>
      </c>
      <c r="O547">
        <v>0.54</v>
      </c>
      <c r="P547">
        <v>1300</v>
      </c>
      <c r="Q547">
        <v>7000</v>
      </c>
      <c r="R547">
        <v>2100</v>
      </c>
      <c r="S547">
        <v>28000</v>
      </c>
      <c r="T547">
        <v>17</v>
      </c>
      <c r="U547">
        <v>350</v>
      </c>
      <c r="V547">
        <f>River_data[[#This Row],[Dissolved Oxygen Min]]*River_data[[#This Row],[Dissolved Oxygen Max]]/2</f>
        <v>21.2</v>
      </c>
      <c r="W547">
        <f>River_data[[#This Row],[BOD Min]]*River_data[[#This Row],[BOD Max]]/2</f>
        <v>1.1000000000000001</v>
      </c>
      <c r="X547">
        <f>AVERAGE(River_data[[#This Row],[pH Max]]-River_data[[#This Row],[pH Min]])</f>
        <v>1.1000000000000005</v>
      </c>
    </row>
    <row r="548" spans="1:24" x14ac:dyDescent="0.3">
      <c r="A548">
        <v>4722</v>
      </c>
      <c r="B548" s="1" t="s">
        <v>559</v>
      </c>
      <c r="C548" s="1" t="s">
        <v>247</v>
      </c>
      <c r="D548">
        <v>12</v>
      </c>
      <c r="E548">
        <v>30</v>
      </c>
      <c r="F548">
        <v>5.3</v>
      </c>
      <c r="G548">
        <v>8.6</v>
      </c>
      <c r="H548">
        <v>6.1</v>
      </c>
      <c r="I548">
        <v>7.9</v>
      </c>
      <c r="J548">
        <v>42</v>
      </c>
      <c r="K548">
        <v>103</v>
      </c>
      <c r="L548">
        <v>1</v>
      </c>
      <c r="M548">
        <v>2.5</v>
      </c>
      <c r="N548">
        <v>0.3</v>
      </c>
      <c r="O548">
        <v>0.63</v>
      </c>
      <c r="P548">
        <v>2200</v>
      </c>
      <c r="Q548">
        <v>50000</v>
      </c>
      <c r="R548">
        <v>11000</v>
      </c>
      <c r="S548">
        <v>160000</v>
      </c>
      <c r="T548">
        <v>14</v>
      </c>
      <c r="U548">
        <v>110</v>
      </c>
      <c r="V548">
        <f>River_data[[#This Row],[Dissolved Oxygen Min]]*River_data[[#This Row],[Dissolved Oxygen Max]]/2</f>
        <v>22.79</v>
      </c>
      <c r="W548">
        <f>River_data[[#This Row],[BOD Min]]*River_data[[#This Row],[BOD Max]]/2</f>
        <v>1.25</v>
      </c>
      <c r="X548">
        <f>AVERAGE(River_data[[#This Row],[pH Max]]-River_data[[#This Row],[pH Min]])</f>
        <v>1.8000000000000007</v>
      </c>
    </row>
    <row r="549" spans="1:24" x14ac:dyDescent="0.3">
      <c r="A549">
        <v>2508</v>
      </c>
      <c r="B549" s="1" t="s">
        <v>560</v>
      </c>
      <c r="C549" s="1" t="s">
        <v>247</v>
      </c>
      <c r="D549">
        <v>20</v>
      </c>
      <c r="E549">
        <v>35</v>
      </c>
      <c r="F549">
        <v>5.0999999999999996</v>
      </c>
      <c r="G549">
        <v>8</v>
      </c>
      <c r="H549">
        <v>7.5</v>
      </c>
      <c r="I549">
        <v>8.6999999999999993</v>
      </c>
      <c r="J549">
        <v>194</v>
      </c>
      <c r="K549">
        <v>424</v>
      </c>
      <c r="L549">
        <v>1.3</v>
      </c>
      <c r="M549">
        <v>2.8</v>
      </c>
      <c r="N549">
        <v>0.3</v>
      </c>
      <c r="O549">
        <v>1.6</v>
      </c>
      <c r="P549">
        <v>3200</v>
      </c>
      <c r="Q549">
        <v>4900</v>
      </c>
      <c r="R549">
        <v>6300</v>
      </c>
      <c r="S549">
        <v>9400</v>
      </c>
      <c r="T549">
        <v>92</v>
      </c>
      <c r="U549">
        <v>200</v>
      </c>
      <c r="V549">
        <f>River_data[[#This Row],[Dissolved Oxygen Min]]*River_data[[#This Row],[Dissolved Oxygen Max]]/2</f>
        <v>20.399999999999999</v>
      </c>
      <c r="W549">
        <f>River_data[[#This Row],[BOD Min]]*River_data[[#This Row],[BOD Max]]/2</f>
        <v>1.8199999999999998</v>
      </c>
      <c r="X549">
        <f>AVERAGE(River_data[[#This Row],[pH Max]]-River_data[[#This Row],[pH Min]])</f>
        <v>1.1999999999999993</v>
      </c>
    </row>
    <row r="550" spans="1:24" x14ac:dyDescent="0.3">
      <c r="A550">
        <v>2534</v>
      </c>
      <c r="B550" s="1" t="s">
        <v>561</v>
      </c>
      <c r="C550" s="1" t="s">
        <v>247</v>
      </c>
      <c r="D550">
        <v>20</v>
      </c>
      <c r="E550">
        <v>35</v>
      </c>
      <c r="F550">
        <v>7.5</v>
      </c>
      <c r="G550">
        <v>9.1</v>
      </c>
      <c r="H550">
        <v>7</v>
      </c>
      <c r="I550">
        <v>8.1999999999999993</v>
      </c>
      <c r="J550">
        <v>97</v>
      </c>
      <c r="K550">
        <v>251</v>
      </c>
      <c r="L550">
        <v>1.5</v>
      </c>
      <c r="M550">
        <v>2</v>
      </c>
      <c r="N550">
        <v>0.3</v>
      </c>
      <c r="O550">
        <v>2.2999999999999998</v>
      </c>
      <c r="P550">
        <v>1400</v>
      </c>
      <c r="Q550">
        <v>2200</v>
      </c>
      <c r="R550">
        <v>2100</v>
      </c>
      <c r="S550">
        <v>3300</v>
      </c>
      <c r="T550">
        <v>14</v>
      </c>
      <c r="U550">
        <v>26</v>
      </c>
      <c r="V550">
        <f>River_data[[#This Row],[Dissolved Oxygen Min]]*River_data[[#This Row],[Dissolved Oxygen Max]]/2</f>
        <v>34.125</v>
      </c>
      <c r="W550">
        <f>River_data[[#This Row],[BOD Min]]*River_data[[#This Row],[BOD Max]]/2</f>
        <v>1.5</v>
      </c>
      <c r="X550">
        <f>AVERAGE(River_data[[#This Row],[pH Max]]-River_data[[#This Row],[pH Min]])</f>
        <v>1.1999999999999993</v>
      </c>
    </row>
    <row r="551" spans="1:24" x14ac:dyDescent="0.3">
      <c r="A551">
        <v>4710</v>
      </c>
      <c r="B551" s="1" t="s">
        <v>562</v>
      </c>
      <c r="C551" s="1" t="s">
        <v>247</v>
      </c>
      <c r="D551">
        <v>20</v>
      </c>
      <c r="E551">
        <v>34</v>
      </c>
      <c r="F551">
        <v>5</v>
      </c>
      <c r="G551">
        <v>7</v>
      </c>
      <c r="H551">
        <v>8</v>
      </c>
      <c r="I551">
        <v>8.6</v>
      </c>
      <c r="J551">
        <v>504</v>
      </c>
      <c r="K551">
        <v>16200</v>
      </c>
      <c r="L551">
        <v>1.1000000000000001</v>
      </c>
      <c r="M551">
        <v>2.8</v>
      </c>
      <c r="N551">
        <v>0.3</v>
      </c>
      <c r="O551">
        <v>0.63</v>
      </c>
      <c r="P551">
        <v>4000</v>
      </c>
      <c r="Q551">
        <v>4900</v>
      </c>
      <c r="R551">
        <v>7000</v>
      </c>
      <c r="S551">
        <v>11000</v>
      </c>
      <c r="T551">
        <v>92</v>
      </c>
      <c r="U551">
        <v>240</v>
      </c>
      <c r="V551">
        <f>River_data[[#This Row],[Dissolved Oxygen Min]]*River_data[[#This Row],[Dissolved Oxygen Max]]/2</f>
        <v>17.5</v>
      </c>
      <c r="W551">
        <f>River_data[[#This Row],[BOD Min]]*River_data[[#This Row],[BOD Max]]/2</f>
        <v>1.54</v>
      </c>
      <c r="X551">
        <f>AVERAGE(River_data[[#This Row],[pH Max]]-River_data[[#This Row],[pH Min]])</f>
        <v>0.59999999999999964</v>
      </c>
    </row>
    <row r="552" spans="1:24" x14ac:dyDescent="0.3">
      <c r="A552">
        <v>4711</v>
      </c>
      <c r="B552" s="1" t="s">
        <v>563</v>
      </c>
      <c r="C552" s="1" t="s">
        <v>247</v>
      </c>
      <c r="D552">
        <v>21</v>
      </c>
      <c r="E552">
        <v>35</v>
      </c>
      <c r="F552">
        <v>5.4</v>
      </c>
      <c r="G552">
        <v>6.6</v>
      </c>
      <c r="H552">
        <v>7.7</v>
      </c>
      <c r="I552">
        <v>8.6</v>
      </c>
      <c r="J552">
        <v>6245</v>
      </c>
      <c r="K552">
        <v>27870</v>
      </c>
      <c r="L552">
        <v>1</v>
      </c>
      <c r="M552">
        <v>2.9</v>
      </c>
      <c r="N552">
        <v>0.3</v>
      </c>
      <c r="O552">
        <v>1.02</v>
      </c>
      <c r="P552">
        <v>2100</v>
      </c>
      <c r="Q552">
        <v>4900</v>
      </c>
      <c r="R552">
        <v>4900</v>
      </c>
      <c r="S552">
        <v>8400</v>
      </c>
      <c r="T552">
        <v>92</v>
      </c>
      <c r="U552">
        <v>170</v>
      </c>
      <c r="V552">
        <f>River_data[[#This Row],[Dissolved Oxygen Min]]*River_data[[#This Row],[Dissolved Oxygen Max]]/2</f>
        <v>17.82</v>
      </c>
      <c r="W552">
        <f>River_data[[#This Row],[BOD Min]]*River_data[[#This Row],[BOD Max]]/2</f>
        <v>1.45</v>
      </c>
      <c r="X552">
        <f>AVERAGE(River_data[[#This Row],[pH Max]]-River_data[[#This Row],[pH Min]])</f>
        <v>0.89999999999999947</v>
      </c>
    </row>
    <row r="553" spans="1:24" x14ac:dyDescent="0.3">
      <c r="A553">
        <v>4717</v>
      </c>
      <c r="B553" s="1" t="s">
        <v>564</v>
      </c>
      <c r="C553" s="1" t="s">
        <v>247</v>
      </c>
      <c r="D553">
        <v>13</v>
      </c>
      <c r="E553">
        <v>28</v>
      </c>
      <c r="F553">
        <v>5.8</v>
      </c>
      <c r="G553">
        <v>8.5</v>
      </c>
      <c r="H553">
        <v>7</v>
      </c>
      <c r="I553">
        <v>7.9</v>
      </c>
      <c r="J553">
        <v>90</v>
      </c>
      <c r="K553">
        <v>170</v>
      </c>
      <c r="L553">
        <v>1</v>
      </c>
      <c r="M553">
        <v>3.1</v>
      </c>
      <c r="N553">
        <v>0.3</v>
      </c>
      <c r="O553">
        <v>0.56000000000000005</v>
      </c>
      <c r="P553">
        <v>2200</v>
      </c>
      <c r="Q553">
        <v>28000</v>
      </c>
      <c r="R553">
        <v>8000</v>
      </c>
      <c r="S553">
        <v>35000</v>
      </c>
      <c r="T553">
        <v>13</v>
      </c>
      <c r="U553">
        <v>240</v>
      </c>
      <c r="V553">
        <f>River_data[[#This Row],[Dissolved Oxygen Min]]*River_data[[#This Row],[Dissolved Oxygen Max]]/2</f>
        <v>24.65</v>
      </c>
      <c r="W553">
        <f>River_data[[#This Row],[BOD Min]]*River_data[[#This Row],[BOD Max]]/2</f>
        <v>1.55</v>
      </c>
      <c r="X553">
        <f>AVERAGE(River_data[[#This Row],[pH Max]]-River_data[[#This Row],[pH Min]])</f>
        <v>0.90000000000000036</v>
      </c>
    </row>
    <row r="554" spans="1:24" x14ac:dyDescent="0.3">
      <c r="A554">
        <v>4718</v>
      </c>
      <c r="B554" s="1" t="s">
        <v>565</v>
      </c>
      <c r="C554" s="1" t="s">
        <v>247</v>
      </c>
      <c r="D554">
        <v>15</v>
      </c>
      <c r="E554">
        <v>27</v>
      </c>
      <c r="F554">
        <v>6.3</v>
      </c>
      <c r="G554">
        <v>8.9</v>
      </c>
      <c r="H554">
        <v>7.1</v>
      </c>
      <c r="I554">
        <v>7.8</v>
      </c>
      <c r="J554">
        <v>74</v>
      </c>
      <c r="K554">
        <v>190</v>
      </c>
      <c r="L554">
        <v>1</v>
      </c>
      <c r="M554">
        <v>2.1</v>
      </c>
      <c r="N554">
        <v>0.3</v>
      </c>
      <c r="O554">
        <v>0.59</v>
      </c>
      <c r="P554">
        <v>2200</v>
      </c>
      <c r="Q554">
        <v>22000</v>
      </c>
      <c r="R554">
        <v>5000</v>
      </c>
      <c r="S554">
        <v>90000</v>
      </c>
      <c r="T554">
        <v>17</v>
      </c>
      <c r="U554">
        <v>170</v>
      </c>
      <c r="V554">
        <f>River_data[[#This Row],[Dissolved Oxygen Min]]*River_data[[#This Row],[Dissolved Oxygen Max]]/2</f>
        <v>28.035</v>
      </c>
      <c r="W554">
        <f>River_data[[#This Row],[BOD Min]]*River_data[[#This Row],[BOD Max]]/2</f>
        <v>1.05</v>
      </c>
      <c r="X554">
        <f>AVERAGE(River_data[[#This Row],[pH Max]]-River_data[[#This Row],[pH Min]])</f>
        <v>0.70000000000000018</v>
      </c>
    </row>
    <row r="555" spans="1:24" x14ac:dyDescent="0.3">
      <c r="A555">
        <v>1422</v>
      </c>
      <c r="B555" s="1" t="s">
        <v>566</v>
      </c>
      <c r="C555" s="1" t="s">
        <v>567</v>
      </c>
      <c r="D555">
        <v>22</v>
      </c>
      <c r="E555">
        <v>23</v>
      </c>
      <c r="F555">
        <v>5.2</v>
      </c>
      <c r="G555">
        <v>8.1999999999999993</v>
      </c>
      <c r="H555">
        <v>7</v>
      </c>
      <c r="I555">
        <v>7.9</v>
      </c>
      <c r="J555">
        <v>106</v>
      </c>
      <c r="K555">
        <v>148</v>
      </c>
      <c r="L555">
        <v>2</v>
      </c>
      <c r="M555">
        <v>2.5</v>
      </c>
      <c r="N555">
        <v>0.6</v>
      </c>
      <c r="O555">
        <v>1.4</v>
      </c>
      <c r="P555">
        <v>360</v>
      </c>
      <c r="Q555">
        <v>730</v>
      </c>
      <c r="R555">
        <v>910</v>
      </c>
      <c r="S555">
        <v>1500</v>
      </c>
      <c r="T555">
        <v>120</v>
      </c>
      <c r="U555">
        <v>240</v>
      </c>
      <c r="V555">
        <f>River_data[[#This Row],[Dissolved Oxygen Min]]*River_data[[#This Row],[Dissolved Oxygen Max]]/2</f>
        <v>21.32</v>
      </c>
      <c r="W555">
        <f>River_data[[#This Row],[BOD Min]]*River_data[[#This Row],[BOD Max]]/2</f>
        <v>2.5</v>
      </c>
      <c r="X555">
        <f>AVERAGE(River_data[[#This Row],[pH Max]]-River_data[[#This Row],[pH Min]])</f>
        <v>0.90000000000000036</v>
      </c>
    </row>
    <row r="556" spans="1:24" x14ac:dyDescent="0.3">
      <c r="A556">
        <v>2062</v>
      </c>
      <c r="B556" s="1" t="s">
        <v>568</v>
      </c>
      <c r="C556" s="1" t="s">
        <v>567</v>
      </c>
      <c r="D556">
        <v>23</v>
      </c>
      <c r="E556">
        <v>24</v>
      </c>
      <c r="F556">
        <v>5.0999999999999996</v>
      </c>
      <c r="G556">
        <v>9</v>
      </c>
      <c r="H556">
        <v>6.7</v>
      </c>
      <c r="I556">
        <v>7.7</v>
      </c>
      <c r="J556">
        <v>128</v>
      </c>
      <c r="K556">
        <v>188</v>
      </c>
      <c r="L556">
        <v>2.1</v>
      </c>
      <c r="M556">
        <v>2.7</v>
      </c>
      <c r="N556">
        <v>0.6</v>
      </c>
      <c r="O556">
        <v>1.9</v>
      </c>
      <c r="P556">
        <v>720</v>
      </c>
      <c r="Q556">
        <v>1100</v>
      </c>
      <c r="R556">
        <v>1500</v>
      </c>
      <c r="S556">
        <v>2100</v>
      </c>
      <c r="T556">
        <v>210</v>
      </c>
      <c r="U556">
        <v>490</v>
      </c>
      <c r="V556">
        <f>River_data[[#This Row],[Dissolved Oxygen Min]]*River_data[[#This Row],[Dissolved Oxygen Max]]/2</f>
        <v>22.95</v>
      </c>
      <c r="W556">
        <f>River_data[[#This Row],[BOD Min]]*River_data[[#This Row],[BOD Max]]/2</f>
        <v>2.8350000000000004</v>
      </c>
      <c r="X556">
        <f>AVERAGE(River_data[[#This Row],[pH Max]]-River_data[[#This Row],[pH Min]])</f>
        <v>1</v>
      </c>
    </row>
    <row r="557" spans="1:24" x14ac:dyDescent="0.3">
      <c r="A557">
        <v>2230</v>
      </c>
      <c r="B557" s="1" t="s">
        <v>569</v>
      </c>
      <c r="C557" s="1" t="s">
        <v>567</v>
      </c>
      <c r="D557">
        <v>22</v>
      </c>
      <c r="E557">
        <v>27</v>
      </c>
      <c r="F557">
        <v>5</v>
      </c>
      <c r="G557">
        <v>8</v>
      </c>
      <c r="H557">
        <v>6.9</v>
      </c>
      <c r="I557">
        <v>7.7</v>
      </c>
      <c r="J557">
        <v>126</v>
      </c>
      <c r="K557">
        <v>178</v>
      </c>
      <c r="L557">
        <v>2</v>
      </c>
      <c r="M557">
        <v>2.6</v>
      </c>
      <c r="N557">
        <v>0.7</v>
      </c>
      <c r="O557">
        <v>1.4</v>
      </c>
      <c r="P557">
        <v>610</v>
      </c>
      <c r="Q557">
        <v>1100</v>
      </c>
      <c r="R557">
        <v>1600</v>
      </c>
      <c r="S557">
        <v>2800</v>
      </c>
      <c r="T557">
        <v>210</v>
      </c>
      <c r="U557">
        <v>290</v>
      </c>
      <c r="V557">
        <f>River_data[[#This Row],[Dissolved Oxygen Min]]*River_data[[#This Row],[Dissolved Oxygen Max]]/2</f>
        <v>20</v>
      </c>
      <c r="W557">
        <f>River_data[[#This Row],[BOD Min]]*River_data[[#This Row],[BOD Max]]/2</f>
        <v>2.6</v>
      </c>
      <c r="X557">
        <f>AVERAGE(River_data[[#This Row],[pH Max]]-River_data[[#This Row],[pH Min]])</f>
        <v>0.79999999999999982</v>
      </c>
    </row>
    <row r="558" spans="1:24" x14ac:dyDescent="0.3">
      <c r="A558">
        <v>1796</v>
      </c>
      <c r="B558" s="1" t="s">
        <v>570</v>
      </c>
      <c r="C558" s="1" t="s">
        <v>571</v>
      </c>
      <c r="D558">
        <v>20.8</v>
      </c>
      <c r="E558">
        <v>33.4</v>
      </c>
      <c r="F558">
        <v>6.1</v>
      </c>
      <c r="G558">
        <v>7.6</v>
      </c>
      <c r="H558">
        <v>6.6</v>
      </c>
      <c r="I558">
        <v>8.1</v>
      </c>
      <c r="J558">
        <v>66</v>
      </c>
      <c r="K558">
        <v>699</v>
      </c>
      <c r="L558">
        <v>1.6</v>
      </c>
      <c r="M558">
        <v>2.2999999999999998</v>
      </c>
      <c r="N558">
        <v>0.3</v>
      </c>
      <c r="O558">
        <v>1.7</v>
      </c>
      <c r="V558">
        <f>River_data[[#This Row],[Dissolved Oxygen Min]]*River_data[[#This Row],[Dissolved Oxygen Max]]/2</f>
        <v>23.179999999999996</v>
      </c>
      <c r="W558">
        <f>River_data[[#This Row],[BOD Min]]*River_data[[#This Row],[BOD Max]]/2</f>
        <v>1.8399999999999999</v>
      </c>
      <c r="X558">
        <f>AVERAGE(River_data[[#This Row],[pH Max]]-River_data[[#This Row],[pH Min]])</f>
        <v>1.5</v>
      </c>
    </row>
    <row r="559" spans="1:24" x14ac:dyDescent="0.3">
      <c r="A559">
        <v>1797</v>
      </c>
      <c r="B559" s="1" t="s">
        <v>572</v>
      </c>
      <c r="C559" s="1" t="s">
        <v>571</v>
      </c>
      <c r="D559">
        <v>20.3</v>
      </c>
      <c r="E559">
        <v>33.299999999999997</v>
      </c>
      <c r="F559">
        <v>5.8</v>
      </c>
      <c r="G559">
        <v>7.5</v>
      </c>
      <c r="H559">
        <v>6.7</v>
      </c>
      <c r="I559">
        <v>8.1</v>
      </c>
      <c r="J559">
        <v>74</v>
      </c>
      <c r="K559">
        <v>305</v>
      </c>
      <c r="L559">
        <v>1.4</v>
      </c>
      <c r="M559">
        <v>2.5</v>
      </c>
      <c r="N559">
        <v>0.4</v>
      </c>
      <c r="O559">
        <v>2</v>
      </c>
      <c r="V559">
        <f>River_data[[#This Row],[Dissolved Oxygen Min]]*River_data[[#This Row],[Dissolved Oxygen Max]]/2</f>
        <v>21.75</v>
      </c>
      <c r="W559">
        <f>River_data[[#This Row],[BOD Min]]*River_data[[#This Row],[BOD Max]]/2</f>
        <v>1.75</v>
      </c>
      <c r="X559">
        <f>AVERAGE(River_data[[#This Row],[pH Max]]-River_data[[#This Row],[pH Min]])</f>
        <v>1.3999999999999995</v>
      </c>
    </row>
    <row r="560" spans="1:24" x14ac:dyDescent="0.3">
      <c r="A560">
        <v>1800</v>
      </c>
      <c r="B560" s="1" t="s">
        <v>573</v>
      </c>
      <c r="C560" s="1" t="s">
        <v>571</v>
      </c>
      <c r="D560">
        <v>17.8</v>
      </c>
      <c r="E560">
        <v>30.7</v>
      </c>
      <c r="F560">
        <v>2.8</v>
      </c>
      <c r="G560">
        <v>5.6</v>
      </c>
      <c r="H560">
        <v>7</v>
      </c>
      <c r="I560">
        <v>8</v>
      </c>
      <c r="J560">
        <v>154</v>
      </c>
      <c r="K560">
        <v>502</v>
      </c>
      <c r="L560">
        <v>2.5</v>
      </c>
      <c r="M560">
        <v>4.8</v>
      </c>
      <c r="N560">
        <v>0.3</v>
      </c>
      <c r="O560">
        <v>4.5</v>
      </c>
      <c r="V560">
        <f>River_data[[#This Row],[Dissolved Oxygen Min]]*River_data[[#This Row],[Dissolved Oxygen Max]]/2</f>
        <v>7.839999999999999</v>
      </c>
      <c r="W560">
        <f>River_data[[#This Row],[BOD Min]]*River_data[[#This Row],[BOD Max]]/2</f>
        <v>6</v>
      </c>
      <c r="X560">
        <f>AVERAGE(River_data[[#This Row],[pH Max]]-River_data[[#This Row],[pH Min]])</f>
        <v>1</v>
      </c>
    </row>
    <row r="561" spans="1:24" x14ac:dyDescent="0.3">
      <c r="A561">
        <v>1798</v>
      </c>
      <c r="B561" s="1" t="s">
        <v>574</v>
      </c>
      <c r="C561" s="1" t="s">
        <v>571</v>
      </c>
      <c r="D561">
        <v>21.4</v>
      </c>
      <c r="E561">
        <v>34.299999999999997</v>
      </c>
      <c r="F561">
        <v>5.6</v>
      </c>
      <c r="G561">
        <v>8.5</v>
      </c>
      <c r="H561">
        <v>6.8</v>
      </c>
      <c r="I561">
        <v>8.1</v>
      </c>
      <c r="J561">
        <v>85</v>
      </c>
      <c r="K561">
        <v>279</v>
      </c>
      <c r="L561">
        <v>1.5</v>
      </c>
      <c r="M561">
        <v>2.4</v>
      </c>
      <c r="N561">
        <v>0.4</v>
      </c>
      <c r="O561">
        <v>1.4</v>
      </c>
      <c r="V561">
        <f>River_data[[#This Row],[Dissolved Oxygen Min]]*River_data[[#This Row],[Dissolved Oxygen Max]]/2</f>
        <v>23.799999999999997</v>
      </c>
      <c r="W561">
        <f>River_data[[#This Row],[BOD Min]]*River_data[[#This Row],[BOD Max]]/2</f>
        <v>1.7999999999999998</v>
      </c>
      <c r="X561">
        <f>AVERAGE(River_data[[#This Row],[pH Max]]-River_data[[#This Row],[pH Min]])</f>
        <v>1.2999999999999998</v>
      </c>
    </row>
    <row r="562" spans="1:24" x14ac:dyDescent="0.3">
      <c r="A562">
        <v>1799</v>
      </c>
      <c r="B562" s="1" t="s">
        <v>575</v>
      </c>
      <c r="C562" s="1" t="s">
        <v>571</v>
      </c>
      <c r="D562">
        <v>16</v>
      </c>
      <c r="E562">
        <v>31.9</v>
      </c>
      <c r="F562">
        <v>5.0999999999999996</v>
      </c>
      <c r="G562">
        <v>6.3</v>
      </c>
      <c r="H562">
        <v>6.7</v>
      </c>
      <c r="I562">
        <v>8.1999999999999993</v>
      </c>
      <c r="J562">
        <v>76</v>
      </c>
      <c r="K562">
        <v>260</v>
      </c>
      <c r="L562">
        <v>1.7</v>
      </c>
      <c r="M562">
        <v>2.8</v>
      </c>
      <c r="N562">
        <v>0.5</v>
      </c>
      <c r="O562">
        <v>2.5</v>
      </c>
      <c r="V562">
        <f>River_data[[#This Row],[Dissolved Oxygen Min]]*River_data[[#This Row],[Dissolved Oxygen Max]]/2</f>
        <v>16.064999999999998</v>
      </c>
      <c r="W562">
        <f>River_data[[#This Row],[BOD Min]]*River_data[[#This Row],[BOD Max]]/2</f>
        <v>2.38</v>
      </c>
      <c r="X562">
        <f>AVERAGE(River_data[[#This Row],[pH Max]]-River_data[[#This Row],[pH Min]])</f>
        <v>1.4999999999999991</v>
      </c>
    </row>
    <row r="563" spans="1:24" x14ac:dyDescent="0.3">
      <c r="A563">
        <v>1928</v>
      </c>
      <c r="B563" s="1" t="s">
        <v>576</v>
      </c>
      <c r="C563" s="1" t="s">
        <v>571</v>
      </c>
      <c r="D563">
        <v>18.600000000000001</v>
      </c>
      <c r="E563">
        <v>33.299999999999997</v>
      </c>
      <c r="F563">
        <v>5.9</v>
      </c>
      <c r="G563">
        <v>6.8</v>
      </c>
      <c r="H563">
        <v>7.2</v>
      </c>
      <c r="I563">
        <v>7.7</v>
      </c>
      <c r="J563">
        <v>76</v>
      </c>
      <c r="K563">
        <v>900</v>
      </c>
      <c r="L563">
        <v>1.2</v>
      </c>
      <c r="M563">
        <v>2.4</v>
      </c>
      <c r="N563">
        <v>0.3</v>
      </c>
      <c r="O563">
        <v>2.4</v>
      </c>
      <c r="V563">
        <f>River_data[[#This Row],[Dissolved Oxygen Min]]*River_data[[#This Row],[Dissolved Oxygen Max]]/2</f>
        <v>20.060000000000002</v>
      </c>
      <c r="W563">
        <f>River_data[[#This Row],[BOD Min]]*River_data[[#This Row],[BOD Max]]/2</f>
        <v>1.44</v>
      </c>
      <c r="X563">
        <f>AVERAGE(River_data[[#This Row],[pH Max]]-River_data[[#This Row],[pH Min]])</f>
        <v>0.5</v>
      </c>
    </row>
    <row r="564" spans="1:24" x14ac:dyDescent="0.3">
      <c r="A564">
        <v>1259</v>
      </c>
      <c r="B564" s="1" t="s">
        <v>577</v>
      </c>
      <c r="C564" s="1" t="s">
        <v>567</v>
      </c>
      <c r="D564">
        <v>21</v>
      </c>
      <c r="E564">
        <v>32</v>
      </c>
      <c r="F564">
        <v>5</v>
      </c>
      <c r="G564">
        <v>10.5</v>
      </c>
      <c r="H564">
        <v>7</v>
      </c>
      <c r="I564">
        <v>7.9</v>
      </c>
      <c r="J564">
        <v>136</v>
      </c>
      <c r="K564">
        <v>172</v>
      </c>
      <c r="L564">
        <v>2</v>
      </c>
      <c r="M564">
        <v>2.6</v>
      </c>
      <c r="N564">
        <v>0.7</v>
      </c>
      <c r="O564">
        <v>2</v>
      </c>
      <c r="P564">
        <v>300</v>
      </c>
      <c r="Q564">
        <v>940</v>
      </c>
      <c r="R564">
        <v>720</v>
      </c>
      <c r="S564">
        <v>2000</v>
      </c>
      <c r="T564">
        <v>95</v>
      </c>
      <c r="U564">
        <v>290</v>
      </c>
      <c r="V564">
        <f>River_data[[#This Row],[Dissolved Oxygen Min]]*River_data[[#This Row],[Dissolved Oxygen Max]]/2</f>
        <v>26.25</v>
      </c>
      <c r="W564">
        <f>River_data[[#This Row],[BOD Min]]*River_data[[#This Row],[BOD Max]]/2</f>
        <v>2.6</v>
      </c>
      <c r="X564">
        <f>AVERAGE(River_data[[#This Row],[pH Max]]-River_data[[#This Row],[pH Min]])</f>
        <v>0.90000000000000036</v>
      </c>
    </row>
    <row r="565" spans="1:24" x14ac:dyDescent="0.3">
      <c r="A565">
        <v>3764</v>
      </c>
      <c r="B565" s="1" t="s">
        <v>578</v>
      </c>
      <c r="C565" s="1" t="s">
        <v>567</v>
      </c>
      <c r="D565">
        <v>18</v>
      </c>
      <c r="E565">
        <v>30</v>
      </c>
      <c r="F565">
        <v>5.6</v>
      </c>
      <c r="G565">
        <v>6.4</v>
      </c>
      <c r="H565">
        <v>6.9</v>
      </c>
      <c r="I565">
        <v>7.6</v>
      </c>
      <c r="J565">
        <v>112</v>
      </c>
      <c r="K565">
        <v>136</v>
      </c>
      <c r="L565">
        <v>1.9</v>
      </c>
      <c r="M565">
        <v>2.4</v>
      </c>
      <c r="N565">
        <v>0.7</v>
      </c>
      <c r="O565">
        <v>1.8</v>
      </c>
      <c r="P565">
        <v>300</v>
      </c>
      <c r="Q565">
        <v>730</v>
      </c>
      <c r="R565">
        <v>730</v>
      </c>
      <c r="S565">
        <v>1500</v>
      </c>
      <c r="T565">
        <v>95</v>
      </c>
      <c r="U565">
        <v>240</v>
      </c>
      <c r="V565">
        <f>River_data[[#This Row],[Dissolved Oxygen Min]]*River_data[[#This Row],[Dissolved Oxygen Max]]/2</f>
        <v>17.919999999999998</v>
      </c>
      <c r="W565">
        <f>River_data[[#This Row],[BOD Min]]*River_data[[#This Row],[BOD Max]]/2</f>
        <v>2.2799999999999998</v>
      </c>
      <c r="X565">
        <f>AVERAGE(River_data[[#This Row],[pH Max]]-River_data[[#This Row],[pH Min]])</f>
        <v>0.69999999999999929</v>
      </c>
    </row>
    <row r="566" spans="1:24" x14ac:dyDescent="0.3">
      <c r="A566">
        <v>3792</v>
      </c>
      <c r="B566" s="1" t="s">
        <v>579</v>
      </c>
      <c r="C566" s="1" t="s">
        <v>567</v>
      </c>
      <c r="D566">
        <v>21</v>
      </c>
      <c r="E566">
        <v>32</v>
      </c>
      <c r="F566">
        <v>5.6</v>
      </c>
      <c r="G566">
        <v>9.5</v>
      </c>
      <c r="H566">
        <v>6.8</v>
      </c>
      <c r="I566">
        <v>7.4</v>
      </c>
      <c r="J566">
        <v>122</v>
      </c>
      <c r="K566">
        <v>154</v>
      </c>
      <c r="L566">
        <v>2</v>
      </c>
      <c r="M566">
        <v>2.5</v>
      </c>
      <c r="N566">
        <v>0.6</v>
      </c>
      <c r="O566">
        <v>1.7</v>
      </c>
      <c r="P566">
        <v>360</v>
      </c>
      <c r="Q566">
        <v>1400</v>
      </c>
      <c r="R566">
        <v>910</v>
      </c>
      <c r="S566">
        <v>2100</v>
      </c>
      <c r="T566">
        <v>150</v>
      </c>
      <c r="U566">
        <v>490</v>
      </c>
      <c r="V566">
        <f>River_data[[#This Row],[Dissolved Oxygen Min]]*River_data[[#This Row],[Dissolved Oxygen Max]]/2</f>
        <v>26.599999999999998</v>
      </c>
      <c r="W566">
        <f>River_data[[#This Row],[BOD Min]]*River_data[[#This Row],[BOD Max]]/2</f>
        <v>2.5</v>
      </c>
      <c r="X566">
        <f>AVERAGE(River_data[[#This Row],[pH Max]]-River_data[[#This Row],[pH Min]])</f>
        <v>0.60000000000000053</v>
      </c>
    </row>
    <row r="567" spans="1:24" x14ac:dyDescent="0.3">
      <c r="A567">
        <v>30070</v>
      </c>
      <c r="B567" s="1" t="s">
        <v>580</v>
      </c>
      <c r="C567" s="1" t="s">
        <v>571</v>
      </c>
      <c r="D567">
        <v>20.100000000000001</v>
      </c>
      <c r="E567">
        <v>31.7</v>
      </c>
      <c r="F567">
        <v>7</v>
      </c>
      <c r="G567">
        <v>9.6</v>
      </c>
      <c r="H567">
        <v>7.7</v>
      </c>
      <c r="I567">
        <v>7.9</v>
      </c>
      <c r="J567">
        <v>119</v>
      </c>
      <c r="K567">
        <v>236</v>
      </c>
      <c r="L567">
        <v>1</v>
      </c>
      <c r="M567">
        <v>9</v>
      </c>
      <c r="N567">
        <v>0.32</v>
      </c>
      <c r="O567">
        <v>0.33</v>
      </c>
      <c r="P567">
        <v>2</v>
      </c>
      <c r="Q567">
        <v>2</v>
      </c>
      <c r="R567">
        <v>2</v>
      </c>
      <c r="S567">
        <v>20</v>
      </c>
      <c r="T567">
        <v>2</v>
      </c>
      <c r="U567">
        <v>2</v>
      </c>
      <c r="V567">
        <f>River_data[[#This Row],[Dissolved Oxygen Min]]*River_data[[#This Row],[Dissolved Oxygen Max]]/2</f>
        <v>33.6</v>
      </c>
      <c r="W567">
        <f>River_data[[#This Row],[BOD Min]]*River_data[[#This Row],[BOD Max]]/2</f>
        <v>4.5</v>
      </c>
      <c r="X567">
        <f>AVERAGE(River_data[[#This Row],[pH Max]]-River_data[[#This Row],[pH Min]])</f>
        <v>0.20000000000000018</v>
      </c>
    </row>
    <row r="568" spans="1:24" x14ac:dyDescent="0.3">
      <c r="A568">
        <v>30071</v>
      </c>
      <c r="B568" s="1" t="s">
        <v>581</v>
      </c>
      <c r="C568" s="1" t="s">
        <v>571</v>
      </c>
      <c r="D568">
        <v>19.100000000000001</v>
      </c>
      <c r="E568">
        <v>32</v>
      </c>
      <c r="F568">
        <v>6.3</v>
      </c>
      <c r="G568">
        <v>11.1</v>
      </c>
      <c r="H568">
        <v>7.5</v>
      </c>
      <c r="I568">
        <v>8</v>
      </c>
      <c r="J568">
        <v>123</v>
      </c>
      <c r="K568">
        <v>195</v>
      </c>
      <c r="L568">
        <v>1.1000000000000001</v>
      </c>
      <c r="M568">
        <v>2.9</v>
      </c>
      <c r="N568">
        <v>0.32</v>
      </c>
      <c r="O568">
        <v>0.34</v>
      </c>
      <c r="P568">
        <v>2</v>
      </c>
      <c r="Q568">
        <v>4000</v>
      </c>
      <c r="R568">
        <v>2</v>
      </c>
      <c r="S568">
        <v>56000</v>
      </c>
      <c r="T568">
        <v>2</v>
      </c>
      <c r="U568">
        <v>2</v>
      </c>
      <c r="V568">
        <f>River_data[[#This Row],[Dissolved Oxygen Min]]*River_data[[#This Row],[Dissolved Oxygen Max]]/2</f>
        <v>34.964999999999996</v>
      </c>
      <c r="W568">
        <f>River_data[[#This Row],[BOD Min]]*River_data[[#This Row],[BOD Max]]/2</f>
        <v>1.595</v>
      </c>
      <c r="X568">
        <f>AVERAGE(River_data[[#This Row],[pH Max]]-River_data[[#This Row],[pH Min]])</f>
        <v>0.5</v>
      </c>
    </row>
    <row r="569" spans="1:24" x14ac:dyDescent="0.3">
      <c r="A569">
        <v>30072</v>
      </c>
      <c r="B569" s="1" t="s">
        <v>582</v>
      </c>
      <c r="C569" s="1" t="s">
        <v>571</v>
      </c>
      <c r="D569">
        <v>18</v>
      </c>
      <c r="E569">
        <v>32.700000000000003</v>
      </c>
      <c r="F569">
        <v>5.4</v>
      </c>
      <c r="G569">
        <v>7.9</v>
      </c>
      <c r="H569">
        <v>7.2</v>
      </c>
      <c r="I569">
        <v>7.6</v>
      </c>
      <c r="J569">
        <v>128</v>
      </c>
      <c r="K569">
        <v>250</v>
      </c>
      <c r="L569">
        <v>1.5</v>
      </c>
      <c r="M569">
        <v>3.4</v>
      </c>
      <c r="N569">
        <v>0.32</v>
      </c>
      <c r="O569">
        <v>1</v>
      </c>
      <c r="P569">
        <v>2</v>
      </c>
      <c r="Q569">
        <v>7500</v>
      </c>
      <c r="R569">
        <v>2</v>
      </c>
      <c r="S569">
        <v>312000</v>
      </c>
      <c r="T569">
        <v>2</v>
      </c>
      <c r="U569">
        <v>2</v>
      </c>
      <c r="V569">
        <f>River_data[[#This Row],[Dissolved Oxygen Min]]*River_data[[#This Row],[Dissolved Oxygen Max]]/2</f>
        <v>21.330000000000002</v>
      </c>
      <c r="W569">
        <f>River_data[[#This Row],[BOD Min]]*River_data[[#This Row],[BOD Max]]/2</f>
        <v>2.5499999999999998</v>
      </c>
      <c r="X569">
        <f>AVERAGE(River_data[[#This Row],[pH Max]]-River_data[[#This Row],[pH Min]])</f>
        <v>0.39999999999999947</v>
      </c>
    </row>
    <row r="570" spans="1:24" x14ac:dyDescent="0.3">
      <c r="A570">
        <v>30073</v>
      </c>
      <c r="B570" s="1" t="s">
        <v>583</v>
      </c>
      <c r="C570" s="1" t="s">
        <v>567</v>
      </c>
      <c r="D570">
        <v>18.5</v>
      </c>
      <c r="E570">
        <v>33.6</v>
      </c>
      <c r="F570">
        <v>5.9</v>
      </c>
      <c r="G570">
        <v>9.4</v>
      </c>
      <c r="H570">
        <v>7.3</v>
      </c>
      <c r="I570">
        <v>7.6</v>
      </c>
      <c r="J570">
        <v>130</v>
      </c>
      <c r="K570">
        <v>239</v>
      </c>
      <c r="L570">
        <v>1.6</v>
      </c>
      <c r="M570">
        <v>4.3</v>
      </c>
      <c r="N570">
        <v>0.32</v>
      </c>
      <c r="O570">
        <v>1.08</v>
      </c>
      <c r="P570">
        <v>2</v>
      </c>
      <c r="Q570">
        <v>8000</v>
      </c>
      <c r="R570">
        <v>2</v>
      </c>
      <c r="S570">
        <v>92000</v>
      </c>
      <c r="T570">
        <v>2</v>
      </c>
      <c r="U570">
        <v>2</v>
      </c>
      <c r="V570">
        <f>River_data[[#This Row],[Dissolved Oxygen Min]]*River_data[[#This Row],[Dissolved Oxygen Max]]/2</f>
        <v>27.730000000000004</v>
      </c>
      <c r="W570">
        <f>River_data[[#This Row],[BOD Min]]*River_data[[#This Row],[BOD Max]]/2</f>
        <v>3.44</v>
      </c>
      <c r="X570">
        <f>AVERAGE(River_data[[#This Row],[pH Max]]-River_data[[#This Row],[pH Min]])</f>
        <v>0.29999999999999982</v>
      </c>
    </row>
    <row r="571" spans="1:24" x14ac:dyDescent="0.3">
      <c r="A571">
        <v>30074</v>
      </c>
      <c r="B571" s="1" t="s">
        <v>584</v>
      </c>
      <c r="C571" s="1" t="s">
        <v>567</v>
      </c>
      <c r="D571">
        <v>19.100000000000001</v>
      </c>
      <c r="E571">
        <v>32.200000000000003</v>
      </c>
      <c r="F571">
        <v>6.6</v>
      </c>
      <c r="G571">
        <v>9.6</v>
      </c>
      <c r="H571">
        <v>7.4</v>
      </c>
      <c r="I571">
        <v>7.6</v>
      </c>
      <c r="J571">
        <v>124</v>
      </c>
      <c r="K571">
        <v>1021</v>
      </c>
      <c r="L571">
        <v>1.1000000000000001</v>
      </c>
      <c r="M571">
        <v>2.1</v>
      </c>
      <c r="N571">
        <v>0.32</v>
      </c>
      <c r="O571">
        <v>1.1000000000000001</v>
      </c>
      <c r="P571">
        <v>2</v>
      </c>
      <c r="Q571">
        <v>19000</v>
      </c>
      <c r="R571">
        <v>2</v>
      </c>
      <c r="S571">
        <v>396000</v>
      </c>
      <c r="T571">
        <v>2</v>
      </c>
      <c r="U571">
        <v>2</v>
      </c>
      <c r="V571">
        <f>River_data[[#This Row],[Dissolved Oxygen Min]]*River_data[[#This Row],[Dissolved Oxygen Max]]/2</f>
        <v>31.679999999999996</v>
      </c>
      <c r="W571">
        <f>River_data[[#This Row],[BOD Min]]*River_data[[#This Row],[BOD Max]]/2</f>
        <v>1.1550000000000002</v>
      </c>
      <c r="X571">
        <f>AVERAGE(River_data[[#This Row],[pH Max]]-River_data[[#This Row],[pH Min]])</f>
        <v>0.19999999999999929</v>
      </c>
    </row>
    <row r="572" spans="1:24" x14ac:dyDescent="0.3">
      <c r="A572">
        <v>1528</v>
      </c>
      <c r="B572" s="1" t="s">
        <v>585</v>
      </c>
      <c r="C572" s="1" t="s">
        <v>567</v>
      </c>
      <c r="D572">
        <v>21</v>
      </c>
      <c r="E572">
        <v>36</v>
      </c>
      <c r="F572">
        <v>0.3</v>
      </c>
      <c r="G572">
        <v>1</v>
      </c>
      <c r="H572">
        <v>6.9</v>
      </c>
      <c r="I572">
        <v>7.6</v>
      </c>
      <c r="J572">
        <v>520</v>
      </c>
      <c r="K572">
        <v>610</v>
      </c>
      <c r="L572">
        <v>30.8</v>
      </c>
      <c r="M572">
        <v>37.9</v>
      </c>
      <c r="N572">
        <v>2</v>
      </c>
      <c r="O572">
        <v>3.8</v>
      </c>
      <c r="P572">
        <v>2300</v>
      </c>
      <c r="Q572">
        <v>2900</v>
      </c>
      <c r="R572">
        <v>4200</v>
      </c>
      <c r="S572">
        <v>5300</v>
      </c>
      <c r="T572">
        <v>460</v>
      </c>
      <c r="U572">
        <v>490</v>
      </c>
      <c r="V572">
        <f>River_data[[#This Row],[Dissolved Oxygen Min]]*River_data[[#This Row],[Dissolved Oxygen Max]]/2</f>
        <v>0.15</v>
      </c>
      <c r="W572">
        <f>River_data[[#This Row],[BOD Min]]*River_data[[#This Row],[BOD Max]]/2</f>
        <v>583.66</v>
      </c>
      <c r="X572">
        <f>AVERAGE(River_data[[#This Row],[pH Max]]-River_data[[#This Row],[pH Min]])</f>
        <v>0.69999999999999929</v>
      </c>
    </row>
    <row r="573" spans="1:24" x14ac:dyDescent="0.3">
      <c r="A573">
        <v>3759</v>
      </c>
      <c r="B573" s="1" t="s">
        <v>586</v>
      </c>
      <c r="C573" s="1" t="s">
        <v>567</v>
      </c>
      <c r="D573">
        <v>20</v>
      </c>
      <c r="E573">
        <v>28</v>
      </c>
      <c r="F573">
        <v>5.5</v>
      </c>
      <c r="G573">
        <v>6.3</v>
      </c>
      <c r="H573">
        <v>7</v>
      </c>
      <c r="I573">
        <v>7.9</v>
      </c>
      <c r="J573">
        <v>120</v>
      </c>
      <c r="K573">
        <v>166</v>
      </c>
      <c r="L573">
        <v>1.8</v>
      </c>
      <c r="M573">
        <v>2.6</v>
      </c>
      <c r="N573">
        <v>0.5</v>
      </c>
      <c r="O573">
        <v>2.1</v>
      </c>
      <c r="P573">
        <v>300</v>
      </c>
      <c r="Q573">
        <v>730</v>
      </c>
      <c r="R573">
        <v>910</v>
      </c>
      <c r="S573">
        <v>1600</v>
      </c>
      <c r="T573">
        <v>96</v>
      </c>
      <c r="U573">
        <v>240</v>
      </c>
      <c r="V573">
        <f>River_data[[#This Row],[Dissolved Oxygen Min]]*River_data[[#This Row],[Dissolved Oxygen Max]]/2</f>
        <v>17.324999999999999</v>
      </c>
      <c r="W573">
        <f>River_data[[#This Row],[BOD Min]]*River_data[[#This Row],[BOD Max]]/2</f>
        <v>2.3400000000000003</v>
      </c>
      <c r="X573">
        <f>AVERAGE(River_data[[#This Row],[pH Max]]-River_data[[#This Row],[pH Min]])</f>
        <v>0.90000000000000036</v>
      </c>
    </row>
    <row r="574" spans="1:24" x14ac:dyDescent="0.3">
      <c r="A574">
        <v>3786</v>
      </c>
      <c r="B574" s="1" t="s">
        <v>587</v>
      </c>
      <c r="C574" s="1" t="s">
        <v>567</v>
      </c>
      <c r="D574">
        <v>22</v>
      </c>
      <c r="E574">
        <v>24</v>
      </c>
      <c r="F574">
        <v>5.2</v>
      </c>
      <c r="G574">
        <v>7.8</v>
      </c>
      <c r="H574">
        <v>6.9</v>
      </c>
      <c r="I574">
        <v>7.8</v>
      </c>
      <c r="J574">
        <v>140</v>
      </c>
      <c r="K574">
        <v>174</v>
      </c>
      <c r="L574">
        <v>2</v>
      </c>
      <c r="M574">
        <v>2.6</v>
      </c>
      <c r="N574">
        <v>0.6</v>
      </c>
      <c r="O574">
        <v>1</v>
      </c>
      <c r="P574">
        <v>360</v>
      </c>
      <c r="Q574">
        <v>720</v>
      </c>
      <c r="R574">
        <v>910</v>
      </c>
      <c r="S574">
        <v>1400</v>
      </c>
      <c r="T574">
        <v>120</v>
      </c>
      <c r="U574">
        <v>240</v>
      </c>
      <c r="V574">
        <f>River_data[[#This Row],[Dissolved Oxygen Min]]*River_data[[#This Row],[Dissolved Oxygen Max]]/2</f>
        <v>20.28</v>
      </c>
      <c r="W574">
        <f>River_data[[#This Row],[BOD Min]]*River_data[[#This Row],[BOD Max]]/2</f>
        <v>2.6</v>
      </c>
      <c r="X574">
        <f>AVERAGE(River_data[[#This Row],[pH Max]]-River_data[[#This Row],[pH Min]])</f>
        <v>0.89999999999999947</v>
      </c>
    </row>
    <row r="575" spans="1:24" x14ac:dyDescent="0.3">
      <c r="A575">
        <v>3807</v>
      </c>
      <c r="B575" s="1" t="s">
        <v>588</v>
      </c>
      <c r="C575" s="1" t="s">
        <v>567</v>
      </c>
      <c r="D575">
        <v>19</v>
      </c>
      <c r="E575">
        <v>28</v>
      </c>
      <c r="F575">
        <v>4.2</v>
      </c>
      <c r="G575">
        <v>9.8000000000000007</v>
      </c>
      <c r="H575">
        <v>7</v>
      </c>
      <c r="I575">
        <v>7.6</v>
      </c>
      <c r="J575">
        <v>101</v>
      </c>
      <c r="K575">
        <v>136</v>
      </c>
      <c r="L575">
        <v>2</v>
      </c>
      <c r="M575">
        <v>2.5</v>
      </c>
      <c r="N575">
        <v>0.6</v>
      </c>
      <c r="O575">
        <v>1.3</v>
      </c>
      <c r="P575">
        <v>620</v>
      </c>
      <c r="Q575">
        <v>1100</v>
      </c>
      <c r="R575">
        <v>1200</v>
      </c>
      <c r="S575">
        <v>2000</v>
      </c>
      <c r="T575">
        <v>210</v>
      </c>
      <c r="U575">
        <v>290</v>
      </c>
      <c r="V575">
        <f>River_data[[#This Row],[Dissolved Oxygen Min]]*River_data[[#This Row],[Dissolved Oxygen Max]]/2</f>
        <v>20.580000000000002</v>
      </c>
      <c r="W575">
        <f>River_data[[#This Row],[BOD Min]]*River_data[[#This Row],[BOD Max]]/2</f>
        <v>2.5</v>
      </c>
      <c r="X575">
        <f>AVERAGE(River_data[[#This Row],[pH Max]]-River_data[[#This Row],[pH Min]])</f>
        <v>0.59999999999999964</v>
      </c>
    </row>
    <row r="576" spans="1:24" x14ac:dyDescent="0.3">
      <c r="A576">
        <v>1530</v>
      </c>
      <c r="B576" s="1" t="s">
        <v>589</v>
      </c>
      <c r="C576" s="1" t="s">
        <v>567</v>
      </c>
      <c r="D576">
        <v>22</v>
      </c>
      <c r="E576">
        <v>24</v>
      </c>
      <c r="F576">
        <v>2.2999999999999998</v>
      </c>
      <c r="G576">
        <v>5.5</v>
      </c>
      <c r="H576">
        <v>6.8</v>
      </c>
      <c r="I576">
        <v>7.8</v>
      </c>
      <c r="J576">
        <v>152</v>
      </c>
      <c r="K576">
        <v>276</v>
      </c>
      <c r="L576">
        <v>3</v>
      </c>
      <c r="M576">
        <v>3.4</v>
      </c>
      <c r="N576">
        <v>0.7</v>
      </c>
      <c r="O576">
        <v>2</v>
      </c>
      <c r="P576">
        <v>300</v>
      </c>
      <c r="Q576">
        <v>940</v>
      </c>
      <c r="R576">
        <v>720</v>
      </c>
      <c r="S576">
        <v>2000</v>
      </c>
      <c r="T576">
        <v>95</v>
      </c>
      <c r="U576">
        <v>290</v>
      </c>
      <c r="V576">
        <f>River_data[[#This Row],[Dissolved Oxygen Min]]*River_data[[#This Row],[Dissolved Oxygen Max]]/2</f>
        <v>6.3249999999999993</v>
      </c>
      <c r="W576">
        <f>River_data[[#This Row],[BOD Min]]*River_data[[#This Row],[BOD Max]]/2</f>
        <v>5.0999999999999996</v>
      </c>
      <c r="X576">
        <f>AVERAGE(River_data[[#This Row],[pH Max]]-River_data[[#This Row],[pH Min]])</f>
        <v>1</v>
      </c>
    </row>
    <row r="577" spans="1:24" x14ac:dyDescent="0.3">
      <c r="A577">
        <v>2231</v>
      </c>
      <c r="B577" s="1" t="s">
        <v>590</v>
      </c>
      <c r="C577" s="1" t="s">
        <v>567</v>
      </c>
      <c r="D577">
        <v>20</v>
      </c>
      <c r="E577">
        <v>31</v>
      </c>
      <c r="F577">
        <v>6</v>
      </c>
      <c r="G577">
        <v>8</v>
      </c>
      <c r="H577">
        <v>6.8</v>
      </c>
      <c r="I577">
        <v>7.5</v>
      </c>
      <c r="J577">
        <v>122</v>
      </c>
      <c r="K577">
        <v>172</v>
      </c>
      <c r="L577">
        <v>1.8</v>
      </c>
      <c r="M577">
        <v>2.5</v>
      </c>
      <c r="N577">
        <v>0.8</v>
      </c>
      <c r="O577">
        <v>1.6</v>
      </c>
      <c r="P577">
        <v>360</v>
      </c>
      <c r="Q577">
        <v>910</v>
      </c>
      <c r="R577">
        <v>720</v>
      </c>
      <c r="S577">
        <v>2100</v>
      </c>
      <c r="T577">
        <v>120</v>
      </c>
      <c r="U577">
        <v>340</v>
      </c>
      <c r="V577">
        <f>River_data[[#This Row],[Dissolved Oxygen Min]]*River_data[[#This Row],[Dissolved Oxygen Max]]/2</f>
        <v>24</v>
      </c>
      <c r="W577">
        <f>River_data[[#This Row],[BOD Min]]*River_data[[#This Row],[BOD Max]]/2</f>
        <v>2.25</v>
      </c>
      <c r="X577">
        <f>AVERAGE(River_data[[#This Row],[pH Max]]-River_data[[#This Row],[pH Min]])</f>
        <v>0.70000000000000018</v>
      </c>
    </row>
    <row r="578" spans="1:24" x14ac:dyDescent="0.3">
      <c r="A578">
        <v>3776</v>
      </c>
      <c r="B578" s="1" t="s">
        <v>591</v>
      </c>
      <c r="C578" s="1" t="s">
        <v>567</v>
      </c>
      <c r="D578">
        <v>18</v>
      </c>
      <c r="E578">
        <v>30</v>
      </c>
      <c r="F578">
        <v>5.7</v>
      </c>
      <c r="G578">
        <v>8</v>
      </c>
      <c r="H578">
        <v>6.7</v>
      </c>
      <c r="I578">
        <v>7.5</v>
      </c>
      <c r="J578">
        <v>126</v>
      </c>
      <c r="K578">
        <v>166</v>
      </c>
      <c r="L578">
        <v>1.7</v>
      </c>
      <c r="M578">
        <v>2.6</v>
      </c>
      <c r="N578">
        <v>0.6</v>
      </c>
      <c r="O578">
        <v>1</v>
      </c>
      <c r="P578">
        <v>360</v>
      </c>
      <c r="Q578">
        <v>910</v>
      </c>
      <c r="R578">
        <v>1100</v>
      </c>
      <c r="S578">
        <v>2100</v>
      </c>
      <c r="T578">
        <v>110</v>
      </c>
      <c r="U578">
        <v>340</v>
      </c>
      <c r="V578">
        <f>River_data[[#This Row],[Dissolved Oxygen Min]]*River_data[[#This Row],[Dissolved Oxygen Max]]/2</f>
        <v>22.8</v>
      </c>
      <c r="W578">
        <f>River_data[[#This Row],[BOD Min]]*River_data[[#This Row],[BOD Max]]/2</f>
        <v>2.21</v>
      </c>
      <c r="X578">
        <f>AVERAGE(River_data[[#This Row],[pH Max]]-River_data[[#This Row],[pH Min]])</f>
        <v>0.79999999999999982</v>
      </c>
    </row>
    <row r="579" spans="1:24" x14ac:dyDescent="0.3">
      <c r="A579">
        <v>3778</v>
      </c>
      <c r="B579" s="1" t="s">
        <v>592</v>
      </c>
      <c r="C579" s="1" t="s">
        <v>567</v>
      </c>
      <c r="D579">
        <v>20</v>
      </c>
      <c r="E579">
        <v>32</v>
      </c>
      <c r="F579">
        <v>5.8</v>
      </c>
      <c r="G579">
        <v>7.9</v>
      </c>
      <c r="H579">
        <v>6.7</v>
      </c>
      <c r="I579">
        <v>7.6</v>
      </c>
      <c r="J579">
        <v>138</v>
      </c>
      <c r="K579">
        <v>209</v>
      </c>
      <c r="L579">
        <v>1.8</v>
      </c>
      <c r="M579">
        <v>2.5</v>
      </c>
      <c r="N579">
        <v>0.8</v>
      </c>
      <c r="O579">
        <v>1.1000000000000001</v>
      </c>
      <c r="P579">
        <v>300</v>
      </c>
      <c r="Q579">
        <v>730</v>
      </c>
      <c r="R579">
        <v>730</v>
      </c>
      <c r="S579">
        <v>2800</v>
      </c>
      <c r="T579">
        <v>110</v>
      </c>
      <c r="U579">
        <v>280</v>
      </c>
      <c r="V579">
        <f>River_data[[#This Row],[Dissolved Oxygen Min]]*River_data[[#This Row],[Dissolved Oxygen Max]]/2</f>
        <v>22.91</v>
      </c>
      <c r="W579">
        <f>River_data[[#This Row],[BOD Min]]*River_data[[#This Row],[BOD Max]]/2</f>
        <v>2.25</v>
      </c>
      <c r="X579">
        <f>AVERAGE(River_data[[#This Row],[pH Max]]-River_data[[#This Row],[pH Min]])</f>
        <v>0.89999999999999947</v>
      </c>
    </row>
    <row r="580" spans="1:24" x14ac:dyDescent="0.3">
      <c r="A580">
        <v>2524</v>
      </c>
      <c r="B580" s="1" t="s">
        <v>593</v>
      </c>
      <c r="C580" s="1" t="s">
        <v>247</v>
      </c>
      <c r="D580">
        <v>20</v>
      </c>
      <c r="E580">
        <v>31</v>
      </c>
      <c r="F580">
        <v>6.1</v>
      </c>
      <c r="G580">
        <v>8.1</v>
      </c>
      <c r="H580">
        <v>7.2</v>
      </c>
      <c r="I580">
        <v>7.9</v>
      </c>
      <c r="J580">
        <v>62</v>
      </c>
      <c r="K580">
        <v>134</v>
      </c>
      <c r="L580">
        <v>1</v>
      </c>
      <c r="M580">
        <v>2.8</v>
      </c>
      <c r="N580">
        <v>0.3</v>
      </c>
      <c r="O580">
        <v>0.38</v>
      </c>
      <c r="P580">
        <v>2200</v>
      </c>
      <c r="Q580">
        <v>17000</v>
      </c>
      <c r="R580">
        <v>11000</v>
      </c>
      <c r="S580">
        <v>50000</v>
      </c>
      <c r="T580">
        <v>13</v>
      </c>
      <c r="U580">
        <v>350</v>
      </c>
      <c r="V580">
        <f>River_data[[#This Row],[Dissolved Oxygen Min]]*River_data[[#This Row],[Dissolved Oxygen Max]]/2</f>
        <v>24.704999999999998</v>
      </c>
      <c r="W580">
        <f>River_data[[#This Row],[BOD Min]]*River_data[[#This Row],[BOD Max]]/2</f>
        <v>1.4</v>
      </c>
      <c r="X580">
        <f>AVERAGE(River_data[[#This Row],[pH Max]]-River_data[[#This Row],[pH Min]])</f>
        <v>0.70000000000000018</v>
      </c>
    </row>
    <row r="581" spans="1:24" x14ac:dyDescent="0.3">
      <c r="A581">
        <v>1298</v>
      </c>
      <c r="B581" s="1" t="s">
        <v>594</v>
      </c>
      <c r="C581" s="1" t="s">
        <v>567</v>
      </c>
      <c r="D581">
        <v>18</v>
      </c>
      <c r="E581">
        <v>29</v>
      </c>
      <c r="F581">
        <v>5.7</v>
      </c>
      <c r="G581">
        <v>6.9</v>
      </c>
      <c r="H581">
        <v>6.9</v>
      </c>
      <c r="I581">
        <v>7.9</v>
      </c>
      <c r="J581">
        <v>98</v>
      </c>
      <c r="K581">
        <v>126</v>
      </c>
      <c r="L581">
        <v>1.8</v>
      </c>
      <c r="M581">
        <v>2.2999999999999998</v>
      </c>
      <c r="N581">
        <v>0.6</v>
      </c>
      <c r="O581">
        <v>1.2</v>
      </c>
      <c r="P581">
        <v>360</v>
      </c>
      <c r="Q581">
        <v>910</v>
      </c>
      <c r="R581">
        <v>730</v>
      </c>
      <c r="S581">
        <v>2300</v>
      </c>
      <c r="T581">
        <v>130</v>
      </c>
      <c r="U581">
        <v>340</v>
      </c>
      <c r="V581">
        <f>River_data[[#This Row],[Dissolved Oxygen Min]]*River_data[[#This Row],[Dissolved Oxygen Max]]/2</f>
        <v>19.665000000000003</v>
      </c>
      <c r="W581">
        <f>River_data[[#This Row],[BOD Min]]*River_data[[#This Row],[BOD Max]]/2</f>
        <v>2.0699999999999998</v>
      </c>
      <c r="X581">
        <f>AVERAGE(River_data[[#This Row],[pH Max]]-River_data[[#This Row],[pH Min]])</f>
        <v>1</v>
      </c>
    </row>
    <row r="582" spans="1:24" x14ac:dyDescent="0.3">
      <c r="A582">
        <v>2058</v>
      </c>
      <c r="B582" s="1" t="s">
        <v>595</v>
      </c>
      <c r="C582" s="1" t="s">
        <v>567</v>
      </c>
      <c r="D582">
        <v>23</v>
      </c>
      <c r="E582">
        <v>23</v>
      </c>
      <c r="F582">
        <v>5.3</v>
      </c>
      <c r="G582">
        <v>10.5</v>
      </c>
      <c r="H582">
        <v>7</v>
      </c>
      <c r="I582">
        <v>7.5</v>
      </c>
      <c r="J582">
        <v>120</v>
      </c>
      <c r="K582">
        <v>188</v>
      </c>
      <c r="L582">
        <v>1.8</v>
      </c>
      <c r="M582">
        <v>2.4</v>
      </c>
      <c r="N582">
        <v>0.4</v>
      </c>
      <c r="O582">
        <v>1.6</v>
      </c>
      <c r="P582">
        <v>360</v>
      </c>
      <c r="Q582">
        <v>1100</v>
      </c>
      <c r="R582">
        <v>910</v>
      </c>
      <c r="S582">
        <v>2100</v>
      </c>
      <c r="T582">
        <v>120</v>
      </c>
      <c r="U582">
        <v>290</v>
      </c>
      <c r="V582">
        <f>River_data[[#This Row],[Dissolved Oxygen Min]]*River_data[[#This Row],[Dissolved Oxygen Max]]/2</f>
        <v>27.824999999999999</v>
      </c>
      <c r="W582">
        <f>River_data[[#This Row],[BOD Min]]*River_data[[#This Row],[BOD Max]]/2</f>
        <v>2.16</v>
      </c>
      <c r="X582">
        <f>AVERAGE(River_data[[#This Row],[pH Max]]-River_data[[#This Row],[pH Min]])</f>
        <v>0.5</v>
      </c>
    </row>
    <row r="583" spans="1:24" x14ac:dyDescent="0.3">
      <c r="A583">
        <v>4005</v>
      </c>
      <c r="B583" s="1" t="s">
        <v>596</v>
      </c>
      <c r="C583" s="1" t="s">
        <v>567</v>
      </c>
      <c r="D583">
        <v>20</v>
      </c>
      <c r="E583">
        <v>31</v>
      </c>
      <c r="F583">
        <v>5.5</v>
      </c>
      <c r="G583">
        <v>7.3</v>
      </c>
      <c r="H583">
        <v>7</v>
      </c>
      <c r="I583">
        <v>7.7</v>
      </c>
      <c r="J583">
        <v>110</v>
      </c>
      <c r="K583">
        <v>138</v>
      </c>
      <c r="L583">
        <v>1.6</v>
      </c>
      <c r="M583">
        <v>2.6</v>
      </c>
      <c r="N583">
        <v>0.7</v>
      </c>
      <c r="O583">
        <v>1.1000000000000001</v>
      </c>
      <c r="P583">
        <v>360</v>
      </c>
      <c r="Q583">
        <v>720</v>
      </c>
      <c r="R583">
        <v>730</v>
      </c>
      <c r="S583">
        <v>1500</v>
      </c>
      <c r="T583">
        <v>110</v>
      </c>
      <c r="U583">
        <v>260</v>
      </c>
      <c r="V583">
        <f>River_data[[#This Row],[Dissolved Oxygen Min]]*River_data[[#This Row],[Dissolved Oxygen Max]]/2</f>
        <v>20.074999999999999</v>
      </c>
      <c r="W583">
        <f>River_data[[#This Row],[BOD Min]]*River_data[[#This Row],[BOD Max]]/2</f>
        <v>2.08</v>
      </c>
      <c r="X583">
        <f>AVERAGE(River_data[[#This Row],[pH Max]]-River_data[[#This Row],[pH Min]])</f>
        <v>0.70000000000000018</v>
      </c>
    </row>
    <row r="584" spans="1:24" x14ac:dyDescent="0.3">
      <c r="A584">
        <v>3763</v>
      </c>
      <c r="B584" s="1" t="s">
        <v>597</v>
      </c>
      <c r="C584" s="1" t="s">
        <v>567</v>
      </c>
      <c r="D584">
        <v>16</v>
      </c>
      <c r="E584">
        <v>28</v>
      </c>
      <c r="F584">
        <v>5</v>
      </c>
      <c r="G584">
        <v>6.3</v>
      </c>
      <c r="H584">
        <v>6.8</v>
      </c>
      <c r="I584">
        <v>7.8</v>
      </c>
      <c r="J584">
        <v>106</v>
      </c>
      <c r="K584">
        <v>132</v>
      </c>
      <c r="L584">
        <v>2.1</v>
      </c>
      <c r="M584">
        <v>2.5</v>
      </c>
      <c r="N584">
        <v>0.7</v>
      </c>
      <c r="O584">
        <v>1.3</v>
      </c>
      <c r="P584">
        <v>360</v>
      </c>
      <c r="Q584">
        <v>730</v>
      </c>
      <c r="R584">
        <v>1100</v>
      </c>
      <c r="S584">
        <v>1500</v>
      </c>
      <c r="T584">
        <v>120</v>
      </c>
      <c r="U584">
        <v>240</v>
      </c>
      <c r="V584">
        <f>River_data[[#This Row],[Dissolved Oxygen Min]]*River_data[[#This Row],[Dissolved Oxygen Max]]/2</f>
        <v>15.75</v>
      </c>
      <c r="W584">
        <f>River_data[[#This Row],[BOD Min]]*River_data[[#This Row],[BOD Max]]/2</f>
        <v>2.625</v>
      </c>
      <c r="X584">
        <f>AVERAGE(River_data[[#This Row],[pH Max]]-River_data[[#This Row],[pH Min]])</f>
        <v>1</v>
      </c>
    </row>
    <row r="585" spans="1:24" x14ac:dyDescent="0.3">
      <c r="A585">
        <v>4011</v>
      </c>
      <c r="B585" s="1" t="s">
        <v>598</v>
      </c>
      <c r="C585" s="1" t="s">
        <v>567</v>
      </c>
      <c r="D585">
        <v>21</v>
      </c>
      <c r="E585">
        <v>34</v>
      </c>
      <c r="F585">
        <v>5</v>
      </c>
      <c r="G585">
        <v>6.8</v>
      </c>
      <c r="H585">
        <v>6.6</v>
      </c>
      <c r="I585">
        <v>7.8</v>
      </c>
      <c r="J585">
        <v>188</v>
      </c>
      <c r="K585">
        <v>272</v>
      </c>
      <c r="L585">
        <v>2</v>
      </c>
      <c r="M585">
        <v>2.8</v>
      </c>
      <c r="N585">
        <v>0.8</v>
      </c>
      <c r="O585">
        <v>1.3</v>
      </c>
      <c r="P585">
        <v>720</v>
      </c>
      <c r="Q585">
        <v>1100</v>
      </c>
      <c r="R585">
        <v>1400</v>
      </c>
      <c r="S585">
        <v>2800</v>
      </c>
      <c r="T585">
        <v>260</v>
      </c>
      <c r="U585">
        <v>420</v>
      </c>
      <c r="V585">
        <f>River_data[[#This Row],[Dissolved Oxygen Min]]*River_data[[#This Row],[Dissolved Oxygen Max]]/2</f>
        <v>17</v>
      </c>
      <c r="W585">
        <f>River_data[[#This Row],[BOD Min]]*River_data[[#This Row],[BOD Max]]/2</f>
        <v>2.8</v>
      </c>
      <c r="X585">
        <f>AVERAGE(River_data[[#This Row],[pH Max]]-River_data[[#This Row],[pH Min]])</f>
        <v>1.2000000000000002</v>
      </c>
    </row>
    <row r="586" spans="1:24" x14ac:dyDescent="0.3">
      <c r="A586">
        <v>4012</v>
      </c>
      <c r="B586" s="1" t="s">
        <v>599</v>
      </c>
      <c r="C586" s="1" t="s">
        <v>567</v>
      </c>
      <c r="D586">
        <v>21</v>
      </c>
      <c r="E586">
        <v>35</v>
      </c>
      <c r="F586">
        <v>5.0999999999999996</v>
      </c>
      <c r="G586">
        <v>5.4</v>
      </c>
      <c r="H586">
        <v>6.8</v>
      </c>
      <c r="I586">
        <v>7.7</v>
      </c>
      <c r="J586">
        <v>138</v>
      </c>
      <c r="K586">
        <v>164</v>
      </c>
      <c r="L586">
        <v>1.9</v>
      </c>
      <c r="M586">
        <v>2.6</v>
      </c>
      <c r="N586">
        <v>0.7</v>
      </c>
      <c r="O586">
        <v>2</v>
      </c>
      <c r="P586">
        <v>620</v>
      </c>
      <c r="Q586">
        <v>940</v>
      </c>
      <c r="R586">
        <v>1200</v>
      </c>
      <c r="S586">
        <v>1900</v>
      </c>
      <c r="T586">
        <v>210</v>
      </c>
      <c r="U586">
        <v>290</v>
      </c>
      <c r="V586">
        <f>River_data[[#This Row],[Dissolved Oxygen Min]]*River_data[[#This Row],[Dissolved Oxygen Max]]/2</f>
        <v>13.77</v>
      </c>
      <c r="W586">
        <f>River_data[[#This Row],[BOD Min]]*River_data[[#This Row],[BOD Max]]/2</f>
        <v>2.4699999999999998</v>
      </c>
      <c r="X586">
        <f>AVERAGE(River_data[[#This Row],[pH Max]]-River_data[[#This Row],[pH Min]])</f>
        <v>0.90000000000000036</v>
      </c>
    </row>
    <row r="587" spans="1:24" x14ac:dyDescent="0.3">
      <c r="A587">
        <v>4329</v>
      </c>
      <c r="B587" s="1" t="s">
        <v>600</v>
      </c>
      <c r="C587" s="1" t="s">
        <v>567</v>
      </c>
      <c r="D587">
        <v>20</v>
      </c>
      <c r="E587">
        <v>23</v>
      </c>
      <c r="F587">
        <v>5</v>
      </c>
      <c r="G587">
        <v>5.4</v>
      </c>
      <c r="H587">
        <v>7</v>
      </c>
      <c r="I587">
        <v>7.3</v>
      </c>
      <c r="J587">
        <v>92</v>
      </c>
      <c r="K587">
        <v>133</v>
      </c>
      <c r="L587">
        <v>2</v>
      </c>
      <c r="M587">
        <v>2.2999999999999998</v>
      </c>
      <c r="N587">
        <v>0.7</v>
      </c>
      <c r="O587">
        <v>1</v>
      </c>
      <c r="P587">
        <v>360</v>
      </c>
      <c r="Q587">
        <v>730</v>
      </c>
      <c r="R587">
        <v>910</v>
      </c>
      <c r="S587">
        <v>1500</v>
      </c>
      <c r="T587">
        <v>120</v>
      </c>
      <c r="U587">
        <v>240</v>
      </c>
      <c r="V587">
        <f>River_data[[#This Row],[Dissolved Oxygen Min]]*River_data[[#This Row],[Dissolved Oxygen Max]]/2</f>
        <v>13.5</v>
      </c>
      <c r="W587">
        <f>River_data[[#This Row],[BOD Min]]*River_data[[#This Row],[BOD Max]]/2</f>
        <v>2.2999999999999998</v>
      </c>
      <c r="X587">
        <f>AVERAGE(River_data[[#This Row],[pH Max]]-River_data[[#This Row],[pH Min]])</f>
        <v>0.29999999999999982</v>
      </c>
    </row>
    <row r="588" spans="1:24" x14ac:dyDescent="0.3">
      <c r="A588">
        <v>4331</v>
      </c>
      <c r="B588" s="1" t="s">
        <v>601</v>
      </c>
      <c r="C588" s="1" t="s">
        <v>567</v>
      </c>
      <c r="D588">
        <v>21</v>
      </c>
      <c r="E588">
        <v>24</v>
      </c>
      <c r="F588">
        <v>4.2</v>
      </c>
      <c r="G588">
        <v>5.7</v>
      </c>
      <c r="H588">
        <v>6.6</v>
      </c>
      <c r="I588">
        <v>7.2</v>
      </c>
      <c r="J588">
        <v>128</v>
      </c>
      <c r="K588">
        <v>162</v>
      </c>
      <c r="L588">
        <v>2</v>
      </c>
      <c r="M588">
        <v>2.8</v>
      </c>
      <c r="N588">
        <v>0.9</v>
      </c>
      <c r="O588">
        <v>1.3</v>
      </c>
      <c r="P588">
        <v>620</v>
      </c>
      <c r="Q588">
        <v>910</v>
      </c>
      <c r="R588">
        <v>1300</v>
      </c>
      <c r="S588">
        <v>2000</v>
      </c>
      <c r="T588">
        <v>210</v>
      </c>
      <c r="U588">
        <v>290</v>
      </c>
      <c r="V588">
        <f>River_data[[#This Row],[Dissolved Oxygen Min]]*River_data[[#This Row],[Dissolved Oxygen Max]]/2</f>
        <v>11.97</v>
      </c>
      <c r="W588">
        <f>River_data[[#This Row],[BOD Min]]*River_data[[#This Row],[BOD Max]]/2</f>
        <v>2.8</v>
      </c>
      <c r="X588">
        <f>AVERAGE(River_data[[#This Row],[pH Max]]-River_data[[#This Row],[pH Min]])</f>
        <v>0.60000000000000053</v>
      </c>
    </row>
    <row r="589" spans="1:24" x14ac:dyDescent="0.3">
      <c r="A589">
        <v>4332</v>
      </c>
      <c r="B589" s="1" t="s">
        <v>602</v>
      </c>
      <c r="C589" s="1" t="s">
        <v>567</v>
      </c>
      <c r="D589">
        <v>21</v>
      </c>
      <c r="E589">
        <v>33</v>
      </c>
      <c r="F589">
        <v>5.5</v>
      </c>
      <c r="G589">
        <v>7.8</v>
      </c>
      <c r="H589">
        <v>6.8</v>
      </c>
      <c r="I589">
        <v>7.5</v>
      </c>
      <c r="J589">
        <v>108</v>
      </c>
      <c r="K589">
        <v>132</v>
      </c>
      <c r="L589">
        <v>1.9</v>
      </c>
      <c r="M589">
        <v>2.6</v>
      </c>
      <c r="N589">
        <v>0.8</v>
      </c>
      <c r="O589">
        <v>1.2</v>
      </c>
      <c r="P589">
        <v>360</v>
      </c>
      <c r="Q589">
        <v>910</v>
      </c>
      <c r="R589">
        <v>1100</v>
      </c>
      <c r="S589">
        <v>2300</v>
      </c>
      <c r="T589">
        <v>140</v>
      </c>
      <c r="U589">
        <v>350</v>
      </c>
      <c r="V589">
        <f>River_data[[#This Row],[Dissolved Oxygen Min]]*River_data[[#This Row],[Dissolved Oxygen Max]]/2</f>
        <v>21.45</v>
      </c>
      <c r="W589">
        <f>River_data[[#This Row],[BOD Min]]*River_data[[#This Row],[BOD Max]]/2</f>
        <v>2.4699999999999998</v>
      </c>
      <c r="X589">
        <f>AVERAGE(River_data[[#This Row],[pH Max]]-River_data[[#This Row],[pH Min]])</f>
        <v>0.70000000000000018</v>
      </c>
    </row>
    <row r="590" spans="1:24" x14ac:dyDescent="0.3">
      <c r="A590">
        <v>4336</v>
      </c>
      <c r="B590" s="1" t="s">
        <v>603</v>
      </c>
      <c r="C590" s="1" t="s">
        <v>567</v>
      </c>
      <c r="D590">
        <v>18</v>
      </c>
      <c r="E590">
        <v>31</v>
      </c>
      <c r="F590">
        <v>5</v>
      </c>
      <c r="G590">
        <v>7.9</v>
      </c>
      <c r="H590">
        <v>6.6</v>
      </c>
      <c r="I590">
        <v>7.4</v>
      </c>
      <c r="J590">
        <v>83</v>
      </c>
      <c r="K590">
        <v>102</v>
      </c>
      <c r="L590">
        <v>1.8</v>
      </c>
      <c r="M590">
        <v>2.4</v>
      </c>
      <c r="N590">
        <v>0.6</v>
      </c>
      <c r="O590">
        <v>1.2</v>
      </c>
      <c r="P590">
        <v>360</v>
      </c>
      <c r="Q590">
        <v>730</v>
      </c>
      <c r="R590">
        <v>720</v>
      </c>
      <c r="S590">
        <v>2100</v>
      </c>
      <c r="T590">
        <v>110</v>
      </c>
      <c r="U590">
        <v>280</v>
      </c>
      <c r="V590">
        <f>River_data[[#This Row],[Dissolved Oxygen Min]]*River_data[[#This Row],[Dissolved Oxygen Max]]/2</f>
        <v>19.75</v>
      </c>
      <c r="W590">
        <f>River_data[[#This Row],[BOD Min]]*River_data[[#This Row],[BOD Max]]/2</f>
        <v>2.16</v>
      </c>
      <c r="X590">
        <f>AVERAGE(River_data[[#This Row],[pH Max]]-River_data[[#This Row],[pH Min]])</f>
        <v>0.80000000000000071</v>
      </c>
    </row>
    <row r="591" spans="1:24" x14ac:dyDescent="0.3">
      <c r="A591">
        <v>4341</v>
      </c>
      <c r="B591" s="1" t="s">
        <v>604</v>
      </c>
      <c r="C591" s="1" t="s">
        <v>567</v>
      </c>
      <c r="D591">
        <v>19</v>
      </c>
      <c r="E591">
        <v>37</v>
      </c>
      <c r="F591">
        <v>5.5</v>
      </c>
      <c r="G591">
        <v>9.3000000000000007</v>
      </c>
      <c r="H591">
        <v>7</v>
      </c>
      <c r="I591">
        <v>7.8</v>
      </c>
      <c r="J591">
        <v>120</v>
      </c>
      <c r="K591">
        <v>148</v>
      </c>
      <c r="L591">
        <v>2</v>
      </c>
      <c r="M591">
        <v>2.4</v>
      </c>
      <c r="N591">
        <v>0.5</v>
      </c>
      <c r="O591">
        <v>1.3</v>
      </c>
      <c r="P591">
        <v>360</v>
      </c>
      <c r="Q591">
        <v>910</v>
      </c>
      <c r="R591">
        <v>910</v>
      </c>
      <c r="S591">
        <v>2000</v>
      </c>
      <c r="T591">
        <v>150</v>
      </c>
      <c r="U591">
        <v>240</v>
      </c>
      <c r="V591">
        <f>River_data[[#This Row],[Dissolved Oxygen Min]]*River_data[[#This Row],[Dissolved Oxygen Max]]/2</f>
        <v>25.575000000000003</v>
      </c>
      <c r="W591">
        <f>River_data[[#This Row],[BOD Min]]*River_data[[#This Row],[BOD Max]]/2</f>
        <v>2.4</v>
      </c>
      <c r="X591">
        <f>AVERAGE(River_data[[#This Row],[pH Max]]-River_data[[#This Row],[pH Min]])</f>
        <v>0.79999999999999982</v>
      </c>
    </row>
    <row r="592" spans="1:24" x14ac:dyDescent="0.3">
      <c r="A592">
        <v>2838</v>
      </c>
      <c r="B592" s="1" t="s">
        <v>605</v>
      </c>
      <c r="C592" s="1" t="s">
        <v>606</v>
      </c>
      <c r="D592">
        <v>20</v>
      </c>
      <c r="E592">
        <v>24</v>
      </c>
      <c r="F592">
        <v>7.1</v>
      </c>
      <c r="G592">
        <v>7.4</v>
      </c>
      <c r="H592">
        <v>7.2</v>
      </c>
      <c r="I592">
        <v>7.3</v>
      </c>
      <c r="J592">
        <v>160</v>
      </c>
      <c r="K592">
        <v>190</v>
      </c>
      <c r="L592">
        <v>3.2</v>
      </c>
      <c r="M592">
        <v>3.3</v>
      </c>
      <c r="N592">
        <v>0</v>
      </c>
      <c r="O592">
        <v>0</v>
      </c>
      <c r="P592">
        <v>40</v>
      </c>
      <c r="Q592">
        <v>75</v>
      </c>
      <c r="R592">
        <v>85</v>
      </c>
      <c r="S592">
        <v>165</v>
      </c>
      <c r="V592">
        <f>River_data[[#This Row],[Dissolved Oxygen Min]]*River_data[[#This Row],[Dissolved Oxygen Max]]/2</f>
        <v>26.27</v>
      </c>
      <c r="W592">
        <f>River_data[[#This Row],[BOD Min]]*River_data[[#This Row],[BOD Max]]/2</f>
        <v>5.28</v>
      </c>
      <c r="X592">
        <f>AVERAGE(River_data[[#This Row],[pH Max]]-River_data[[#This Row],[pH Min]])</f>
        <v>9.9999999999999645E-2</v>
      </c>
    </row>
    <row r="593" spans="1:24" x14ac:dyDescent="0.3">
      <c r="A593">
        <v>2240</v>
      </c>
      <c r="B593" s="1" t="s">
        <v>607</v>
      </c>
      <c r="C593" s="1" t="s">
        <v>567</v>
      </c>
      <c r="D593">
        <v>22</v>
      </c>
      <c r="E593">
        <v>24</v>
      </c>
      <c r="F593">
        <v>5</v>
      </c>
      <c r="G593">
        <v>5.6</v>
      </c>
      <c r="H593">
        <v>7</v>
      </c>
      <c r="I593">
        <v>7.3</v>
      </c>
      <c r="J593">
        <v>90</v>
      </c>
      <c r="K593">
        <v>116</v>
      </c>
      <c r="L593">
        <v>2</v>
      </c>
      <c r="M593">
        <v>2.8</v>
      </c>
      <c r="N593">
        <v>0.6</v>
      </c>
      <c r="O593">
        <v>1.2</v>
      </c>
      <c r="P593">
        <v>300</v>
      </c>
      <c r="Q593">
        <v>1100</v>
      </c>
      <c r="R593">
        <v>730</v>
      </c>
      <c r="S593">
        <v>2800</v>
      </c>
      <c r="T593">
        <v>95</v>
      </c>
      <c r="U593">
        <v>490</v>
      </c>
      <c r="V593">
        <f>River_data[[#This Row],[Dissolved Oxygen Min]]*River_data[[#This Row],[Dissolved Oxygen Max]]/2</f>
        <v>14</v>
      </c>
      <c r="W593">
        <f>River_data[[#This Row],[BOD Min]]*River_data[[#This Row],[BOD Max]]/2</f>
        <v>2.8</v>
      </c>
      <c r="X593">
        <f>AVERAGE(River_data[[#This Row],[pH Max]]-River_data[[#This Row],[pH Min]])</f>
        <v>0.29999999999999982</v>
      </c>
    </row>
    <row r="594" spans="1:24" x14ac:dyDescent="0.3">
      <c r="A594">
        <v>1262</v>
      </c>
      <c r="B594" s="1" t="s">
        <v>608</v>
      </c>
      <c r="C594" s="1" t="s">
        <v>567</v>
      </c>
      <c r="D594">
        <v>18</v>
      </c>
      <c r="E594">
        <v>30</v>
      </c>
      <c r="F594">
        <v>6.3</v>
      </c>
      <c r="G594">
        <v>8.4</v>
      </c>
      <c r="H594">
        <v>7</v>
      </c>
      <c r="I594">
        <v>7.6</v>
      </c>
      <c r="J594">
        <v>124</v>
      </c>
      <c r="K594">
        <v>186</v>
      </c>
      <c r="L594">
        <v>2</v>
      </c>
      <c r="M594">
        <v>2.5</v>
      </c>
      <c r="N594">
        <v>0.6</v>
      </c>
      <c r="O594">
        <v>1.4</v>
      </c>
      <c r="P594">
        <v>300</v>
      </c>
      <c r="Q594">
        <v>730</v>
      </c>
      <c r="R594">
        <v>600</v>
      </c>
      <c r="S594">
        <v>2000</v>
      </c>
      <c r="T594">
        <v>110</v>
      </c>
      <c r="U594">
        <v>280</v>
      </c>
      <c r="V594">
        <f>River_data[[#This Row],[Dissolved Oxygen Min]]*River_data[[#This Row],[Dissolved Oxygen Max]]/2</f>
        <v>26.46</v>
      </c>
      <c r="W594">
        <f>River_data[[#This Row],[BOD Min]]*River_data[[#This Row],[BOD Max]]/2</f>
        <v>2.5</v>
      </c>
      <c r="X594">
        <f>AVERAGE(River_data[[#This Row],[pH Max]]-River_data[[#This Row],[pH Min]])</f>
        <v>0.59999999999999964</v>
      </c>
    </row>
    <row r="595" spans="1:24" x14ac:dyDescent="0.3">
      <c r="A595">
        <v>1526</v>
      </c>
      <c r="B595" s="1" t="s">
        <v>609</v>
      </c>
      <c r="C595" s="1" t="s">
        <v>567</v>
      </c>
      <c r="D595">
        <v>18</v>
      </c>
      <c r="E595">
        <v>26</v>
      </c>
      <c r="F595">
        <v>7</v>
      </c>
      <c r="G595">
        <v>7.7</v>
      </c>
      <c r="H595">
        <v>6.8</v>
      </c>
      <c r="I595">
        <v>7.6</v>
      </c>
      <c r="J595">
        <v>120</v>
      </c>
      <c r="K595">
        <v>146</v>
      </c>
      <c r="L595">
        <v>2</v>
      </c>
      <c r="M595">
        <v>2.5</v>
      </c>
      <c r="N595">
        <v>0.7</v>
      </c>
      <c r="O595">
        <v>1.7</v>
      </c>
      <c r="P595">
        <v>360</v>
      </c>
      <c r="Q595">
        <v>1100</v>
      </c>
      <c r="R595">
        <v>910</v>
      </c>
      <c r="S595">
        <v>2000</v>
      </c>
      <c r="T595">
        <v>120</v>
      </c>
      <c r="U595">
        <v>290</v>
      </c>
      <c r="V595">
        <f>River_data[[#This Row],[Dissolved Oxygen Min]]*River_data[[#This Row],[Dissolved Oxygen Max]]/2</f>
        <v>26.95</v>
      </c>
      <c r="W595">
        <f>River_data[[#This Row],[BOD Min]]*River_data[[#This Row],[BOD Max]]/2</f>
        <v>2.5</v>
      </c>
      <c r="X595">
        <f>AVERAGE(River_data[[#This Row],[pH Max]]-River_data[[#This Row],[pH Min]])</f>
        <v>0.79999999999999982</v>
      </c>
    </row>
    <row r="596" spans="1:24" x14ac:dyDescent="0.3">
      <c r="A596">
        <v>1030</v>
      </c>
      <c r="B596" s="1" t="s">
        <v>610</v>
      </c>
      <c r="C596" s="1" t="s">
        <v>567</v>
      </c>
      <c r="D596">
        <v>21</v>
      </c>
      <c r="E596">
        <v>25</v>
      </c>
      <c r="F596">
        <v>5</v>
      </c>
      <c r="G596">
        <v>7.5</v>
      </c>
      <c r="H596">
        <v>6.8</v>
      </c>
      <c r="I596">
        <v>7.5</v>
      </c>
      <c r="J596">
        <v>102</v>
      </c>
      <c r="K596">
        <v>152</v>
      </c>
      <c r="L596">
        <v>2</v>
      </c>
      <c r="M596">
        <v>2.7</v>
      </c>
      <c r="N596">
        <v>0.7</v>
      </c>
      <c r="O596">
        <v>1.6</v>
      </c>
      <c r="P596">
        <v>360</v>
      </c>
      <c r="Q596">
        <v>1100</v>
      </c>
      <c r="R596">
        <v>730</v>
      </c>
      <c r="S596">
        <v>2100</v>
      </c>
      <c r="T596">
        <v>120</v>
      </c>
      <c r="U596">
        <v>290</v>
      </c>
      <c r="V596">
        <f>River_data[[#This Row],[Dissolved Oxygen Min]]*River_data[[#This Row],[Dissolved Oxygen Max]]/2</f>
        <v>18.75</v>
      </c>
      <c r="W596">
        <f>River_data[[#This Row],[BOD Min]]*River_data[[#This Row],[BOD Max]]/2</f>
        <v>2.7</v>
      </c>
      <c r="X596">
        <f>AVERAGE(River_data[[#This Row],[pH Max]]-River_data[[#This Row],[pH Min]])</f>
        <v>0.70000000000000018</v>
      </c>
    </row>
    <row r="597" spans="1:24" x14ac:dyDescent="0.3">
      <c r="A597">
        <v>1031</v>
      </c>
      <c r="B597" s="1" t="s">
        <v>611</v>
      </c>
      <c r="C597" s="1" t="s">
        <v>567</v>
      </c>
      <c r="D597">
        <v>19</v>
      </c>
      <c r="E597">
        <v>30</v>
      </c>
      <c r="F597">
        <v>6.1</v>
      </c>
      <c r="G597">
        <v>8.6999999999999993</v>
      </c>
      <c r="H597">
        <v>6.7</v>
      </c>
      <c r="I597">
        <v>7.8</v>
      </c>
      <c r="J597">
        <v>126</v>
      </c>
      <c r="K597">
        <v>166</v>
      </c>
      <c r="L597">
        <v>2</v>
      </c>
      <c r="M597">
        <v>2.7</v>
      </c>
      <c r="N597">
        <v>0.6</v>
      </c>
      <c r="O597">
        <v>1.5</v>
      </c>
      <c r="P597">
        <v>730</v>
      </c>
      <c r="Q597">
        <v>1100</v>
      </c>
      <c r="R597">
        <v>1500</v>
      </c>
      <c r="S597">
        <v>2100</v>
      </c>
      <c r="T597">
        <v>150</v>
      </c>
      <c r="U597">
        <v>290</v>
      </c>
      <c r="V597">
        <f>River_data[[#This Row],[Dissolved Oxygen Min]]*River_data[[#This Row],[Dissolved Oxygen Max]]/2</f>
        <v>26.534999999999997</v>
      </c>
      <c r="W597">
        <f>River_data[[#This Row],[BOD Min]]*River_data[[#This Row],[BOD Max]]/2</f>
        <v>2.7</v>
      </c>
      <c r="X597">
        <f>AVERAGE(River_data[[#This Row],[pH Max]]-River_data[[#This Row],[pH Min]])</f>
        <v>1.0999999999999996</v>
      </c>
    </row>
    <row r="598" spans="1:24" x14ac:dyDescent="0.3">
      <c r="A598">
        <v>1299</v>
      </c>
      <c r="B598" s="1" t="s">
        <v>612</v>
      </c>
      <c r="C598" s="1" t="s">
        <v>567</v>
      </c>
      <c r="D598">
        <v>22</v>
      </c>
      <c r="E598">
        <v>36</v>
      </c>
      <c r="F598">
        <v>5.4</v>
      </c>
      <c r="G598">
        <v>6.5</v>
      </c>
      <c r="H598">
        <v>7</v>
      </c>
      <c r="I598">
        <v>7.8</v>
      </c>
      <c r="J598">
        <v>146</v>
      </c>
      <c r="K598">
        <v>170</v>
      </c>
      <c r="L598">
        <v>2</v>
      </c>
      <c r="M598">
        <v>2.6</v>
      </c>
      <c r="N598">
        <v>0.7</v>
      </c>
      <c r="O598">
        <v>2.2999999999999998</v>
      </c>
      <c r="P598">
        <v>360</v>
      </c>
      <c r="Q598">
        <v>1100</v>
      </c>
      <c r="R598">
        <v>1100</v>
      </c>
      <c r="S598">
        <v>2100</v>
      </c>
      <c r="T598">
        <v>120</v>
      </c>
      <c r="U598">
        <v>290</v>
      </c>
      <c r="V598">
        <f>River_data[[#This Row],[Dissolved Oxygen Min]]*River_data[[#This Row],[Dissolved Oxygen Max]]/2</f>
        <v>17.55</v>
      </c>
      <c r="W598">
        <f>River_data[[#This Row],[BOD Min]]*River_data[[#This Row],[BOD Max]]/2</f>
        <v>2.6</v>
      </c>
      <c r="X598">
        <f>AVERAGE(River_data[[#This Row],[pH Max]]-River_data[[#This Row],[pH Min]])</f>
        <v>0.79999999999999982</v>
      </c>
    </row>
    <row r="599" spans="1:24" x14ac:dyDescent="0.3">
      <c r="A599">
        <v>2069</v>
      </c>
      <c r="B599" s="1" t="s">
        <v>613</v>
      </c>
      <c r="C599" s="1" t="s">
        <v>567</v>
      </c>
      <c r="D599">
        <v>19</v>
      </c>
      <c r="E599">
        <v>32</v>
      </c>
      <c r="F599">
        <v>5.4</v>
      </c>
      <c r="G599">
        <v>8.9</v>
      </c>
      <c r="H599">
        <v>7.2</v>
      </c>
      <c r="I599">
        <v>7.9</v>
      </c>
      <c r="J599">
        <v>132</v>
      </c>
      <c r="K599">
        <v>214</v>
      </c>
      <c r="L599">
        <v>2.1</v>
      </c>
      <c r="M599">
        <v>2.6</v>
      </c>
      <c r="N599">
        <v>0.6</v>
      </c>
      <c r="O599">
        <v>1.8</v>
      </c>
      <c r="P599">
        <v>360</v>
      </c>
      <c r="Q599">
        <v>1100</v>
      </c>
      <c r="R599">
        <v>910</v>
      </c>
      <c r="S599">
        <v>2700</v>
      </c>
      <c r="T599">
        <v>120</v>
      </c>
      <c r="U599">
        <v>490</v>
      </c>
      <c r="V599">
        <f>River_data[[#This Row],[Dissolved Oxygen Min]]*River_data[[#This Row],[Dissolved Oxygen Max]]/2</f>
        <v>24.03</v>
      </c>
      <c r="W599">
        <f>River_data[[#This Row],[BOD Min]]*River_data[[#This Row],[BOD Max]]/2</f>
        <v>2.7300000000000004</v>
      </c>
      <c r="X599">
        <f>AVERAGE(River_data[[#This Row],[pH Max]]-River_data[[#This Row],[pH Min]])</f>
        <v>0.70000000000000018</v>
      </c>
    </row>
    <row r="600" spans="1:24" x14ac:dyDescent="0.3">
      <c r="A600">
        <v>2064</v>
      </c>
      <c r="B600" s="1" t="s">
        <v>614</v>
      </c>
      <c r="C600" s="1" t="s">
        <v>567</v>
      </c>
      <c r="D600">
        <v>18</v>
      </c>
      <c r="E600">
        <v>29</v>
      </c>
      <c r="F600">
        <v>6.9</v>
      </c>
      <c r="G600">
        <v>9.6999999999999993</v>
      </c>
      <c r="H600">
        <v>6.8</v>
      </c>
      <c r="I600">
        <v>8</v>
      </c>
      <c r="J600">
        <v>128</v>
      </c>
      <c r="K600">
        <v>178</v>
      </c>
      <c r="L600">
        <v>2</v>
      </c>
      <c r="M600">
        <v>2.6</v>
      </c>
      <c r="N600">
        <v>0.6</v>
      </c>
      <c r="O600">
        <v>1.7</v>
      </c>
      <c r="P600">
        <v>610</v>
      </c>
      <c r="Q600">
        <v>2800</v>
      </c>
      <c r="R600">
        <v>1500</v>
      </c>
      <c r="S600">
        <v>3600</v>
      </c>
      <c r="T600">
        <v>210</v>
      </c>
      <c r="U600">
        <v>490</v>
      </c>
      <c r="V600">
        <f>River_data[[#This Row],[Dissolved Oxygen Min]]*River_data[[#This Row],[Dissolved Oxygen Max]]/2</f>
        <v>33.464999999999996</v>
      </c>
      <c r="W600">
        <f>River_data[[#This Row],[BOD Min]]*River_data[[#This Row],[BOD Max]]/2</f>
        <v>2.6</v>
      </c>
      <c r="X600">
        <f>AVERAGE(River_data[[#This Row],[pH Max]]-River_data[[#This Row],[pH Min]])</f>
        <v>1.2000000000000002</v>
      </c>
    </row>
    <row r="601" spans="1:24" x14ac:dyDescent="0.3">
      <c r="A601">
        <v>2067</v>
      </c>
      <c r="B601" s="1" t="s">
        <v>615</v>
      </c>
      <c r="C601" s="1" t="s">
        <v>567</v>
      </c>
      <c r="D601">
        <v>22</v>
      </c>
      <c r="E601">
        <v>30</v>
      </c>
      <c r="F601">
        <v>5</v>
      </c>
      <c r="G601">
        <v>8.1999999999999993</v>
      </c>
      <c r="H601">
        <v>7.1</v>
      </c>
      <c r="I601">
        <v>7.9</v>
      </c>
      <c r="J601">
        <v>115</v>
      </c>
      <c r="K601">
        <v>130</v>
      </c>
      <c r="L601">
        <v>2.1</v>
      </c>
      <c r="M601">
        <v>2.8</v>
      </c>
      <c r="N601">
        <v>0.6</v>
      </c>
      <c r="O601">
        <v>1.7</v>
      </c>
      <c r="P601">
        <v>360</v>
      </c>
      <c r="Q601">
        <v>1500</v>
      </c>
      <c r="R601">
        <v>1100</v>
      </c>
      <c r="S601">
        <v>2100</v>
      </c>
      <c r="T601">
        <v>95</v>
      </c>
      <c r="U601">
        <v>490</v>
      </c>
      <c r="V601">
        <f>River_data[[#This Row],[Dissolved Oxygen Min]]*River_data[[#This Row],[Dissolved Oxygen Max]]/2</f>
        <v>20.5</v>
      </c>
      <c r="W601">
        <f>River_data[[#This Row],[BOD Min]]*River_data[[#This Row],[BOD Max]]/2</f>
        <v>2.94</v>
      </c>
      <c r="X601">
        <f>AVERAGE(River_data[[#This Row],[pH Max]]-River_data[[#This Row],[pH Min]])</f>
        <v>0.80000000000000071</v>
      </c>
    </row>
    <row r="602" spans="1:24" x14ac:dyDescent="0.3">
      <c r="A602">
        <v>2066</v>
      </c>
      <c r="B602" s="1" t="s">
        <v>616</v>
      </c>
      <c r="C602" s="1" t="s">
        <v>567</v>
      </c>
      <c r="D602">
        <v>20</v>
      </c>
      <c r="E602">
        <v>34</v>
      </c>
      <c r="F602">
        <v>5.2</v>
      </c>
      <c r="G602">
        <v>5.7</v>
      </c>
      <c r="H602">
        <v>6.9</v>
      </c>
      <c r="I602">
        <v>7.6</v>
      </c>
      <c r="J602">
        <v>130</v>
      </c>
      <c r="K602">
        <v>168</v>
      </c>
      <c r="L602">
        <v>2</v>
      </c>
      <c r="M602">
        <v>2.5</v>
      </c>
      <c r="N602">
        <v>0.7</v>
      </c>
      <c r="O602">
        <v>1.7</v>
      </c>
      <c r="P602">
        <v>360</v>
      </c>
      <c r="Q602">
        <v>1100</v>
      </c>
      <c r="R602">
        <v>910</v>
      </c>
      <c r="S602">
        <v>2100</v>
      </c>
      <c r="T602">
        <v>120</v>
      </c>
      <c r="U602">
        <v>290</v>
      </c>
      <c r="V602">
        <f>River_data[[#This Row],[Dissolved Oxygen Min]]*River_data[[#This Row],[Dissolved Oxygen Max]]/2</f>
        <v>14.82</v>
      </c>
      <c r="W602">
        <f>River_data[[#This Row],[BOD Min]]*River_data[[#This Row],[BOD Max]]/2</f>
        <v>2.5</v>
      </c>
      <c r="X602">
        <f>AVERAGE(River_data[[#This Row],[pH Max]]-River_data[[#This Row],[pH Min]])</f>
        <v>0.69999999999999929</v>
      </c>
    </row>
    <row r="603" spans="1:24" x14ac:dyDescent="0.3">
      <c r="A603">
        <v>3781</v>
      </c>
      <c r="B603" s="1" t="s">
        <v>617</v>
      </c>
      <c r="C603" s="1" t="s">
        <v>567</v>
      </c>
      <c r="D603">
        <v>22</v>
      </c>
      <c r="E603">
        <v>28</v>
      </c>
      <c r="F603">
        <v>5</v>
      </c>
      <c r="G603">
        <v>7.3</v>
      </c>
      <c r="H603">
        <v>7</v>
      </c>
      <c r="I603">
        <v>7.4</v>
      </c>
      <c r="J603">
        <v>120</v>
      </c>
      <c r="K603">
        <v>146</v>
      </c>
      <c r="L603">
        <v>2</v>
      </c>
      <c r="M603">
        <v>2.5</v>
      </c>
      <c r="N603">
        <v>0.6</v>
      </c>
      <c r="O603">
        <v>1.4</v>
      </c>
      <c r="P603">
        <v>300</v>
      </c>
      <c r="Q603">
        <v>910</v>
      </c>
      <c r="R603">
        <v>730</v>
      </c>
      <c r="S603">
        <v>2000</v>
      </c>
      <c r="T603">
        <v>95</v>
      </c>
      <c r="U603">
        <v>290</v>
      </c>
      <c r="V603">
        <f>River_data[[#This Row],[Dissolved Oxygen Min]]*River_data[[#This Row],[Dissolved Oxygen Max]]/2</f>
        <v>18.25</v>
      </c>
      <c r="W603">
        <f>River_data[[#This Row],[BOD Min]]*River_data[[#This Row],[BOD Max]]/2</f>
        <v>2.5</v>
      </c>
      <c r="X603">
        <f>AVERAGE(River_data[[#This Row],[pH Max]]-River_data[[#This Row],[pH Min]])</f>
        <v>0.40000000000000036</v>
      </c>
    </row>
    <row r="604" spans="1:24" x14ac:dyDescent="0.3">
      <c r="A604">
        <v>4004</v>
      </c>
      <c r="B604" s="1" t="s">
        <v>618</v>
      </c>
      <c r="C604" s="1" t="s">
        <v>567</v>
      </c>
      <c r="D604">
        <v>18</v>
      </c>
      <c r="E604">
        <v>24</v>
      </c>
      <c r="F604">
        <v>7</v>
      </c>
      <c r="G604">
        <v>7.3</v>
      </c>
      <c r="H604">
        <v>6.8</v>
      </c>
      <c r="I604">
        <v>7.8</v>
      </c>
      <c r="J604">
        <v>108</v>
      </c>
      <c r="K604">
        <v>176</v>
      </c>
      <c r="L604">
        <v>2</v>
      </c>
      <c r="M604">
        <v>2.7</v>
      </c>
      <c r="N604">
        <v>0.7</v>
      </c>
      <c r="O604">
        <v>1.5</v>
      </c>
      <c r="P604">
        <v>610</v>
      </c>
      <c r="Q604">
        <v>1100</v>
      </c>
      <c r="R604">
        <v>1400</v>
      </c>
      <c r="S604">
        <v>2100</v>
      </c>
      <c r="T604">
        <v>210</v>
      </c>
      <c r="U604">
        <v>490</v>
      </c>
      <c r="V604">
        <f>River_data[[#This Row],[Dissolved Oxygen Min]]*River_data[[#This Row],[Dissolved Oxygen Max]]/2</f>
        <v>25.55</v>
      </c>
      <c r="W604">
        <f>River_data[[#This Row],[BOD Min]]*River_data[[#This Row],[BOD Max]]/2</f>
        <v>2.7</v>
      </c>
      <c r="X604">
        <f>AVERAGE(River_data[[#This Row],[pH Max]]-River_data[[#This Row],[pH Min]])</f>
        <v>1</v>
      </c>
    </row>
    <row r="605" spans="1:24" x14ac:dyDescent="0.3">
      <c r="A605">
        <v>5610</v>
      </c>
      <c r="B605" s="1" t="s">
        <v>619</v>
      </c>
      <c r="C605" s="1" t="s">
        <v>567</v>
      </c>
      <c r="D605">
        <v>21</v>
      </c>
      <c r="E605">
        <v>36</v>
      </c>
      <c r="F605">
        <v>5.4</v>
      </c>
      <c r="G605">
        <v>5.6</v>
      </c>
      <c r="H605">
        <v>7</v>
      </c>
      <c r="I605">
        <v>7.3</v>
      </c>
      <c r="J605">
        <v>120</v>
      </c>
      <c r="K605">
        <v>130</v>
      </c>
      <c r="L605">
        <v>2</v>
      </c>
      <c r="M605">
        <v>2.2999999999999998</v>
      </c>
      <c r="N605">
        <v>0.7</v>
      </c>
      <c r="O605">
        <v>0.9</v>
      </c>
      <c r="P605">
        <v>360</v>
      </c>
      <c r="Q605">
        <v>1100</v>
      </c>
      <c r="R605">
        <v>910</v>
      </c>
      <c r="S605">
        <v>2700</v>
      </c>
      <c r="T605">
        <v>120</v>
      </c>
      <c r="U605">
        <v>290</v>
      </c>
      <c r="V605">
        <f>River_data[[#This Row],[Dissolved Oxygen Min]]*River_data[[#This Row],[Dissolved Oxygen Max]]/2</f>
        <v>15.12</v>
      </c>
      <c r="W605">
        <f>River_data[[#This Row],[BOD Min]]*River_data[[#This Row],[BOD Max]]/2</f>
        <v>2.2999999999999998</v>
      </c>
      <c r="X605">
        <f>AVERAGE(River_data[[#This Row],[pH Max]]-River_data[[#This Row],[pH Min]])</f>
        <v>0.29999999999999982</v>
      </c>
    </row>
    <row r="606" spans="1:24" x14ac:dyDescent="0.3">
      <c r="A606">
        <v>5612</v>
      </c>
      <c r="B606" s="1" t="s">
        <v>620</v>
      </c>
      <c r="C606" s="1" t="s">
        <v>567</v>
      </c>
      <c r="D606">
        <v>22</v>
      </c>
      <c r="E606">
        <v>26</v>
      </c>
      <c r="F606">
        <v>5.5</v>
      </c>
      <c r="G606">
        <v>8.1999999999999993</v>
      </c>
      <c r="H606">
        <v>6.9</v>
      </c>
      <c r="I606">
        <v>7.8</v>
      </c>
      <c r="J606">
        <v>98</v>
      </c>
      <c r="K606">
        <v>130</v>
      </c>
      <c r="L606">
        <v>2</v>
      </c>
      <c r="M606">
        <v>2.2999999999999998</v>
      </c>
      <c r="N606">
        <v>0.6</v>
      </c>
      <c r="O606">
        <v>0.8</v>
      </c>
      <c r="P606">
        <v>730</v>
      </c>
      <c r="Q606">
        <v>1500</v>
      </c>
      <c r="R606">
        <v>1500</v>
      </c>
      <c r="S606">
        <v>2800</v>
      </c>
      <c r="T606">
        <v>240</v>
      </c>
      <c r="U606">
        <v>490</v>
      </c>
      <c r="V606">
        <f>River_data[[#This Row],[Dissolved Oxygen Min]]*River_data[[#This Row],[Dissolved Oxygen Max]]/2</f>
        <v>22.549999999999997</v>
      </c>
      <c r="W606">
        <f>River_data[[#This Row],[BOD Min]]*River_data[[#This Row],[BOD Max]]/2</f>
        <v>2.2999999999999998</v>
      </c>
      <c r="X606">
        <f>AVERAGE(River_data[[#This Row],[pH Max]]-River_data[[#This Row],[pH Min]])</f>
        <v>0.89999999999999947</v>
      </c>
    </row>
    <row r="607" spans="1:24" x14ac:dyDescent="0.3">
      <c r="A607">
        <v>2950</v>
      </c>
      <c r="B607" s="1" t="s">
        <v>621</v>
      </c>
      <c r="C607" s="1" t="s">
        <v>359</v>
      </c>
      <c r="D607">
        <v>21.5</v>
      </c>
      <c r="E607">
        <v>32.299999999999997</v>
      </c>
      <c r="F607">
        <v>4.5999999999999996</v>
      </c>
      <c r="G607">
        <v>6.4</v>
      </c>
      <c r="H607">
        <v>7.1</v>
      </c>
      <c r="I607">
        <v>8.3000000000000007</v>
      </c>
      <c r="J607">
        <v>358</v>
      </c>
      <c r="K607">
        <v>611</v>
      </c>
      <c r="L607">
        <v>1</v>
      </c>
      <c r="M607">
        <v>4</v>
      </c>
      <c r="N607">
        <v>1.94</v>
      </c>
      <c r="O607">
        <v>3.49</v>
      </c>
      <c r="P607">
        <v>2</v>
      </c>
      <c r="Q607">
        <v>5</v>
      </c>
      <c r="R607">
        <v>2</v>
      </c>
      <c r="S607">
        <v>16</v>
      </c>
      <c r="T607">
        <v>2</v>
      </c>
      <c r="U607">
        <v>2</v>
      </c>
      <c r="V607">
        <f>River_data[[#This Row],[Dissolved Oxygen Min]]*River_data[[#This Row],[Dissolved Oxygen Max]]/2</f>
        <v>14.719999999999999</v>
      </c>
      <c r="W607">
        <f>River_data[[#This Row],[BOD Min]]*River_data[[#This Row],[BOD Max]]/2</f>
        <v>2</v>
      </c>
      <c r="X607">
        <f>AVERAGE(River_data[[#This Row],[pH Max]]-River_data[[#This Row],[pH Min]])</f>
        <v>1.2000000000000011</v>
      </c>
    </row>
    <row r="608" spans="1:24" x14ac:dyDescent="0.3">
      <c r="A608">
        <v>2951</v>
      </c>
      <c r="B608" s="1" t="s">
        <v>622</v>
      </c>
      <c r="C608" s="1" t="s">
        <v>359</v>
      </c>
      <c r="D608">
        <v>18</v>
      </c>
      <c r="E608">
        <v>32</v>
      </c>
      <c r="F608">
        <v>5.2</v>
      </c>
      <c r="G608">
        <v>6.6</v>
      </c>
      <c r="H608">
        <v>7.9</v>
      </c>
      <c r="I608">
        <v>8.5</v>
      </c>
      <c r="J608">
        <v>386</v>
      </c>
      <c r="K608">
        <v>607</v>
      </c>
      <c r="L608">
        <v>1</v>
      </c>
      <c r="M608">
        <v>2.2999999999999998</v>
      </c>
      <c r="N608">
        <v>0.5</v>
      </c>
      <c r="O608">
        <v>1.82</v>
      </c>
      <c r="P608">
        <v>58</v>
      </c>
      <c r="Q608">
        <v>170</v>
      </c>
      <c r="R608">
        <v>170</v>
      </c>
      <c r="S608">
        <v>280</v>
      </c>
      <c r="T608">
        <v>25</v>
      </c>
      <c r="U608">
        <v>39</v>
      </c>
      <c r="V608">
        <f>River_data[[#This Row],[Dissolved Oxygen Min]]*River_data[[#This Row],[Dissolved Oxygen Max]]/2</f>
        <v>17.16</v>
      </c>
      <c r="W608">
        <f>River_data[[#This Row],[BOD Min]]*River_data[[#This Row],[BOD Max]]/2</f>
        <v>1.1499999999999999</v>
      </c>
      <c r="X608">
        <f>AVERAGE(River_data[[#This Row],[pH Max]]-River_data[[#This Row],[pH Min]])</f>
        <v>0.59999999999999964</v>
      </c>
    </row>
    <row r="609" spans="1:24" x14ac:dyDescent="0.3">
      <c r="A609">
        <v>4167</v>
      </c>
      <c r="B609" s="1" t="s">
        <v>623</v>
      </c>
      <c r="C609" s="1" t="s">
        <v>359</v>
      </c>
      <c r="D609">
        <v>19</v>
      </c>
      <c r="E609">
        <v>23</v>
      </c>
      <c r="F609">
        <v>4.7</v>
      </c>
      <c r="G609">
        <v>5.9</v>
      </c>
      <c r="H609">
        <v>7.8</v>
      </c>
      <c r="I609">
        <v>8.6999999999999993</v>
      </c>
      <c r="J609">
        <v>499</v>
      </c>
      <c r="K609">
        <v>876</v>
      </c>
      <c r="L609">
        <v>1.3</v>
      </c>
      <c r="M609">
        <v>2.2999999999999998</v>
      </c>
      <c r="N609">
        <v>1.1200000000000001</v>
      </c>
      <c r="O609">
        <v>3.52</v>
      </c>
      <c r="P609">
        <v>130</v>
      </c>
      <c r="Q609">
        <v>350</v>
      </c>
      <c r="R609">
        <v>220</v>
      </c>
      <c r="S609">
        <v>540</v>
      </c>
      <c r="T609">
        <v>31</v>
      </c>
      <c r="U609">
        <v>49</v>
      </c>
      <c r="V609">
        <f>River_data[[#This Row],[Dissolved Oxygen Min]]*River_data[[#This Row],[Dissolved Oxygen Max]]/2</f>
        <v>13.865000000000002</v>
      </c>
      <c r="W609">
        <f>River_data[[#This Row],[BOD Min]]*River_data[[#This Row],[BOD Max]]/2</f>
        <v>1.4949999999999999</v>
      </c>
      <c r="X609">
        <f>AVERAGE(River_data[[#This Row],[pH Max]]-River_data[[#This Row],[pH Min]])</f>
        <v>0.89999999999999947</v>
      </c>
    </row>
    <row r="610" spans="1:24" x14ac:dyDescent="0.3">
      <c r="A610">
        <v>2952</v>
      </c>
      <c r="B610" s="1" t="s">
        <v>624</v>
      </c>
      <c r="C610" s="1" t="s">
        <v>359</v>
      </c>
      <c r="D610">
        <v>19</v>
      </c>
      <c r="E610">
        <v>29</v>
      </c>
      <c r="F610">
        <v>0.6</v>
      </c>
      <c r="G610">
        <v>5.2</v>
      </c>
      <c r="H610">
        <v>7.8</v>
      </c>
      <c r="I610">
        <v>9.4</v>
      </c>
      <c r="J610">
        <v>1434</v>
      </c>
      <c r="K610">
        <v>2440</v>
      </c>
      <c r="L610">
        <v>3.6</v>
      </c>
      <c r="M610">
        <v>16</v>
      </c>
      <c r="N610">
        <v>1.1200000000000001</v>
      </c>
      <c r="O610">
        <v>5.13</v>
      </c>
      <c r="P610">
        <v>70</v>
      </c>
      <c r="Q610">
        <v>350</v>
      </c>
      <c r="R610">
        <v>430</v>
      </c>
      <c r="S610">
        <v>1600</v>
      </c>
      <c r="T610">
        <v>7</v>
      </c>
      <c r="U610">
        <v>63</v>
      </c>
      <c r="V610">
        <f>River_data[[#This Row],[Dissolved Oxygen Min]]*River_data[[#This Row],[Dissolved Oxygen Max]]/2</f>
        <v>1.56</v>
      </c>
      <c r="W610">
        <f>River_data[[#This Row],[BOD Min]]*River_data[[#This Row],[BOD Max]]/2</f>
        <v>28.8</v>
      </c>
      <c r="X610">
        <f>AVERAGE(River_data[[#This Row],[pH Max]]-River_data[[#This Row],[pH Min]])</f>
        <v>1.6000000000000005</v>
      </c>
    </row>
    <row r="611" spans="1:24" x14ac:dyDescent="0.3">
      <c r="A611">
        <v>4790</v>
      </c>
      <c r="B611" s="1" t="s">
        <v>625</v>
      </c>
      <c r="C611" s="1" t="s">
        <v>359</v>
      </c>
      <c r="D611">
        <v>20</v>
      </c>
      <c r="E611">
        <v>31</v>
      </c>
      <c r="F611">
        <v>4.2</v>
      </c>
      <c r="G611">
        <v>5.8</v>
      </c>
      <c r="H611">
        <v>8</v>
      </c>
      <c r="I611">
        <v>9.4</v>
      </c>
      <c r="J611">
        <v>490</v>
      </c>
      <c r="K611">
        <v>754</v>
      </c>
      <c r="L611">
        <v>1.9</v>
      </c>
      <c r="M611">
        <v>4.0999999999999996</v>
      </c>
      <c r="N611">
        <v>1.1200000000000001</v>
      </c>
      <c r="O611">
        <v>2.42</v>
      </c>
      <c r="P611">
        <v>130</v>
      </c>
      <c r="Q611">
        <v>240</v>
      </c>
      <c r="R611">
        <v>240</v>
      </c>
      <c r="S611">
        <v>430</v>
      </c>
      <c r="T611">
        <v>26</v>
      </c>
      <c r="U611">
        <v>47</v>
      </c>
      <c r="V611">
        <f>River_data[[#This Row],[Dissolved Oxygen Min]]*River_data[[#This Row],[Dissolved Oxygen Max]]/2</f>
        <v>12.18</v>
      </c>
      <c r="W611">
        <f>River_data[[#This Row],[BOD Min]]*River_data[[#This Row],[BOD Max]]/2</f>
        <v>3.8949999999999996</v>
      </c>
      <c r="X611">
        <f>AVERAGE(River_data[[#This Row],[pH Max]]-River_data[[#This Row],[pH Min]])</f>
        <v>1.4000000000000004</v>
      </c>
    </row>
    <row r="612" spans="1:24" x14ac:dyDescent="0.3">
      <c r="A612">
        <v>4770</v>
      </c>
      <c r="B612" s="1" t="s">
        <v>626</v>
      </c>
      <c r="C612" s="1" t="s">
        <v>359</v>
      </c>
      <c r="D612">
        <v>18.5</v>
      </c>
      <c r="E612">
        <v>22</v>
      </c>
      <c r="F612">
        <v>4.5999999999999996</v>
      </c>
      <c r="G612">
        <v>6.5</v>
      </c>
      <c r="H612">
        <v>7.5</v>
      </c>
      <c r="I612">
        <v>9.9</v>
      </c>
      <c r="J612">
        <v>237</v>
      </c>
      <c r="K612">
        <v>623</v>
      </c>
      <c r="L612">
        <v>1.4</v>
      </c>
      <c r="M612">
        <v>2.5</v>
      </c>
      <c r="N612">
        <v>0.52</v>
      </c>
      <c r="O612">
        <v>1.94</v>
      </c>
      <c r="P612">
        <v>110</v>
      </c>
      <c r="Q612">
        <v>280</v>
      </c>
      <c r="R612">
        <v>280</v>
      </c>
      <c r="S612">
        <v>540</v>
      </c>
      <c r="T612">
        <v>33</v>
      </c>
      <c r="U612">
        <v>120</v>
      </c>
      <c r="V612">
        <f>River_data[[#This Row],[Dissolved Oxygen Min]]*River_data[[#This Row],[Dissolved Oxygen Max]]/2</f>
        <v>14.95</v>
      </c>
      <c r="W612">
        <f>River_data[[#This Row],[BOD Min]]*River_data[[#This Row],[BOD Max]]/2</f>
        <v>1.75</v>
      </c>
      <c r="X612">
        <f>AVERAGE(River_data[[#This Row],[pH Max]]-River_data[[#This Row],[pH Min]])</f>
        <v>2.4000000000000004</v>
      </c>
    </row>
    <row r="613" spans="1:24" x14ac:dyDescent="0.3">
      <c r="A613">
        <v>5468</v>
      </c>
      <c r="B613" s="1" t="s">
        <v>627</v>
      </c>
      <c r="C613" s="1" t="s">
        <v>359</v>
      </c>
      <c r="D613">
        <v>20.5</v>
      </c>
      <c r="E613">
        <v>23.5</v>
      </c>
      <c r="F613">
        <v>4.2</v>
      </c>
      <c r="G613">
        <v>5.9</v>
      </c>
      <c r="H613">
        <v>8</v>
      </c>
      <c r="I613">
        <v>9.4</v>
      </c>
      <c r="J613">
        <v>761</v>
      </c>
      <c r="K613">
        <v>988</v>
      </c>
      <c r="L613">
        <v>1.8</v>
      </c>
      <c r="M613">
        <v>3.6</v>
      </c>
      <c r="N613">
        <v>0.62</v>
      </c>
      <c r="O613">
        <v>2.12</v>
      </c>
      <c r="P613">
        <v>210</v>
      </c>
      <c r="Q613">
        <v>350</v>
      </c>
      <c r="R613">
        <v>350</v>
      </c>
      <c r="S613">
        <v>540</v>
      </c>
      <c r="T613">
        <v>31</v>
      </c>
      <c r="U613">
        <v>84</v>
      </c>
      <c r="V613">
        <f>River_data[[#This Row],[Dissolved Oxygen Min]]*River_data[[#This Row],[Dissolved Oxygen Max]]/2</f>
        <v>12.39</v>
      </c>
      <c r="W613">
        <f>River_data[[#This Row],[BOD Min]]*River_data[[#This Row],[BOD Max]]/2</f>
        <v>3.24</v>
      </c>
      <c r="X613">
        <f>AVERAGE(River_data[[#This Row],[pH Max]]-River_data[[#This Row],[pH Min]])</f>
        <v>1.4000000000000004</v>
      </c>
    </row>
    <row r="614" spans="1:24" x14ac:dyDescent="0.3">
      <c r="A614">
        <v>4172</v>
      </c>
      <c r="B614" s="1" t="s">
        <v>628</v>
      </c>
      <c r="C614" s="1" t="s">
        <v>359</v>
      </c>
      <c r="D614">
        <v>17</v>
      </c>
      <c r="E614">
        <v>30</v>
      </c>
      <c r="F614">
        <v>4.2</v>
      </c>
      <c r="G614">
        <v>6.5</v>
      </c>
      <c r="H614">
        <v>7.1</v>
      </c>
      <c r="I614">
        <v>7.7</v>
      </c>
      <c r="J614">
        <v>720</v>
      </c>
      <c r="K614">
        <v>1023</v>
      </c>
      <c r="L614">
        <v>2</v>
      </c>
      <c r="M614">
        <v>2.9</v>
      </c>
      <c r="N614">
        <v>1.82</v>
      </c>
      <c r="O614">
        <v>2.95</v>
      </c>
      <c r="P614">
        <v>110</v>
      </c>
      <c r="Q614">
        <v>170</v>
      </c>
      <c r="R614">
        <v>170</v>
      </c>
      <c r="S614">
        <v>280</v>
      </c>
      <c r="T614">
        <v>21</v>
      </c>
      <c r="U614">
        <v>58</v>
      </c>
      <c r="V614">
        <f>River_data[[#This Row],[Dissolved Oxygen Min]]*River_data[[#This Row],[Dissolved Oxygen Max]]/2</f>
        <v>13.65</v>
      </c>
      <c r="W614">
        <f>River_data[[#This Row],[BOD Min]]*River_data[[#This Row],[BOD Max]]/2</f>
        <v>2.9</v>
      </c>
      <c r="X614">
        <f>AVERAGE(River_data[[#This Row],[pH Max]]-River_data[[#This Row],[pH Min]])</f>
        <v>0.60000000000000053</v>
      </c>
    </row>
    <row r="615" spans="1:24" x14ac:dyDescent="0.3">
      <c r="A615">
        <v>4175</v>
      </c>
      <c r="B615" s="1" t="s">
        <v>629</v>
      </c>
      <c r="C615" s="1" t="s">
        <v>359</v>
      </c>
      <c r="D615">
        <v>17</v>
      </c>
      <c r="E615">
        <v>30</v>
      </c>
      <c r="F615">
        <v>3.2</v>
      </c>
      <c r="G615">
        <v>6.2</v>
      </c>
      <c r="H615">
        <v>7.1</v>
      </c>
      <c r="I615">
        <v>7.9</v>
      </c>
      <c r="J615">
        <v>720</v>
      </c>
      <c r="K615">
        <v>1448</v>
      </c>
      <c r="L615">
        <v>2</v>
      </c>
      <c r="M615">
        <v>3.6</v>
      </c>
      <c r="N615">
        <v>1.82</v>
      </c>
      <c r="O615">
        <v>4.62</v>
      </c>
      <c r="P615">
        <v>110</v>
      </c>
      <c r="Q615">
        <v>170</v>
      </c>
      <c r="R615">
        <v>170</v>
      </c>
      <c r="S615">
        <v>280</v>
      </c>
      <c r="T615">
        <v>21</v>
      </c>
      <c r="U615">
        <v>34</v>
      </c>
      <c r="V615">
        <f>River_data[[#This Row],[Dissolved Oxygen Min]]*River_data[[#This Row],[Dissolved Oxygen Max]]/2</f>
        <v>9.9200000000000017</v>
      </c>
      <c r="W615">
        <f>River_data[[#This Row],[BOD Min]]*River_data[[#This Row],[BOD Max]]/2</f>
        <v>3.6</v>
      </c>
      <c r="X615">
        <f>AVERAGE(River_data[[#This Row],[pH Max]]-River_data[[#This Row],[pH Min]])</f>
        <v>0.80000000000000071</v>
      </c>
    </row>
    <row r="616" spans="1:24" x14ac:dyDescent="0.3">
      <c r="A616">
        <v>4804</v>
      </c>
      <c r="B616" s="1" t="s">
        <v>630</v>
      </c>
      <c r="C616" s="1" t="s">
        <v>359</v>
      </c>
      <c r="D616">
        <v>16</v>
      </c>
      <c r="E616">
        <v>30</v>
      </c>
      <c r="F616">
        <v>4.2</v>
      </c>
      <c r="G616">
        <v>6.6</v>
      </c>
      <c r="H616">
        <v>7.3</v>
      </c>
      <c r="I616">
        <v>8.1</v>
      </c>
      <c r="J616">
        <v>672</v>
      </c>
      <c r="K616">
        <v>902</v>
      </c>
      <c r="L616">
        <v>1</v>
      </c>
      <c r="M616">
        <v>3</v>
      </c>
      <c r="N616">
        <v>2.2200000000000002</v>
      </c>
      <c r="O616">
        <v>5.12</v>
      </c>
      <c r="P616">
        <v>84</v>
      </c>
      <c r="Q616">
        <v>220</v>
      </c>
      <c r="R616">
        <v>94</v>
      </c>
      <c r="S616">
        <v>500</v>
      </c>
      <c r="T616">
        <v>14</v>
      </c>
      <c r="U616">
        <v>140</v>
      </c>
      <c r="V616">
        <f>River_data[[#This Row],[Dissolved Oxygen Min]]*River_data[[#This Row],[Dissolved Oxygen Max]]/2</f>
        <v>13.86</v>
      </c>
      <c r="W616">
        <f>River_data[[#This Row],[BOD Min]]*River_data[[#This Row],[BOD Max]]/2</f>
        <v>1.5</v>
      </c>
      <c r="X616">
        <f>AVERAGE(River_data[[#This Row],[pH Max]]-River_data[[#This Row],[pH Min]])</f>
        <v>0.79999999999999982</v>
      </c>
    </row>
    <row r="617" spans="1:24" x14ac:dyDescent="0.3">
      <c r="A617">
        <v>4173</v>
      </c>
      <c r="B617" s="1" t="s">
        <v>631</v>
      </c>
      <c r="C617" s="1" t="s">
        <v>359</v>
      </c>
      <c r="D617">
        <v>16</v>
      </c>
      <c r="E617">
        <v>30</v>
      </c>
      <c r="F617">
        <v>4.0999999999999996</v>
      </c>
      <c r="G617">
        <v>6.9</v>
      </c>
      <c r="H617">
        <v>7.1</v>
      </c>
      <c r="I617">
        <v>7.9</v>
      </c>
      <c r="J617">
        <v>372</v>
      </c>
      <c r="K617">
        <v>682</v>
      </c>
      <c r="L617">
        <v>1</v>
      </c>
      <c r="M617">
        <v>2.2000000000000002</v>
      </c>
      <c r="N617">
        <v>1.82</v>
      </c>
      <c r="O617">
        <v>3.69</v>
      </c>
      <c r="P617">
        <v>90</v>
      </c>
      <c r="Q617">
        <v>170</v>
      </c>
      <c r="R617">
        <v>170</v>
      </c>
      <c r="S617">
        <v>300</v>
      </c>
      <c r="T617">
        <v>24</v>
      </c>
      <c r="U617">
        <v>70</v>
      </c>
      <c r="V617">
        <f>River_data[[#This Row],[Dissolved Oxygen Min]]*River_data[[#This Row],[Dissolved Oxygen Max]]/2</f>
        <v>14.145</v>
      </c>
      <c r="W617">
        <f>River_data[[#This Row],[BOD Min]]*River_data[[#This Row],[BOD Max]]/2</f>
        <v>1.1000000000000001</v>
      </c>
      <c r="X617">
        <f>AVERAGE(River_data[[#This Row],[pH Max]]-River_data[[#This Row],[pH Min]])</f>
        <v>0.80000000000000071</v>
      </c>
    </row>
    <row r="618" spans="1:24" x14ac:dyDescent="0.3">
      <c r="A618">
        <v>4174</v>
      </c>
      <c r="B618" s="1" t="s">
        <v>632</v>
      </c>
      <c r="C618" s="1" t="s">
        <v>359</v>
      </c>
      <c r="D618">
        <v>18</v>
      </c>
      <c r="E618">
        <v>30</v>
      </c>
      <c r="F618">
        <v>4</v>
      </c>
      <c r="G618">
        <v>6.6</v>
      </c>
      <c r="H618">
        <v>7.1</v>
      </c>
      <c r="I618">
        <v>7.9</v>
      </c>
      <c r="J618">
        <v>605</v>
      </c>
      <c r="K618">
        <v>945</v>
      </c>
      <c r="L618">
        <v>1.9</v>
      </c>
      <c r="M618">
        <v>3.5</v>
      </c>
      <c r="N618">
        <v>3.19</v>
      </c>
      <c r="O618">
        <v>7.01</v>
      </c>
      <c r="P618">
        <v>110</v>
      </c>
      <c r="Q618">
        <v>220</v>
      </c>
      <c r="R618">
        <v>150</v>
      </c>
      <c r="S618">
        <v>350</v>
      </c>
      <c r="T618">
        <v>24</v>
      </c>
      <c r="U618">
        <v>79</v>
      </c>
      <c r="V618">
        <f>River_data[[#This Row],[Dissolved Oxygen Min]]*River_data[[#This Row],[Dissolved Oxygen Max]]/2</f>
        <v>13.2</v>
      </c>
      <c r="W618">
        <f>River_data[[#This Row],[BOD Min]]*River_data[[#This Row],[BOD Max]]/2</f>
        <v>3.3249999999999997</v>
      </c>
      <c r="X618">
        <f>AVERAGE(River_data[[#This Row],[pH Max]]-River_data[[#This Row],[pH Min]])</f>
        <v>0.80000000000000071</v>
      </c>
    </row>
    <row r="619" spans="1:24" x14ac:dyDescent="0.3">
      <c r="A619">
        <v>2945</v>
      </c>
      <c r="B619" s="1" t="s">
        <v>633</v>
      </c>
      <c r="C619" s="1" t="s">
        <v>359</v>
      </c>
      <c r="D619">
        <v>20</v>
      </c>
      <c r="E619">
        <v>32</v>
      </c>
      <c r="F619">
        <v>5.0999999999999996</v>
      </c>
      <c r="G619">
        <v>6.2</v>
      </c>
      <c r="H619">
        <v>7.8</v>
      </c>
      <c r="I619">
        <v>8.5</v>
      </c>
      <c r="J619">
        <v>229</v>
      </c>
      <c r="K619">
        <v>439</v>
      </c>
      <c r="L619">
        <v>1</v>
      </c>
      <c r="M619">
        <v>2.2000000000000002</v>
      </c>
      <c r="N619">
        <v>0.82</v>
      </c>
      <c r="O619">
        <v>2.64</v>
      </c>
      <c r="P619">
        <v>110</v>
      </c>
      <c r="Q619">
        <v>170</v>
      </c>
      <c r="R619">
        <v>210</v>
      </c>
      <c r="S619">
        <v>350</v>
      </c>
      <c r="T619">
        <v>22</v>
      </c>
      <c r="U619">
        <v>34</v>
      </c>
      <c r="V619">
        <f>River_data[[#This Row],[Dissolved Oxygen Min]]*River_data[[#This Row],[Dissolved Oxygen Max]]/2</f>
        <v>15.809999999999999</v>
      </c>
      <c r="W619">
        <f>River_data[[#This Row],[BOD Min]]*River_data[[#This Row],[BOD Max]]/2</f>
        <v>1.1000000000000001</v>
      </c>
      <c r="X619">
        <f>AVERAGE(River_data[[#This Row],[pH Max]]-River_data[[#This Row],[pH Min]])</f>
        <v>0.70000000000000018</v>
      </c>
    </row>
    <row r="620" spans="1:24" x14ac:dyDescent="0.3">
      <c r="A620">
        <v>2946</v>
      </c>
      <c r="B620" s="1" t="s">
        <v>634</v>
      </c>
      <c r="C620" s="1" t="s">
        <v>359</v>
      </c>
      <c r="D620">
        <v>20</v>
      </c>
      <c r="E620">
        <v>32</v>
      </c>
      <c r="F620">
        <v>4.0999999999999996</v>
      </c>
      <c r="G620">
        <v>5.9</v>
      </c>
      <c r="H620">
        <v>7.6</v>
      </c>
      <c r="I620">
        <v>8.5</v>
      </c>
      <c r="J620">
        <v>247</v>
      </c>
      <c r="K620">
        <v>448</v>
      </c>
      <c r="L620">
        <v>1</v>
      </c>
      <c r="M620">
        <v>2</v>
      </c>
      <c r="N620">
        <v>0.82</v>
      </c>
      <c r="O620">
        <v>3.93</v>
      </c>
      <c r="P620">
        <v>79</v>
      </c>
      <c r="Q620">
        <v>170</v>
      </c>
      <c r="R620">
        <v>150</v>
      </c>
      <c r="S620">
        <v>280</v>
      </c>
      <c r="T620">
        <v>21</v>
      </c>
      <c r="U620">
        <v>31</v>
      </c>
      <c r="V620">
        <f>River_data[[#This Row],[Dissolved Oxygen Min]]*River_data[[#This Row],[Dissolved Oxygen Max]]/2</f>
        <v>12.094999999999999</v>
      </c>
      <c r="W620">
        <f>River_data[[#This Row],[BOD Min]]*River_data[[#This Row],[BOD Max]]/2</f>
        <v>1</v>
      </c>
      <c r="X620">
        <f>AVERAGE(River_data[[#This Row],[pH Max]]-River_data[[#This Row],[pH Min]])</f>
        <v>0.90000000000000036</v>
      </c>
    </row>
    <row r="621" spans="1:24" x14ac:dyDescent="0.3">
      <c r="A621">
        <v>2869</v>
      </c>
      <c r="B621" s="1" t="s">
        <v>635</v>
      </c>
      <c r="C621" s="1" t="s">
        <v>606</v>
      </c>
      <c r="D621">
        <v>19</v>
      </c>
      <c r="E621">
        <v>22</v>
      </c>
      <c r="F621">
        <v>7.2</v>
      </c>
      <c r="G621">
        <v>7.5</v>
      </c>
      <c r="H621">
        <v>7.3</v>
      </c>
      <c r="I621">
        <v>7.3</v>
      </c>
      <c r="J621">
        <v>210</v>
      </c>
      <c r="K621">
        <v>262</v>
      </c>
      <c r="L621">
        <v>3</v>
      </c>
      <c r="M621">
        <v>3.3</v>
      </c>
      <c r="N621">
        <v>0</v>
      </c>
      <c r="O621">
        <v>0</v>
      </c>
      <c r="P621">
        <v>10</v>
      </c>
      <c r="Q621">
        <v>30</v>
      </c>
      <c r="R621">
        <v>45</v>
      </c>
      <c r="S621">
        <v>80</v>
      </c>
      <c r="V621">
        <f>River_data[[#This Row],[Dissolved Oxygen Min]]*River_data[[#This Row],[Dissolved Oxygen Max]]/2</f>
        <v>27</v>
      </c>
      <c r="W621">
        <f>River_data[[#This Row],[BOD Min]]*River_data[[#This Row],[BOD Max]]/2</f>
        <v>4.9499999999999993</v>
      </c>
      <c r="X621">
        <f>AVERAGE(River_data[[#This Row],[pH Max]]-River_data[[#This Row],[pH Min]])</f>
        <v>0</v>
      </c>
    </row>
    <row r="622" spans="1:24" x14ac:dyDescent="0.3">
      <c r="A622">
        <v>2875</v>
      </c>
      <c r="B622" s="1" t="s">
        <v>636</v>
      </c>
      <c r="C622" s="1" t="s">
        <v>606</v>
      </c>
      <c r="D622">
        <v>18</v>
      </c>
      <c r="E622">
        <v>23</v>
      </c>
      <c r="F622">
        <v>7</v>
      </c>
      <c r="G622">
        <v>7.4</v>
      </c>
      <c r="H622">
        <v>7.1</v>
      </c>
      <c r="I622">
        <v>7.3</v>
      </c>
      <c r="J622">
        <v>140</v>
      </c>
      <c r="K622">
        <v>184</v>
      </c>
      <c r="L622">
        <v>3.1</v>
      </c>
      <c r="M622">
        <v>3.3</v>
      </c>
      <c r="N622">
        <v>0</v>
      </c>
      <c r="O622">
        <v>0</v>
      </c>
      <c r="P622">
        <v>15</v>
      </c>
      <c r="Q622">
        <v>25</v>
      </c>
      <c r="R622">
        <v>40</v>
      </c>
      <c r="S622">
        <v>45</v>
      </c>
      <c r="V622">
        <f>River_data[[#This Row],[Dissolved Oxygen Min]]*River_data[[#This Row],[Dissolved Oxygen Max]]/2</f>
        <v>25.900000000000002</v>
      </c>
      <c r="W622">
        <f>River_data[[#This Row],[BOD Min]]*River_data[[#This Row],[BOD Max]]/2</f>
        <v>5.1150000000000002</v>
      </c>
      <c r="X622">
        <f>AVERAGE(River_data[[#This Row],[pH Max]]-River_data[[#This Row],[pH Min]])</f>
        <v>0.20000000000000018</v>
      </c>
    </row>
    <row r="623" spans="1:24" x14ac:dyDescent="0.3">
      <c r="A623">
        <v>1423</v>
      </c>
      <c r="B623" s="1" t="s">
        <v>637</v>
      </c>
      <c r="C623" s="1" t="s">
        <v>567</v>
      </c>
      <c r="D623">
        <v>20</v>
      </c>
      <c r="E623">
        <v>23</v>
      </c>
      <c r="F623">
        <v>6</v>
      </c>
      <c r="G623">
        <v>6.3</v>
      </c>
      <c r="H623">
        <v>6.8</v>
      </c>
      <c r="I623">
        <v>7.4</v>
      </c>
      <c r="J623">
        <v>102</v>
      </c>
      <c r="K623">
        <v>134</v>
      </c>
      <c r="L623">
        <v>2.1</v>
      </c>
      <c r="M623">
        <v>2.7</v>
      </c>
      <c r="N623">
        <v>0.6</v>
      </c>
      <c r="O623">
        <v>1.2</v>
      </c>
      <c r="P623">
        <v>620</v>
      </c>
      <c r="Q623">
        <v>940</v>
      </c>
      <c r="R623">
        <v>1400</v>
      </c>
      <c r="S623">
        <v>2000</v>
      </c>
      <c r="T623">
        <v>210</v>
      </c>
      <c r="U623">
        <v>290</v>
      </c>
      <c r="V623">
        <f>River_data[[#This Row],[Dissolved Oxygen Min]]*River_data[[#This Row],[Dissolved Oxygen Max]]/2</f>
        <v>18.899999999999999</v>
      </c>
      <c r="W623">
        <f>River_data[[#This Row],[BOD Min]]*River_data[[#This Row],[BOD Max]]/2</f>
        <v>2.8350000000000004</v>
      </c>
      <c r="X623">
        <f>AVERAGE(River_data[[#This Row],[pH Max]]-River_data[[#This Row],[pH Min]])</f>
        <v>0.60000000000000053</v>
      </c>
    </row>
    <row r="624" spans="1:24" x14ac:dyDescent="0.3">
      <c r="A624">
        <v>4649</v>
      </c>
      <c r="B624" s="1" t="s">
        <v>638</v>
      </c>
      <c r="C624" s="1" t="s">
        <v>639</v>
      </c>
      <c r="D624">
        <v>21</v>
      </c>
      <c r="E624">
        <v>31</v>
      </c>
      <c r="F624">
        <v>5.2</v>
      </c>
      <c r="G624">
        <v>6.4</v>
      </c>
      <c r="H624">
        <v>6.9</v>
      </c>
      <c r="I624">
        <v>7.6</v>
      </c>
      <c r="J624">
        <v>134</v>
      </c>
      <c r="K624">
        <v>191</v>
      </c>
      <c r="L624">
        <v>1.2</v>
      </c>
      <c r="M624">
        <v>2.1</v>
      </c>
      <c r="N624">
        <v>0.9</v>
      </c>
      <c r="O624">
        <v>2.7</v>
      </c>
      <c r="P624">
        <v>33</v>
      </c>
      <c r="Q624">
        <v>63</v>
      </c>
      <c r="R624">
        <v>110</v>
      </c>
      <c r="S624">
        <v>280</v>
      </c>
      <c r="V624">
        <f>River_data[[#This Row],[Dissolved Oxygen Min]]*River_data[[#This Row],[Dissolved Oxygen Max]]/2</f>
        <v>16.64</v>
      </c>
      <c r="W624">
        <f>River_data[[#This Row],[BOD Min]]*River_data[[#This Row],[BOD Max]]/2</f>
        <v>1.26</v>
      </c>
      <c r="X624">
        <f>AVERAGE(River_data[[#This Row],[pH Max]]-River_data[[#This Row],[pH Min]])</f>
        <v>0.69999999999999929</v>
      </c>
    </row>
    <row r="625" spans="1:24" x14ac:dyDescent="0.3">
      <c r="A625">
        <v>4650</v>
      </c>
      <c r="B625" s="1" t="s">
        <v>640</v>
      </c>
      <c r="C625" s="1" t="s">
        <v>639</v>
      </c>
      <c r="D625">
        <v>21</v>
      </c>
      <c r="E625">
        <v>30.5</v>
      </c>
      <c r="F625">
        <v>5.2</v>
      </c>
      <c r="G625">
        <v>6.2</v>
      </c>
      <c r="H625">
        <v>6.6</v>
      </c>
      <c r="I625">
        <v>7.2</v>
      </c>
      <c r="J625">
        <v>142</v>
      </c>
      <c r="K625">
        <v>189</v>
      </c>
      <c r="L625">
        <v>1.1000000000000001</v>
      </c>
      <c r="M625">
        <v>1.9</v>
      </c>
      <c r="N625">
        <v>0.9</v>
      </c>
      <c r="O625">
        <v>2.4</v>
      </c>
      <c r="P625">
        <v>27</v>
      </c>
      <c r="Q625">
        <v>58</v>
      </c>
      <c r="R625">
        <v>94</v>
      </c>
      <c r="S625">
        <v>240</v>
      </c>
      <c r="V625">
        <f>River_data[[#This Row],[Dissolved Oxygen Min]]*River_data[[#This Row],[Dissolved Oxygen Max]]/2</f>
        <v>16.12</v>
      </c>
      <c r="W625">
        <f>River_data[[#This Row],[BOD Min]]*River_data[[#This Row],[BOD Max]]/2</f>
        <v>1.0449999999999999</v>
      </c>
      <c r="X625">
        <f>AVERAGE(River_data[[#This Row],[pH Max]]-River_data[[#This Row],[pH Min]])</f>
        <v>0.60000000000000053</v>
      </c>
    </row>
    <row r="626" spans="1:24" x14ac:dyDescent="0.3">
      <c r="A626">
        <v>2877</v>
      </c>
      <c r="B626" s="1" t="s">
        <v>641</v>
      </c>
      <c r="C626" s="1" t="s">
        <v>606</v>
      </c>
      <c r="D626">
        <v>19</v>
      </c>
      <c r="E626">
        <v>22</v>
      </c>
      <c r="F626">
        <v>7.2</v>
      </c>
      <c r="G626">
        <v>7.4</v>
      </c>
      <c r="H626">
        <v>7.1</v>
      </c>
      <c r="I626">
        <v>7.3</v>
      </c>
      <c r="J626">
        <v>170</v>
      </c>
      <c r="K626">
        <v>190</v>
      </c>
      <c r="L626">
        <v>3</v>
      </c>
      <c r="M626">
        <v>3.3</v>
      </c>
      <c r="N626">
        <v>0</v>
      </c>
      <c r="O626">
        <v>0</v>
      </c>
      <c r="P626">
        <v>20</v>
      </c>
      <c r="Q626">
        <v>25</v>
      </c>
      <c r="R626">
        <v>55</v>
      </c>
      <c r="S626">
        <v>65</v>
      </c>
      <c r="V626">
        <f>River_data[[#This Row],[Dissolved Oxygen Min]]*River_data[[#This Row],[Dissolved Oxygen Max]]/2</f>
        <v>26.64</v>
      </c>
      <c r="W626">
        <f>River_data[[#This Row],[BOD Min]]*River_data[[#This Row],[BOD Max]]/2</f>
        <v>4.9499999999999993</v>
      </c>
      <c r="X626">
        <f>AVERAGE(River_data[[#This Row],[pH Max]]-River_data[[#This Row],[pH Min]])</f>
        <v>0.20000000000000018</v>
      </c>
    </row>
    <row r="627" spans="1:24" x14ac:dyDescent="0.3">
      <c r="A627">
        <v>2878</v>
      </c>
      <c r="B627" s="1" t="s">
        <v>642</v>
      </c>
      <c r="C627" s="1" t="s">
        <v>606</v>
      </c>
      <c r="D627">
        <v>19</v>
      </c>
      <c r="E627">
        <v>28</v>
      </c>
      <c r="F627">
        <v>7.1</v>
      </c>
      <c r="G627">
        <v>7.5</v>
      </c>
      <c r="H627">
        <v>7</v>
      </c>
      <c r="I627">
        <v>7.4</v>
      </c>
      <c r="J627">
        <v>150</v>
      </c>
      <c r="K627">
        <v>190</v>
      </c>
      <c r="L627">
        <v>3.2</v>
      </c>
      <c r="M627">
        <v>3.5</v>
      </c>
      <c r="N627">
        <v>0</v>
      </c>
      <c r="O627">
        <v>140</v>
      </c>
      <c r="P627">
        <v>40</v>
      </c>
      <c r="Q627">
        <v>65</v>
      </c>
      <c r="R627">
        <v>45</v>
      </c>
      <c r="S627">
        <v>155</v>
      </c>
      <c r="V627">
        <f>River_data[[#This Row],[Dissolved Oxygen Min]]*River_data[[#This Row],[Dissolved Oxygen Max]]/2</f>
        <v>26.625</v>
      </c>
      <c r="W627">
        <f>River_data[[#This Row],[BOD Min]]*River_data[[#This Row],[BOD Max]]/2</f>
        <v>5.6000000000000005</v>
      </c>
      <c r="X627">
        <f>AVERAGE(River_data[[#This Row],[pH Max]]-River_data[[#This Row],[pH Min]])</f>
        <v>0.40000000000000036</v>
      </c>
    </row>
    <row r="628" spans="1:24" x14ac:dyDescent="0.3">
      <c r="A628">
        <v>2242</v>
      </c>
      <c r="B628" s="1" t="s">
        <v>643</v>
      </c>
      <c r="C628" s="1" t="s">
        <v>567</v>
      </c>
      <c r="D628">
        <v>20</v>
      </c>
      <c r="E628">
        <v>24</v>
      </c>
      <c r="F628">
        <v>5.2</v>
      </c>
      <c r="G628">
        <v>6.8</v>
      </c>
      <c r="H628">
        <v>7</v>
      </c>
      <c r="I628">
        <v>7.3</v>
      </c>
      <c r="J628">
        <v>84</v>
      </c>
      <c r="K628">
        <v>108</v>
      </c>
      <c r="L628">
        <v>2</v>
      </c>
      <c r="M628">
        <v>2.5</v>
      </c>
      <c r="N628">
        <v>0.6</v>
      </c>
      <c r="O628">
        <v>1.3</v>
      </c>
      <c r="P628">
        <v>360</v>
      </c>
      <c r="Q628">
        <v>730</v>
      </c>
      <c r="R628">
        <v>910</v>
      </c>
      <c r="S628">
        <v>1600</v>
      </c>
      <c r="T628">
        <v>120</v>
      </c>
      <c r="U628">
        <v>290</v>
      </c>
      <c r="V628">
        <f>River_data[[#This Row],[Dissolved Oxygen Min]]*River_data[[#This Row],[Dissolved Oxygen Max]]/2</f>
        <v>17.68</v>
      </c>
      <c r="W628">
        <f>River_data[[#This Row],[BOD Min]]*River_data[[#This Row],[BOD Max]]/2</f>
        <v>2.5</v>
      </c>
      <c r="X628">
        <f>AVERAGE(River_data[[#This Row],[pH Max]]-River_data[[#This Row],[pH Min]])</f>
        <v>0.29999999999999982</v>
      </c>
    </row>
    <row r="629" spans="1:24" x14ac:dyDescent="0.3">
      <c r="A629">
        <v>1925</v>
      </c>
      <c r="B629" s="1" t="s">
        <v>644</v>
      </c>
      <c r="C629" s="1" t="s">
        <v>606</v>
      </c>
      <c r="D629">
        <v>19</v>
      </c>
      <c r="E629">
        <v>24</v>
      </c>
      <c r="F629">
        <v>5.4</v>
      </c>
      <c r="G629">
        <v>7.3</v>
      </c>
      <c r="H629">
        <v>7.1</v>
      </c>
      <c r="I629">
        <v>7.2</v>
      </c>
      <c r="J629">
        <v>140</v>
      </c>
      <c r="K629">
        <v>574</v>
      </c>
      <c r="L629">
        <v>3.2</v>
      </c>
      <c r="M629">
        <v>4.5999999999999996</v>
      </c>
      <c r="N629">
        <v>0</v>
      </c>
      <c r="O629">
        <v>0</v>
      </c>
      <c r="P629">
        <v>60</v>
      </c>
      <c r="Q629">
        <v>230</v>
      </c>
      <c r="R629">
        <v>195</v>
      </c>
      <c r="S629">
        <v>780</v>
      </c>
      <c r="V629">
        <f>River_data[[#This Row],[Dissolved Oxygen Min]]*River_data[[#This Row],[Dissolved Oxygen Max]]/2</f>
        <v>19.71</v>
      </c>
      <c r="W629">
        <f>River_data[[#This Row],[BOD Min]]*River_data[[#This Row],[BOD Max]]/2</f>
        <v>7.3599999999999994</v>
      </c>
      <c r="X629">
        <f>AVERAGE(River_data[[#This Row],[pH Max]]-River_data[[#This Row],[pH Min]])</f>
        <v>0.10000000000000053</v>
      </c>
    </row>
    <row r="630" spans="1:24" x14ac:dyDescent="0.3">
      <c r="A630">
        <v>2880</v>
      </c>
      <c r="B630" s="1" t="s">
        <v>645</v>
      </c>
      <c r="C630" s="1" t="s">
        <v>606</v>
      </c>
      <c r="D630">
        <v>18</v>
      </c>
      <c r="E630">
        <v>29</v>
      </c>
      <c r="F630">
        <v>7.1</v>
      </c>
      <c r="G630">
        <v>7.4</v>
      </c>
      <c r="H630">
        <v>7</v>
      </c>
      <c r="I630">
        <v>7.4</v>
      </c>
      <c r="J630">
        <v>162</v>
      </c>
      <c r="K630">
        <v>215</v>
      </c>
      <c r="L630">
        <v>3.3</v>
      </c>
      <c r="M630">
        <v>3.4</v>
      </c>
      <c r="N630">
        <v>0</v>
      </c>
      <c r="O630">
        <v>0</v>
      </c>
      <c r="P630">
        <v>70</v>
      </c>
      <c r="Q630">
        <v>105</v>
      </c>
      <c r="R630">
        <v>165</v>
      </c>
      <c r="S630">
        <v>230</v>
      </c>
      <c r="V630">
        <f>River_data[[#This Row],[Dissolved Oxygen Min]]*River_data[[#This Row],[Dissolved Oxygen Max]]/2</f>
        <v>26.27</v>
      </c>
      <c r="W630">
        <f>River_data[[#This Row],[BOD Min]]*River_data[[#This Row],[BOD Max]]/2</f>
        <v>5.6099999999999994</v>
      </c>
      <c r="X630">
        <f>AVERAGE(River_data[[#This Row],[pH Max]]-River_data[[#This Row],[pH Min]])</f>
        <v>0.40000000000000036</v>
      </c>
    </row>
    <row r="631" spans="1:24" x14ac:dyDescent="0.3">
      <c r="A631">
        <v>3107</v>
      </c>
      <c r="B631" s="1" t="s">
        <v>646</v>
      </c>
      <c r="C631" s="1" t="s">
        <v>647</v>
      </c>
      <c r="D631">
        <v>19.399999999999999</v>
      </c>
      <c r="E631">
        <v>27.6</v>
      </c>
      <c r="F631">
        <v>6.9</v>
      </c>
      <c r="G631">
        <v>9.8000000000000007</v>
      </c>
      <c r="H631">
        <v>7.4</v>
      </c>
      <c r="I631">
        <v>8.1</v>
      </c>
      <c r="J631">
        <v>79</v>
      </c>
      <c r="K631">
        <v>428</v>
      </c>
      <c r="L631">
        <v>1</v>
      </c>
      <c r="M631">
        <v>2</v>
      </c>
      <c r="N631">
        <v>0</v>
      </c>
      <c r="O631">
        <v>0</v>
      </c>
      <c r="V631">
        <f>River_data[[#This Row],[Dissolved Oxygen Min]]*River_data[[#This Row],[Dissolved Oxygen Max]]/2</f>
        <v>33.81</v>
      </c>
      <c r="W631">
        <f>River_data[[#This Row],[BOD Min]]*River_data[[#This Row],[BOD Max]]/2</f>
        <v>1</v>
      </c>
      <c r="X631">
        <f>AVERAGE(River_data[[#This Row],[pH Max]]-River_data[[#This Row],[pH Min]])</f>
        <v>0.69999999999999929</v>
      </c>
    </row>
    <row r="632" spans="1:24" x14ac:dyDescent="0.3">
      <c r="A632">
        <v>3095</v>
      </c>
      <c r="B632" s="1" t="s">
        <v>648</v>
      </c>
      <c r="C632" s="1" t="s">
        <v>647</v>
      </c>
      <c r="D632">
        <v>20.3</v>
      </c>
      <c r="E632">
        <v>29.4</v>
      </c>
      <c r="F632">
        <v>6.2</v>
      </c>
      <c r="G632">
        <v>8.9</v>
      </c>
      <c r="H632">
        <v>7</v>
      </c>
      <c r="I632">
        <v>8.8000000000000007</v>
      </c>
      <c r="J632">
        <v>57</v>
      </c>
      <c r="K632">
        <v>296</v>
      </c>
      <c r="L632">
        <v>1</v>
      </c>
      <c r="M632">
        <v>2.6</v>
      </c>
      <c r="N632">
        <v>0</v>
      </c>
      <c r="O632">
        <v>0</v>
      </c>
      <c r="V632">
        <f>River_data[[#This Row],[Dissolved Oxygen Min]]*River_data[[#This Row],[Dissolved Oxygen Max]]/2</f>
        <v>27.590000000000003</v>
      </c>
      <c r="W632">
        <f>River_data[[#This Row],[BOD Min]]*River_data[[#This Row],[BOD Max]]/2</f>
        <v>1.3</v>
      </c>
      <c r="X632">
        <f>AVERAGE(River_data[[#This Row],[pH Max]]-River_data[[#This Row],[pH Min]])</f>
        <v>1.8000000000000007</v>
      </c>
    </row>
    <row r="633" spans="1:24" x14ac:dyDescent="0.3">
      <c r="A633">
        <v>3096</v>
      </c>
      <c r="B633" s="1" t="s">
        <v>649</v>
      </c>
      <c r="C633" s="1" t="s">
        <v>647</v>
      </c>
      <c r="D633">
        <v>21.4</v>
      </c>
      <c r="E633">
        <v>32.799999999999997</v>
      </c>
      <c r="F633">
        <v>6</v>
      </c>
      <c r="G633">
        <v>9.1999999999999993</v>
      </c>
      <c r="H633">
        <v>6.7</v>
      </c>
      <c r="I633">
        <v>8.6999999999999993</v>
      </c>
      <c r="J633">
        <v>65</v>
      </c>
      <c r="K633">
        <v>219</v>
      </c>
      <c r="L633">
        <v>1</v>
      </c>
      <c r="M633">
        <v>2.6</v>
      </c>
      <c r="N633">
        <v>0</v>
      </c>
      <c r="O633">
        <v>0</v>
      </c>
      <c r="V633">
        <f>River_data[[#This Row],[Dissolved Oxygen Min]]*River_data[[#This Row],[Dissolved Oxygen Max]]/2</f>
        <v>27.599999999999998</v>
      </c>
      <c r="W633">
        <f>River_data[[#This Row],[BOD Min]]*River_data[[#This Row],[BOD Max]]/2</f>
        <v>1.3</v>
      </c>
      <c r="X633">
        <f>AVERAGE(River_data[[#This Row],[pH Max]]-River_data[[#This Row],[pH Min]])</f>
        <v>1.9999999999999991</v>
      </c>
    </row>
    <row r="634" spans="1:24" x14ac:dyDescent="0.3">
      <c r="A634">
        <v>3777</v>
      </c>
      <c r="B634" s="1" t="s">
        <v>650</v>
      </c>
      <c r="C634" s="1" t="s">
        <v>567</v>
      </c>
      <c r="D634">
        <v>20</v>
      </c>
      <c r="E634">
        <v>33</v>
      </c>
      <c r="F634">
        <v>4.2</v>
      </c>
      <c r="G634">
        <v>5.8</v>
      </c>
      <c r="H634">
        <v>6.6</v>
      </c>
      <c r="I634">
        <v>7.6</v>
      </c>
      <c r="J634">
        <v>108</v>
      </c>
      <c r="K634">
        <v>208</v>
      </c>
      <c r="L634">
        <v>1.9</v>
      </c>
      <c r="M634">
        <v>2.8</v>
      </c>
      <c r="N634">
        <v>0.6</v>
      </c>
      <c r="O634">
        <v>1.3</v>
      </c>
      <c r="P634">
        <v>720</v>
      </c>
      <c r="Q634">
        <v>1100</v>
      </c>
      <c r="R634">
        <v>1500</v>
      </c>
      <c r="S634">
        <v>2800</v>
      </c>
      <c r="T634">
        <v>270</v>
      </c>
      <c r="U634">
        <v>390</v>
      </c>
      <c r="V634">
        <f>River_data[[#This Row],[Dissolved Oxygen Min]]*River_data[[#This Row],[Dissolved Oxygen Max]]/2</f>
        <v>12.18</v>
      </c>
      <c r="W634">
        <f>River_data[[#This Row],[BOD Min]]*River_data[[#This Row],[BOD Max]]/2</f>
        <v>2.6599999999999997</v>
      </c>
      <c r="X634">
        <f>AVERAGE(River_data[[#This Row],[pH Max]]-River_data[[#This Row],[pH Min]])</f>
        <v>1</v>
      </c>
    </row>
    <row r="635" spans="1:24" x14ac:dyDescent="0.3">
      <c r="A635">
        <v>3105</v>
      </c>
      <c r="B635" s="1" t="s">
        <v>651</v>
      </c>
      <c r="C635" s="1" t="s">
        <v>647</v>
      </c>
      <c r="D635">
        <v>22</v>
      </c>
      <c r="E635">
        <v>27.9</v>
      </c>
      <c r="F635">
        <v>6.4</v>
      </c>
      <c r="G635">
        <v>9.4</v>
      </c>
      <c r="H635">
        <v>7.1</v>
      </c>
      <c r="I635">
        <v>8.6</v>
      </c>
      <c r="J635">
        <v>85</v>
      </c>
      <c r="K635">
        <v>470</v>
      </c>
      <c r="L635">
        <v>1</v>
      </c>
      <c r="M635">
        <v>1</v>
      </c>
      <c r="N635">
        <v>0</v>
      </c>
      <c r="O635">
        <v>0</v>
      </c>
      <c r="V635">
        <f>River_data[[#This Row],[Dissolved Oxygen Min]]*River_data[[#This Row],[Dissolved Oxygen Max]]/2</f>
        <v>30.080000000000002</v>
      </c>
      <c r="W635">
        <f>River_data[[#This Row],[BOD Min]]*River_data[[#This Row],[BOD Max]]/2</f>
        <v>0.5</v>
      </c>
      <c r="X635">
        <f>AVERAGE(River_data[[#This Row],[pH Max]]-River_data[[#This Row],[pH Min]])</f>
        <v>1.5</v>
      </c>
    </row>
    <row r="636" spans="1:24" x14ac:dyDescent="0.3">
      <c r="A636">
        <v>1261</v>
      </c>
      <c r="B636" s="1" t="s">
        <v>652</v>
      </c>
      <c r="C636" s="1" t="s">
        <v>567</v>
      </c>
      <c r="D636">
        <v>22</v>
      </c>
      <c r="E636">
        <v>23</v>
      </c>
      <c r="F636">
        <v>6.2</v>
      </c>
      <c r="G636">
        <v>8.3000000000000007</v>
      </c>
      <c r="H636">
        <v>7</v>
      </c>
      <c r="I636">
        <v>7.6</v>
      </c>
      <c r="J636">
        <v>108</v>
      </c>
      <c r="K636">
        <v>138</v>
      </c>
      <c r="L636">
        <v>2</v>
      </c>
      <c r="M636">
        <v>2.4</v>
      </c>
      <c r="N636">
        <v>0.4</v>
      </c>
      <c r="O636">
        <v>1.6</v>
      </c>
      <c r="P636">
        <v>360</v>
      </c>
      <c r="Q636">
        <v>940</v>
      </c>
      <c r="R636">
        <v>910</v>
      </c>
      <c r="S636">
        <v>2100</v>
      </c>
      <c r="T636">
        <v>120</v>
      </c>
      <c r="U636">
        <v>290</v>
      </c>
      <c r="V636">
        <f>River_data[[#This Row],[Dissolved Oxygen Min]]*River_data[[#This Row],[Dissolved Oxygen Max]]/2</f>
        <v>25.730000000000004</v>
      </c>
      <c r="W636">
        <f>River_data[[#This Row],[BOD Min]]*River_data[[#This Row],[BOD Max]]/2</f>
        <v>2.4</v>
      </c>
      <c r="X636">
        <f>AVERAGE(River_data[[#This Row],[pH Max]]-River_data[[#This Row],[pH Min]])</f>
        <v>0.59999999999999964</v>
      </c>
    </row>
    <row r="637" spans="1:24" x14ac:dyDescent="0.3">
      <c r="A637">
        <v>3097</v>
      </c>
      <c r="B637" s="1" t="s">
        <v>653</v>
      </c>
      <c r="C637" s="1" t="s">
        <v>647</v>
      </c>
      <c r="D637">
        <v>19</v>
      </c>
      <c r="E637">
        <v>27.5</v>
      </c>
      <c r="F637">
        <v>6.2</v>
      </c>
      <c r="G637">
        <v>9.6</v>
      </c>
      <c r="H637">
        <v>7</v>
      </c>
      <c r="I637">
        <v>7.9</v>
      </c>
      <c r="J637">
        <v>56</v>
      </c>
      <c r="K637">
        <v>1012</v>
      </c>
      <c r="L637">
        <v>1</v>
      </c>
      <c r="M637">
        <v>1</v>
      </c>
      <c r="N637">
        <v>0</v>
      </c>
      <c r="O637">
        <v>0</v>
      </c>
      <c r="V637">
        <f>River_data[[#This Row],[Dissolved Oxygen Min]]*River_data[[#This Row],[Dissolved Oxygen Max]]/2</f>
        <v>29.759999999999998</v>
      </c>
      <c r="W637">
        <f>River_data[[#This Row],[BOD Min]]*River_data[[#This Row],[BOD Max]]/2</f>
        <v>0.5</v>
      </c>
      <c r="X637">
        <f>AVERAGE(River_data[[#This Row],[pH Max]]-River_data[[#This Row],[pH Min]])</f>
        <v>0.90000000000000036</v>
      </c>
    </row>
    <row r="638" spans="1:24" x14ac:dyDescent="0.3">
      <c r="A638">
        <v>3098</v>
      </c>
      <c r="B638" s="1" t="s">
        <v>654</v>
      </c>
      <c r="C638" s="1" t="s">
        <v>647</v>
      </c>
      <c r="D638">
        <v>20</v>
      </c>
      <c r="E638">
        <v>28.1</v>
      </c>
      <c r="F638">
        <v>7.6</v>
      </c>
      <c r="G638">
        <v>9.8000000000000007</v>
      </c>
      <c r="H638">
        <v>7.4</v>
      </c>
      <c r="I638">
        <v>9.3000000000000007</v>
      </c>
      <c r="J638">
        <v>98</v>
      </c>
      <c r="K638">
        <v>1579</v>
      </c>
      <c r="L638">
        <v>1</v>
      </c>
      <c r="M638">
        <v>1</v>
      </c>
      <c r="N638">
        <v>0</v>
      </c>
      <c r="O638">
        <v>0</v>
      </c>
      <c r="V638">
        <f>River_data[[#This Row],[Dissolved Oxygen Min]]*River_data[[#This Row],[Dissolved Oxygen Max]]/2</f>
        <v>37.24</v>
      </c>
      <c r="W638">
        <f>River_data[[#This Row],[BOD Min]]*River_data[[#This Row],[BOD Max]]/2</f>
        <v>0.5</v>
      </c>
      <c r="X638">
        <f>AVERAGE(River_data[[#This Row],[pH Max]]-River_data[[#This Row],[pH Min]])</f>
        <v>1.9000000000000004</v>
      </c>
    </row>
    <row r="639" spans="1:24" x14ac:dyDescent="0.3">
      <c r="A639">
        <v>4342</v>
      </c>
      <c r="B639" s="1" t="s">
        <v>655</v>
      </c>
      <c r="C639" s="1" t="s">
        <v>567</v>
      </c>
      <c r="D639">
        <v>19</v>
      </c>
      <c r="E639">
        <v>36</v>
      </c>
      <c r="F639">
        <v>5.9</v>
      </c>
      <c r="G639">
        <v>8.5</v>
      </c>
      <c r="H639">
        <v>7.2</v>
      </c>
      <c r="I639">
        <v>7.9</v>
      </c>
      <c r="J639">
        <v>136</v>
      </c>
      <c r="K639">
        <v>176</v>
      </c>
      <c r="L639">
        <v>2.2000000000000002</v>
      </c>
      <c r="M639">
        <v>2.7</v>
      </c>
      <c r="N639">
        <v>0.6</v>
      </c>
      <c r="O639">
        <v>1.4</v>
      </c>
      <c r="P639">
        <v>620</v>
      </c>
      <c r="Q639">
        <v>1100</v>
      </c>
      <c r="R639">
        <v>1100</v>
      </c>
      <c r="S639">
        <v>2100</v>
      </c>
      <c r="T639">
        <v>210</v>
      </c>
      <c r="U639">
        <v>290</v>
      </c>
      <c r="V639">
        <f>River_data[[#This Row],[Dissolved Oxygen Min]]*River_data[[#This Row],[Dissolved Oxygen Max]]/2</f>
        <v>25.075000000000003</v>
      </c>
      <c r="W639">
        <f>River_data[[#This Row],[BOD Min]]*River_data[[#This Row],[BOD Max]]/2</f>
        <v>2.9700000000000006</v>
      </c>
      <c r="X639">
        <f>AVERAGE(River_data[[#This Row],[pH Max]]-River_data[[#This Row],[pH Min]])</f>
        <v>0.70000000000000018</v>
      </c>
    </row>
    <row r="640" spans="1:24" x14ac:dyDescent="0.3">
      <c r="A640">
        <v>4343</v>
      </c>
      <c r="B640" s="1" t="s">
        <v>656</v>
      </c>
      <c r="C640" s="1" t="s">
        <v>567</v>
      </c>
      <c r="D640">
        <v>20</v>
      </c>
      <c r="E640">
        <v>31</v>
      </c>
      <c r="F640">
        <v>5.0999999999999996</v>
      </c>
      <c r="G640">
        <v>9.5</v>
      </c>
      <c r="H640">
        <v>7</v>
      </c>
      <c r="I640">
        <v>8</v>
      </c>
      <c r="J640">
        <v>116</v>
      </c>
      <c r="K640">
        <v>140</v>
      </c>
      <c r="L640">
        <v>2.1</v>
      </c>
      <c r="M640">
        <v>2.6</v>
      </c>
      <c r="N640">
        <v>0.5</v>
      </c>
      <c r="O640">
        <v>1.8</v>
      </c>
      <c r="P640">
        <v>600</v>
      </c>
      <c r="Q640">
        <v>910</v>
      </c>
      <c r="R640">
        <v>1200</v>
      </c>
      <c r="S640">
        <v>2000</v>
      </c>
      <c r="T640">
        <v>160</v>
      </c>
      <c r="U640">
        <v>290</v>
      </c>
      <c r="V640">
        <f>River_data[[#This Row],[Dissolved Oxygen Min]]*River_data[[#This Row],[Dissolved Oxygen Max]]/2</f>
        <v>24.224999999999998</v>
      </c>
      <c r="W640">
        <f>River_data[[#This Row],[BOD Min]]*River_data[[#This Row],[BOD Max]]/2</f>
        <v>2.7300000000000004</v>
      </c>
      <c r="X640">
        <f>AVERAGE(River_data[[#This Row],[pH Max]]-River_data[[#This Row],[pH Min]])</f>
        <v>1</v>
      </c>
    </row>
    <row r="641" spans="1:24" x14ac:dyDescent="0.3">
      <c r="A641">
        <v>2888</v>
      </c>
      <c r="B641" s="1" t="s">
        <v>657</v>
      </c>
      <c r="C641" s="1" t="s">
        <v>571</v>
      </c>
      <c r="D641">
        <v>21.3</v>
      </c>
      <c r="E641">
        <v>36.799999999999997</v>
      </c>
      <c r="F641">
        <v>6.3</v>
      </c>
      <c r="G641">
        <v>8.8000000000000007</v>
      </c>
      <c r="H641">
        <v>6.9</v>
      </c>
      <c r="I641">
        <v>8.5</v>
      </c>
      <c r="J641">
        <v>80</v>
      </c>
      <c r="K641">
        <v>737</v>
      </c>
      <c r="L641">
        <v>1.4</v>
      </c>
      <c r="M641">
        <v>1.7</v>
      </c>
      <c r="N641">
        <v>0.4</v>
      </c>
      <c r="O641">
        <v>6.8</v>
      </c>
      <c r="V641">
        <f>River_data[[#This Row],[Dissolved Oxygen Min]]*River_data[[#This Row],[Dissolved Oxygen Max]]/2</f>
        <v>27.720000000000002</v>
      </c>
      <c r="W641">
        <f>River_data[[#This Row],[BOD Min]]*River_data[[#This Row],[BOD Max]]/2</f>
        <v>1.19</v>
      </c>
      <c r="X641">
        <f>AVERAGE(River_data[[#This Row],[pH Max]]-River_data[[#This Row],[pH Min]])</f>
        <v>1.5999999999999996</v>
      </c>
    </row>
    <row r="642" spans="1:24" x14ac:dyDescent="0.3">
      <c r="A642">
        <v>2891</v>
      </c>
      <c r="B642" s="1" t="s">
        <v>658</v>
      </c>
      <c r="C642" s="1" t="s">
        <v>571</v>
      </c>
      <c r="D642">
        <v>17.600000000000001</v>
      </c>
      <c r="E642">
        <v>28</v>
      </c>
      <c r="F642">
        <v>6.3</v>
      </c>
      <c r="G642">
        <v>7.4</v>
      </c>
      <c r="H642">
        <v>6.7</v>
      </c>
      <c r="I642">
        <v>8.5</v>
      </c>
      <c r="J642">
        <v>142</v>
      </c>
      <c r="K642">
        <v>315</v>
      </c>
      <c r="L642">
        <v>1.4</v>
      </c>
      <c r="M642">
        <v>1.8</v>
      </c>
      <c r="N642">
        <v>0.5</v>
      </c>
      <c r="O642">
        <v>10.6</v>
      </c>
      <c r="V642">
        <f>River_data[[#This Row],[Dissolved Oxygen Min]]*River_data[[#This Row],[Dissolved Oxygen Max]]/2</f>
        <v>23.31</v>
      </c>
      <c r="W642">
        <f>River_data[[#This Row],[BOD Min]]*River_data[[#This Row],[BOD Max]]/2</f>
        <v>1.26</v>
      </c>
      <c r="X642">
        <f>AVERAGE(River_data[[#This Row],[pH Max]]-River_data[[#This Row],[pH Min]])</f>
        <v>1.7999999999999998</v>
      </c>
    </row>
    <row r="643" spans="1:24" x14ac:dyDescent="0.3">
      <c r="A643">
        <v>2889</v>
      </c>
      <c r="B643" s="1" t="s">
        <v>659</v>
      </c>
      <c r="C643" s="1" t="s">
        <v>571</v>
      </c>
      <c r="D643">
        <v>15.6</v>
      </c>
      <c r="E643">
        <v>29.2</v>
      </c>
      <c r="F643">
        <v>6.8</v>
      </c>
      <c r="G643">
        <v>7.5</v>
      </c>
      <c r="H643">
        <v>6.5</v>
      </c>
      <c r="I643">
        <v>8.6999999999999993</v>
      </c>
      <c r="J643">
        <v>66</v>
      </c>
      <c r="K643">
        <v>263</v>
      </c>
      <c r="L643">
        <v>1.2</v>
      </c>
      <c r="M643">
        <v>1.9</v>
      </c>
      <c r="N643">
        <v>0.3</v>
      </c>
      <c r="O643">
        <v>9.4</v>
      </c>
      <c r="V643">
        <f>River_data[[#This Row],[Dissolved Oxygen Min]]*River_data[[#This Row],[Dissolved Oxygen Max]]/2</f>
        <v>25.5</v>
      </c>
      <c r="W643">
        <f>River_data[[#This Row],[BOD Min]]*River_data[[#This Row],[BOD Max]]/2</f>
        <v>1.1399999999999999</v>
      </c>
      <c r="X643">
        <f>AVERAGE(River_data[[#This Row],[pH Max]]-River_data[[#This Row],[pH Min]])</f>
        <v>2.1999999999999993</v>
      </c>
    </row>
    <row r="644" spans="1:24" x14ac:dyDescent="0.3">
      <c r="A644">
        <v>2892</v>
      </c>
      <c r="B644" s="1" t="s">
        <v>660</v>
      </c>
      <c r="C644" s="1" t="s">
        <v>571</v>
      </c>
      <c r="D644">
        <v>17.5</v>
      </c>
      <c r="E644">
        <v>28.9</v>
      </c>
      <c r="F644">
        <v>6.2</v>
      </c>
      <c r="G644">
        <v>7.4</v>
      </c>
      <c r="H644">
        <v>6.5</v>
      </c>
      <c r="I644">
        <v>8.3000000000000007</v>
      </c>
      <c r="J644">
        <v>88</v>
      </c>
      <c r="K644">
        <v>1343</v>
      </c>
      <c r="L644">
        <v>1.4</v>
      </c>
      <c r="M644">
        <v>1.9</v>
      </c>
      <c r="N644">
        <v>0.3</v>
      </c>
      <c r="O644">
        <v>3.3</v>
      </c>
      <c r="V644">
        <f>River_data[[#This Row],[Dissolved Oxygen Min]]*River_data[[#This Row],[Dissolved Oxygen Max]]/2</f>
        <v>22.94</v>
      </c>
      <c r="W644">
        <f>River_data[[#This Row],[BOD Min]]*River_data[[#This Row],[BOD Max]]/2</f>
        <v>1.3299999999999998</v>
      </c>
      <c r="X644">
        <f>AVERAGE(River_data[[#This Row],[pH Max]]-River_data[[#This Row],[pH Min]])</f>
        <v>1.8000000000000007</v>
      </c>
    </row>
    <row r="645" spans="1:24" x14ac:dyDescent="0.3">
      <c r="A645">
        <v>2893</v>
      </c>
      <c r="B645" s="1" t="s">
        <v>661</v>
      </c>
      <c r="C645" s="1" t="s">
        <v>571</v>
      </c>
      <c r="D645">
        <v>17.899999999999999</v>
      </c>
      <c r="E645">
        <v>27.7</v>
      </c>
      <c r="F645">
        <v>6.1</v>
      </c>
      <c r="G645">
        <v>7.6</v>
      </c>
      <c r="H645">
        <v>6.9</v>
      </c>
      <c r="I645">
        <v>8.5</v>
      </c>
      <c r="J645">
        <v>85</v>
      </c>
      <c r="K645">
        <v>866</v>
      </c>
      <c r="L645">
        <v>1.4</v>
      </c>
      <c r="M645">
        <v>2.1</v>
      </c>
      <c r="N645">
        <v>0.5</v>
      </c>
      <c r="O645">
        <v>4.7</v>
      </c>
      <c r="V645">
        <f>River_data[[#This Row],[Dissolved Oxygen Min]]*River_data[[#This Row],[Dissolved Oxygen Max]]/2</f>
        <v>23.179999999999996</v>
      </c>
      <c r="W645">
        <f>River_data[[#This Row],[BOD Min]]*River_data[[#This Row],[BOD Max]]/2</f>
        <v>1.47</v>
      </c>
      <c r="X645">
        <f>AVERAGE(River_data[[#This Row],[pH Max]]-River_data[[#This Row],[pH Min]])</f>
        <v>1.5999999999999996</v>
      </c>
    </row>
    <row r="646" spans="1:24" x14ac:dyDescent="0.3">
      <c r="A646">
        <v>2228</v>
      </c>
      <c r="B646" s="1" t="s">
        <v>662</v>
      </c>
      <c r="C646" s="1" t="s">
        <v>567</v>
      </c>
      <c r="D646">
        <v>20</v>
      </c>
      <c r="E646">
        <v>30</v>
      </c>
      <c r="F646">
        <v>5</v>
      </c>
      <c r="G646">
        <v>9.6</v>
      </c>
      <c r="H646">
        <v>6.8</v>
      </c>
      <c r="I646">
        <v>7.5</v>
      </c>
      <c r="J646">
        <v>122</v>
      </c>
      <c r="K646">
        <v>150</v>
      </c>
      <c r="L646">
        <v>2</v>
      </c>
      <c r="M646">
        <v>2.7</v>
      </c>
      <c r="N646">
        <v>0.6</v>
      </c>
      <c r="O646">
        <v>1.5</v>
      </c>
      <c r="P646">
        <v>300</v>
      </c>
      <c r="Q646">
        <v>730</v>
      </c>
      <c r="R646">
        <v>910</v>
      </c>
      <c r="S646">
        <v>1500</v>
      </c>
      <c r="T646">
        <v>120</v>
      </c>
      <c r="U646">
        <v>240</v>
      </c>
      <c r="V646">
        <f>River_data[[#This Row],[Dissolved Oxygen Min]]*River_data[[#This Row],[Dissolved Oxygen Max]]/2</f>
        <v>24</v>
      </c>
      <c r="W646">
        <f>River_data[[#This Row],[BOD Min]]*River_data[[#This Row],[BOD Max]]/2</f>
        <v>2.7</v>
      </c>
      <c r="X646">
        <f>AVERAGE(River_data[[#This Row],[pH Max]]-River_data[[#This Row],[pH Min]])</f>
        <v>0.70000000000000018</v>
      </c>
    </row>
    <row r="647" spans="1:24" x14ac:dyDescent="0.3">
      <c r="A647">
        <v>4719</v>
      </c>
      <c r="B647" s="1" t="s">
        <v>663</v>
      </c>
      <c r="C647" s="1" t="s">
        <v>247</v>
      </c>
      <c r="D647">
        <v>15</v>
      </c>
      <c r="E647">
        <v>28</v>
      </c>
      <c r="F647">
        <v>6.3</v>
      </c>
      <c r="G647">
        <v>8.9</v>
      </c>
      <c r="H647">
        <v>7</v>
      </c>
      <c r="I647">
        <v>7.9</v>
      </c>
      <c r="J647">
        <v>83</v>
      </c>
      <c r="K647">
        <v>155</v>
      </c>
      <c r="L647">
        <v>1</v>
      </c>
      <c r="M647">
        <v>2.8</v>
      </c>
      <c r="N647">
        <v>0.3</v>
      </c>
      <c r="O647">
        <v>0.66</v>
      </c>
      <c r="P647">
        <v>1300</v>
      </c>
      <c r="Q647">
        <v>30000</v>
      </c>
      <c r="R647">
        <v>3000</v>
      </c>
      <c r="S647">
        <v>160000</v>
      </c>
      <c r="T647">
        <v>14</v>
      </c>
      <c r="U647">
        <v>140</v>
      </c>
      <c r="V647">
        <f>River_data[[#This Row],[Dissolved Oxygen Min]]*River_data[[#This Row],[Dissolved Oxygen Max]]/2</f>
        <v>28.035</v>
      </c>
      <c r="W647">
        <f>River_data[[#This Row],[BOD Min]]*River_data[[#This Row],[BOD Max]]/2</f>
        <v>1.4</v>
      </c>
      <c r="X647">
        <f>AVERAGE(River_data[[#This Row],[pH Max]]-River_data[[#This Row],[pH Min]])</f>
        <v>0.90000000000000036</v>
      </c>
    </row>
    <row r="648" spans="1:24" x14ac:dyDescent="0.3">
      <c r="A648">
        <v>4724</v>
      </c>
      <c r="B648" s="1" t="s">
        <v>664</v>
      </c>
      <c r="C648" s="1" t="s">
        <v>247</v>
      </c>
      <c r="D648">
        <v>18</v>
      </c>
      <c r="E648">
        <v>27</v>
      </c>
      <c r="F648">
        <v>7.3</v>
      </c>
      <c r="G648">
        <v>8.9</v>
      </c>
      <c r="H648">
        <v>7.2</v>
      </c>
      <c r="I648">
        <v>7.8</v>
      </c>
      <c r="J648">
        <v>60</v>
      </c>
      <c r="K648">
        <v>131</v>
      </c>
      <c r="L648">
        <v>1</v>
      </c>
      <c r="M648">
        <v>2.7</v>
      </c>
      <c r="N648">
        <v>0.3</v>
      </c>
      <c r="O648">
        <v>0.49</v>
      </c>
      <c r="P648">
        <v>2300</v>
      </c>
      <c r="Q648">
        <v>5000</v>
      </c>
      <c r="R648">
        <v>7000</v>
      </c>
      <c r="S648">
        <v>30000</v>
      </c>
      <c r="T648">
        <v>12</v>
      </c>
      <c r="U648">
        <v>1600</v>
      </c>
      <c r="V648">
        <f>River_data[[#This Row],[Dissolved Oxygen Min]]*River_data[[#This Row],[Dissolved Oxygen Max]]/2</f>
        <v>32.484999999999999</v>
      </c>
      <c r="W648">
        <f>River_data[[#This Row],[BOD Min]]*River_data[[#This Row],[BOD Max]]/2</f>
        <v>1.35</v>
      </c>
      <c r="X648">
        <f>AVERAGE(River_data[[#This Row],[pH Max]]-River_data[[#This Row],[pH Min]])</f>
        <v>0.59999999999999964</v>
      </c>
    </row>
    <row r="649" spans="1:24" x14ac:dyDescent="0.3">
      <c r="A649">
        <v>2238</v>
      </c>
      <c r="B649" s="1" t="s">
        <v>665</v>
      </c>
      <c r="C649" s="1" t="s">
        <v>567</v>
      </c>
      <c r="D649">
        <v>16</v>
      </c>
      <c r="E649">
        <v>30</v>
      </c>
      <c r="F649">
        <v>5.3</v>
      </c>
      <c r="G649">
        <v>5.6</v>
      </c>
      <c r="H649">
        <v>6.8</v>
      </c>
      <c r="I649">
        <v>7.6</v>
      </c>
      <c r="J649">
        <v>138</v>
      </c>
      <c r="K649">
        <v>168</v>
      </c>
      <c r="L649">
        <v>2</v>
      </c>
      <c r="M649">
        <v>2.7</v>
      </c>
      <c r="N649">
        <v>0.7</v>
      </c>
      <c r="O649">
        <v>2.1</v>
      </c>
      <c r="P649">
        <v>360</v>
      </c>
      <c r="Q649">
        <v>730</v>
      </c>
      <c r="R649">
        <v>1100</v>
      </c>
      <c r="S649">
        <v>1500</v>
      </c>
      <c r="T649">
        <v>120</v>
      </c>
      <c r="U649">
        <v>240</v>
      </c>
      <c r="V649">
        <f>River_data[[#This Row],[Dissolved Oxygen Min]]*River_data[[#This Row],[Dissolved Oxygen Max]]/2</f>
        <v>14.839999999999998</v>
      </c>
      <c r="W649">
        <f>River_data[[#This Row],[BOD Min]]*River_data[[#This Row],[BOD Max]]/2</f>
        <v>2.7</v>
      </c>
      <c r="X649">
        <f>AVERAGE(River_data[[#This Row],[pH Max]]-River_data[[#This Row],[pH Min]])</f>
        <v>0.79999999999999982</v>
      </c>
    </row>
    <row r="650" spans="1:24" x14ac:dyDescent="0.3">
      <c r="A650">
        <v>3108</v>
      </c>
      <c r="B650" s="1" t="s">
        <v>666</v>
      </c>
      <c r="C650" s="1" t="s">
        <v>647</v>
      </c>
      <c r="D650">
        <v>15.3</v>
      </c>
      <c r="E650">
        <v>27.6</v>
      </c>
      <c r="F650">
        <v>0.4</v>
      </c>
      <c r="G650">
        <v>8.9</v>
      </c>
      <c r="H650">
        <v>7.4</v>
      </c>
      <c r="I650">
        <v>8.8000000000000007</v>
      </c>
      <c r="J650">
        <v>105</v>
      </c>
      <c r="K650">
        <v>204</v>
      </c>
      <c r="L650">
        <v>1</v>
      </c>
      <c r="M650">
        <v>1</v>
      </c>
      <c r="N650">
        <v>0</v>
      </c>
      <c r="O650">
        <v>0</v>
      </c>
      <c r="V650">
        <f>River_data[[#This Row],[Dissolved Oxygen Min]]*River_data[[#This Row],[Dissolved Oxygen Max]]/2</f>
        <v>1.7800000000000002</v>
      </c>
      <c r="W650">
        <f>River_data[[#This Row],[BOD Min]]*River_data[[#This Row],[BOD Max]]/2</f>
        <v>0.5</v>
      </c>
      <c r="X650">
        <f>AVERAGE(River_data[[#This Row],[pH Max]]-River_data[[#This Row],[pH Min]])</f>
        <v>1.4000000000000004</v>
      </c>
    </row>
    <row r="651" spans="1:24" x14ac:dyDescent="0.3">
      <c r="A651">
        <v>1527</v>
      </c>
      <c r="B651" s="1" t="s">
        <v>667</v>
      </c>
      <c r="C651" s="1" t="s">
        <v>567</v>
      </c>
      <c r="D651">
        <v>21</v>
      </c>
      <c r="E651">
        <v>33</v>
      </c>
      <c r="F651">
        <v>5.2</v>
      </c>
      <c r="G651">
        <v>8.5</v>
      </c>
      <c r="H651">
        <v>6.6</v>
      </c>
      <c r="I651">
        <v>7.3</v>
      </c>
      <c r="J651">
        <v>140</v>
      </c>
      <c r="K651">
        <v>258</v>
      </c>
      <c r="L651">
        <v>1.9</v>
      </c>
      <c r="M651">
        <v>2.5</v>
      </c>
      <c r="N651">
        <v>0.6</v>
      </c>
      <c r="O651">
        <v>1.4</v>
      </c>
      <c r="P651">
        <v>360</v>
      </c>
      <c r="Q651">
        <v>910</v>
      </c>
      <c r="R651">
        <v>910</v>
      </c>
      <c r="S651">
        <v>2000</v>
      </c>
      <c r="T651">
        <v>140</v>
      </c>
      <c r="U651">
        <v>340</v>
      </c>
      <c r="V651">
        <f>River_data[[#This Row],[Dissolved Oxygen Min]]*River_data[[#This Row],[Dissolved Oxygen Max]]/2</f>
        <v>22.1</v>
      </c>
      <c r="W651">
        <f>River_data[[#This Row],[BOD Min]]*River_data[[#This Row],[BOD Max]]/2</f>
        <v>2.375</v>
      </c>
      <c r="X651">
        <f>AVERAGE(River_data[[#This Row],[pH Max]]-River_data[[#This Row],[pH Min]])</f>
        <v>0.70000000000000018</v>
      </c>
    </row>
    <row r="652" spans="1:24" x14ac:dyDescent="0.3">
      <c r="A652">
        <v>3769</v>
      </c>
      <c r="B652" s="1" t="s">
        <v>668</v>
      </c>
      <c r="C652" s="1" t="s">
        <v>567</v>
      </c>
      <c r="D652">
        <v>21</v>
      </c>
      <c r="E652">
        <v>33</v>
      </c>
      <c r="F652">
        <v>6</v>
      </c>
      <c r="G652">
        <v>8</v>
      </c>
      <c r="H652">
        <v>6.6</v>
      </c>
      <c r="I652">
        <v>7.7</v>
      </c>
      <c r="J652">
        <v>138</v>
      </c>
      <c r="K652">
        <v>228</v>
      </c>
      <c r="L652">
        <v>1.6</v>
      </c>
      <c r="M652">
        <v>2.8</v>
      </c>
      <c r="N652">
        <v>0.6</v>
      </c>
      <c r="O652">
        <v>1.4</v>
      </c>
      <c r="P652">
        <v>300</v>
      </c>
      <c r="Q652">
        <v>730</v>
      </c>
      <c r="R652">
        <v>700</v>
      </c>
      <c r="S652">
        <v>1100</v>
      </c>
      <c r="T652">
        <v>110</v>
      </c>
      <c r="U652">
        <v>280</v>
      </c>
      <c r="V652">
        <f>River_data[[#This Row],[Dissolved Oxygen Min]]*River_data[[#This Row],[Dissolved Oxygen Max]]/2</f>
        <v>24</v>
      </c>
      <c r="W652">
        <f>River_data[[#This Row],[BOD Min]]*River_data[[#This Row],[BOD Max]]/2</f>
        <v>2.2399999999999998</v>
      </c>
      <c r="X652">
        <f>AVERAGE(River_data[[#This Row],[pH Max]]-River_data[[#This Row],[pH Min]])</f>
        <v>1.1000000000000005</v>
      </c>
    </row>
    <row r="653" spans="1:24" x14ac:dyDescent="0.3">
      <c r="A653">
        <v>1258</v>
      </c>
      <c r="B653" s="1" t="s">
        <v>669</v>
      </c>
      <c r="C653" s="1" t="s">
        <v>567</v>
      </c>
      <c r="D653">
        <v>19</v>
      </c>
      <c r="E653">
        <v>32</v>
      </c>
      <c r="F653">
        <v>5.5</v>
      </c>
      <c r="G653">
        <v>8.1</v>
      </c>
      <c r="H653">
        <v>6.6</v>
      </c>
      <c r="I653">
        <v>7.4</v>
      </c>
      <c r="J653">
        <v>110</v>
      </c>
      <c r="K653">
        <v>132</v>
      </c>
      <c r="L653">
        <v>2.1</v>
      </c>
      <c r="M653">
        <v>2.6</v>
      </c>
      <c r="N653">
        <v>0.6</v>
      </c>
      <c r="O653">
        <v>1.4</v>
      </c>
      <c r="P653">
        <v>300</v>
      </c>
      <c r="Q653">
        <v>360</v>
      </c>
      <c r="R653">
        <v>720</v>
      </c>
      <c r="S653">
        <v>2100</v>
      </c>
      <c r="T653">
        <v>110</v>
      </c>
      <c r="U653">
        <v>340</v>
      </c>
      <c r="V653">
        <f>River_data[[#This Row],[Dissolved Oxygen Min]]*River_data[[#This Row],[Dissolved Oxygen Max]]/2</f>
        <v>22.274999999999999</v>
      </c>
      <c r="W653">
        <f>River_data[[#This Row],[BOD Min]]*River_data[[#This Row],[BOD Max]]/2</f>
        <v>2.7300000000000004</v>
      </c>
      <c r="X653">
        <f>AVERAGE(River_data[[#This Row],[pH Max]]-River_data[[#This Row],[pH Min]])</f>
        <v>0.80000000000000071</v>
      </c>
    </row>
    <row r="654" spans="1:24" x14ac:dyDescent="0.3">
      <c r="A654">
        <v>2063</v>
      </c>
      <c r="B654" s="1" t="s">
        <v>670</v>
      </c>
      <c r="C654" s="1" t="s">
        <v>567</v>
      </c>
      <c r="D654">
        <v>18</v>
      </c>
      <c r="E654">
        <v>25</v>
      </c>
      <c r="F654">
        <v>6.8</v>
      </c>
      <c r="G654">
        <v>7</v>
      </c>
      <c r="H654">
        <v>7</v>
      </c>
      <c r="I654">
        <v>7.5</v>
      </c>
      <c r="J654">
        <v>126</v>
      </c>
      <c r="K654">
        <v>142</v>
      </c>
      <c r="L654">
        <v>2</v>
      </c>
      <c r="M654">
        <v>2.5</v>
      </c>
      <c r="N654">
        <v>0.7</v>
      </c>
      <c r="O654">
        <v>1.8</v>
      </c>
      <c r="P654">
        <v>360</v>
      </c>
      <c r="Q654">
        <v>730</v>
      </c>
      <c r="R654">
        <v>910</v>
      </c>
      <c r="S654">
        <v>2000</v>
      </c>
      <c r="T654">
        <v>120</v>
      </c>
      <c r="U654">
        <v>290</v>
      </c>
      <c r="V654">
        <f>River_data[[#This Row],[Dissolved Oxygen Min]]*River_data[[#This Row],[Dissolved Oxygen Max]]/2</f>
        <v>23.8</v>
      </c>
      <c r="W654">
        <f>River_data[[#This Row],[BOD Min]]*River_data[[#This Row],[BOD Max]]/2</f>
        <v>2.5</v>
      </c>
      <c r="X654">
        <f>AVERAGE(River_data[[#This Row],[pH Max]]-River_data[[#This Row],[pH Min]])</f>
        <v>0.5</v>
      </c>
    </row>
    <row r="655" spans="1:24" x14ac:dyDescent="0.3">
      <c r="A655">
        <v>2239</v>
      </c>
      <c r="B655" s="1" t="s">
        <v>671</v>
      </c>
      <c r="C655" s="1" t="s">
        <v>567</v>
      </c>
      <c r="D655">
        <v>21</v>
      </c>
      <c r="E655">
        <v>33</v>
      </c>
      <c r="F655">
        <v>5.2</v>
      </c>
      <c r="G655">
        <v>5.4</v>
      </c>
      <c r="H655">
        <v>6.9</v>
      </c>
      <c r="I655">
        <v>7.7</v>
      </c>
      <c r="J655">
        <v>126</v>
      </c>
      <c r="K655">
        <v>152</v>
      </c>
      <c r="L655">
        <v>2</v>
      </c>
      <c r="M655">
        <v>2.5</v>
      </c>
      <c r="N655">
        <v>0.6</v>
      </c>
      <c r="O655">
        <v>1.8</v>
      </c>
      <c r="P655">
        <v>300</v>
      </c>
      <c r="Q655">
        <v>910</v>
      </c>
      <c r="R655">
        <v>620</v>
      </c>
      <c r="S655">
        <v>2000</v>
      </c>
      <c r="T655">
        <v>96</v>
      </c>
      <c r="U655">
        <v>290</v>
      </c>
      <c r="V655">
        <f>River_data[[#This Row],[Dissolved Oxygen Min]]*River_data[[#This Row],[Dissolved Oxygen Max]]/2</f>
        <v>14.040000000000001</v>
      </c>
      <c r="W655">
        <f>River_data[[#This Row],[BOD Min]]*River_data[[#This Row],[BOD Max]]/2</f>
        <v>2.5</v>
      </c>
      <c r="X655">
        <f>AVERAGE(River_data[[#This Row],[pH Max]]-River_data[[#This Row],[pH Min]])</f>
        <v>0.79999999999999982</v>
      </c>
    </row>
    <row r="656" spans="1:24" x14ac:dyDescent="0.3">
      <c r="A656">
        <v>2890</v>
      </c>
      <c r="B656" s="1" t="s">
        <v>672</v>
      </c>
      <c r="C656" s="1" t="s">
        <v>571</v>
      </c>
      <c r="D656">
        <v>17.399999999999999</v>
      </c>
      <c r="E656">
        <v>26.1</v>
      </c>
      <c r="F656">
        <v>6.3</v>
      </c>
      <c r="G656">
        <v>7.5</v>
      </c>
      <c r="H656">
        <v>6.5</v>
      </c>
      <c r="I656">
        <v>9</v>
      </c>
      <c r="J656">
        <v>152</v>
      </c>
      <c r="K656">
        <v>754</v>
      </c>
      <c r="L656">
        <v>1.4</v>
      </c>
      <c r="M656">
        <v>2</v>
      </c>
      <c r="N656">
        <v>0.3</v>
      </c>
      <c r="O656">
        <v>4.8</v>
      </c>
      <c r="V656">
        <f>River_data[[#This Row],[Dissolved Oxygen Min]]*River_data[[#This Row],[Dissolved Oxygen Max]]/2</f>
        <v>23.625</v>
      </c>
      <c r="W656">
        <f>River_data[[#This Row],[BOD Min]]*River_data[[#This Row],[BOD Max]]/2</f>
        <v>1.4</v>
      </c>
      <c r="X656">
        <f>AVERAGE(River_data[[#This Row],[pH Max]]-River_data[[#This Row],[pH Min]])</f>
        <v>2.5</v>
      </c>
    </row>
    <row r="657" spans="1:24" x14ac:dyDescent="0.3">
      <c r="A657">
        <v>2233</v>
      </c>
      <c r="B657" s="1" t="s">
        <v>673</v>
      </c>
      <c r="C657" s="1" t="s">
        <v>567</v>
      </c>
      <c r="D657">
        <v>19</v>
      </c>
      <c r="E657">
        <v>32</v>
      </c>
      <c r="F657">
        <v>5.5</v>
      </c>
      <c r="G657">
        <v>6.3</v>
      </c>
      <c r="H657">
        <v>7.2</v>
      </c>
      <c r="I657">
        <v>7.9</v>
      </c>
      <c r="J657">
        <v>112</v>
      </c>
      <c r="K657">
        <v>136</v>
      </c>
      <c r="L657">
        <v>2</v>
      </c>
      <c r="M657">
        <v>2.4</v>
      </c>
      <c r="N657">
        <v>0.5</v>
      </c>
      <c r="O657">
        <v>2</v>
      </c>
      <c r="P657">
        <v>620</v>
      </c>
      <c r="Q657">
        <v>930</v>
      </c>
      <c r="R657">
        <v>1300</v>
      </c>
      <c r="S657">
        <v>2000</v>
      </c>
      <c r="T657">
        <v>210</v>
      </c>
      <c r="U657">
        <v>290</v>
      </c>
      <c r="V657">
        <f>River_data[[#This Row],[Dissolved Oxygen Min]]*River_data[[#This Row],[Dissolved Oxygen Max]]/2</f>
        <v>17.324999999999999</v>
      </c>
      <c r="W657">
        <f>River_data[[#This Row],[BOD Min]]*River_data[[#This Row],[BOD Max]]/2</f>
        <v>2.4</v>
      </c>
      <c r="X657">
        <f>AVERAGE(River_data[[#This Row],[pH Max]]-River_data[[#This Row],[pH Min]])</f>
        <v>0.70000000000000018</v>
      </c>
    </row>
    <row r="658" spans="1:24" x14ac:dyDescent="0.3">
      <c r="A658">
        <v>3372</v>
      </c>
      <c r="B658" s="1" t="s">
        <v>674</v>
      </c>
      <c r="C658" s="1" t="s">
        <v>675</v>
      </c>
      <c r="D658">
        <v>14</v>
      </c>
      <c r="E658">
        <v>19</v>
      </c>
      <c r="F658">
        <v>7.3</v>
      </c>
      <c r="G658">
        <v>8.8000000000000007</v>
      </c>
      <c r="H658">
        <v>6.8</v>
      </c>
      <c r="I658">
        <v>7.2</v>
      </c>
      <c r="J658">
        <v>30</v>
      </c>
      <c r="K658">
        <v>39</v>
      </c>
      <c r="L658">
        <v>1</v>
      </c>
      <c r="M658">
        <v>1.1000000000000001</v>
      </c>
      <c r="N658">
        <v>0.32</v>
      </c>
      <c r="O658">
        <v>0.41</v>
      </c>
      <c r="P658">
        <v>2</v>
      </c>
      <c r="Q658">
        <v>2</v>
      </c>
      <c r="R658">
        <v>24</v>
      </c>
      <c r="S658">
        <v>64</v>
      </c>
      <c r="T658">
        <v>2</v>
      </c>
      <c r="U658">
        <v>2</v>
      </c>
      <c r="V658">
        <f>River_data[[#This Row],[Dissolved Oxygen Min]]*River_data[[#This Row],[Dissolved Oxygen Max]]/2</f>
        <v>32.120000000000005</v>
      </c>
      <c r="W658">
        <f>River_data[[#This Row],[BOD Min]]*River_data[[#This Row],[BOD Max]]/2</f>
        <v>0.55000000000000004</v>
      </c>
      <c r="X658">
        <f>AVERAGE(River_data[[#This Row],[pH Max]]-River_data[[#This Row],[pH Min]])</f>
        <v>0.40000000000000036</v>
      </c>
    </row>
    <row r="659" spans="1:24" x14ac:dyDescent="0.3">
      <c r="A659">
        <v>3377</v>
      </c>
      <c r="B659" s="1" t="s">
        <v>676</v>
      </c>
      <c r="C659" s="1" t="s">
        <v>675</v>
      </c>
      <c r="D659">
        <v>12</v>
      </c>
      <c r="E659">
        <v>20</v>
      </c>
      <c r="F659">
        <v>6.6</v>
      </c>
      <c r="G659">
        <v>8.1999999999999993</v>
      </c>
      <c r="H659">
        <v>6.8</v>
      </c>
      <c r="I659">
        <v>7.1</v>
      </c>
      <c r="J659">
        <v>34</v>
      </c>
      <c r="K659">
        <v>45</v>
      </c>
      <c r="L659">
        <v>1.3</v>
      </c>
      <c r="M659">
        <v>2.2999999999999998</v>
      </c>
      <c r="N659">
        <v>0.32</v>
      </c>
      <c r="O659">
        <v>5.37</v>
      </c>
      <c r="P659">
        <v>2</v>
      </c>
      <c r="Q659">
        <v>48</v>
      </c>
      <c r="R659">
        <v>230</v>
      </c>
      <c r="S659">
        <v>540</v>
      </c>
      <c r="T659">
        <v>2</v>
      </c>
      <c r="U659">
        <v>14</v>
      </c>
      <c r="V659">
        <f>River_data[[#This Row],[Dissolved Oxygen Min]]*River_data[[#This Row],[Dissolved Oxygen Max]]/2</f>
        <v>27.059999999999995</v>
      </c>
      <c r="W659">
        <f>River_data[[#This Row],[BOD Min]]*River_data[[#This Row],[BOD Max]]/2</f>
        <v>1.4949999999999999</v>
      </c>
      <c r="X659">
        <f>AVERAGE(River_data[[#This Row],[pH Max]]-River_data[[#This Row],[pH Min]])</f>
        <v>0.29999999999999982</v>
      </c>
    </row>
    <row r="660" spans="1:24" x14ac:dyDescent="0.3">
      <c r="A660">
        <v>3378</v>
      </c>
      <c r="B660" s="1" t="s">
        <v>677</v>
      </c>
      <c r="C660" s="1" t="s">
        <v>675</v>
      </c>
      <c r="D660">
        <v>10</v>
      </c>
      <c r="E660">
        <v>20</v>
      </c>
      <c r="F660">
        <v>7.1</v>
      </c>
      <c r="G660">
        <v>8.6999999999999993</v>
      </c>
      <c r="H660">
        <v>6.7</v>
      </c>
      <c r="I660">
        <v>7.1</v>
      </c>
      <c r="J660">
        <v>36</v>
      </c>
      <c r="K660">
        <v>46</v>
      </c>
      <c r="L660">
        <v>1</v>
      </c>
      <c r="M660">
        <v>1.5</v>
      </c>
      <c r="N660">
        <v>0.34</v>
      </c>
      <c r="O660">
        <v>5.41</v>
      </c>
      <c r="P660">
        <v>2</v>
      </c>
      <c r="Q660">
        <v>6</v>
      </c>
      <c r="R660">
        <v>23</v>
      </c>
      <c r="S660">
        <v>49</v>
      </c>
      <c r="T660">
        <v>2</v>
      </c>
      <c r="U660">
        <v>2</v>
      </c>
      <c r="V660">
        <f>River_data[[#This Row],[Dissolved Oxygen Min]]*River_data[[#This Row],[Dissolved Oxygen Max]]/2</f>
        <v>30.884999999999994</v>
      </c>
      <c r="W660">
        <f>River_data[[#This Row],[BOD Min]]*River_data[[#This Row],[BOD Max]]/2</f>
        <v>0.75</v>
      </c>
      <c r="X660">
        <f>AVERAGE(River_data[[#This Row],[pH Max]]-River_data[[#This Row],[pH Min]])</f>
        <v>0.39999999999999947</v>
      </c>
    </row>
    <row r="661" spans="1:24" x14ac:dyDescent="0.3">
      <c r="A661">
        <v>3380</v>
      </c>
      <c r="B661" s="1" t="s">
        <v>678</v>
      </c>
      <c r="C661" s="1" t="s">
        <v>675</v>
      </c>
      <c r="D661">
        <v>15</v>
      </c>
      <c r="E661">
        <v>22</v>
      </c>
      <c r="F661">
        <v>7</v>
      </c>
      <c r="G661">
        <v>7.9</v>
      </c>
      <c r="H661">
        <v>6.9</v>
      </c>
      <c r="I661">
        <v>7.6</v>
      </c>
      <c r="J661">
        <v>58</v>
      </c>
      <c r="K661">
        <v>76</v>
      </c>
      <c r="L661">
        <v>1.3</v>
      </c>
      <c r="M661">
        <v>2.1</v>
      </c>
      <c r="N661">
        <v>0.32</v>
      </c>
      <c r="O661">
        <v>0.5</v>
      </c>
      <c r="P661">
        <v>12</v>
      </c>
      <c r="Q661">
        <v>63</v>
      </c>
      <c r="R661">
        <v>350</v>
      </c>
      <c r="S661">
        <v>700</v>
      </c>
      <c r="T661">
        <v>2</v>
      </c>
      <c r="U661">
        <v>21</v>
      </c>
      <c r="V661">
        <f>River_data[[#This Row],[Dissolved Oxygen Min]]*River_data[[#This Row],[Dissolved Oxygen Max]]/2</f>
        <v>27.650000000000002</v>
      </c>
      <c r="W661">
        <f>River_data[[#This Row],[BOD Min]]*River_data[[#This Row],[BOD Max]]/2</f>
        <v>1.3650000000000002</v>
      </c>
      <c r="X661">
        <f>AVERAGE(River_data[[#This Row],[pH Max]]-River_data[[#This Row],[pH Min]])</f>
        <v>0.69999999999999929</v>
      </c>
    </row>
    <row r="662" spans="1:24" x14ac:dyDescent="0.3">
      <c r="A662">
        <v>3381</v>
      </c>
      <c r="B662" s="1" t="s">
        <v>679</v>
      </c>
      <c r="C662" s="1" t="s">
        <v>675</v>
      </c>
      <c r="D662">
        <v>15</v>
      </c>
      <c r="E662">
        <v>22</v>
      </c>
      <c r="F662">
        <v>6.6</v>
      </c>
      <c r="G662">
        <v>7.6</v>
      </c>
      <c r="H662">
        <v>6.6</v>
      </c>
      <c r="I662">
        <v>6.9</v>
      </c>
      <c r="J662">
        <v>60</v>
      </c>
      <c r="K662">
        <v>74</v>
      </c>
      <c r="L662">
        <v>1.5</v>
      </c>
      <c r="M662">
        <v>2.5</v>
      </c>
      <c r="N662">
        <v>0.32</v>
      </c>
      <c r="O662">
        <v>0.54</v>
      </c>
      <c r="P662">
        <v>23</v>
      </c>
      <c r="Q662">
        <v>120</v>
      </c>
      <c r="R662">
        <v>310</v>
      </c>
      <c r="S662">
        <v>790</v>
      </c>
      <c r="T662">
        <v>2</v>
      </c>
      <c r="U662">
        <v>30</v>
      </c>
      <c r="V662">
        <f>River_data[[#This Row],[Dissolved Oxygen Min]]*River_data[[#This Row],[Dissolved Oxygen Max]]/2</f>
        <v>25.08</v>
      </c>
      <c r="W662">
        <f>River_data[[#This Row],[BOD Min]]*River_data[[#This Row],[BOD Max]]/2</f>
        <v>1.875</v>
      </c>
      <c r="X662">
        <f>AVERAGE(River_data[[#This Row],[pH Max]]-River_data[[#This Row],[pH Min]])</f>
        <v>0.30000000000000071</v>
      </c>
    </row>
    <row r="663" spans="1:24" x14ac:dyDescent="0.3">
      <c r="A663">
        <v>3382</v>
      </c>
      <c r="B663" s="1" t="s">
        <v>680</v>
      </c>
      <c r="C663" s="1" t="s">
        <v>675</v>
      </c>
      <c r="D663">
        <v>15</v>
      </c>
      <c r="E663">
        <v>22</v>
      </c>
      <c r="F663">
        <v>7</v>
      </c>
      <c r="G663">
        <v>7.6</v>
      </c>
      <c r="H663">
        <v>7</v>
      </c>
      <c r="I663">
        <v>7.5</v>
      </c>
      <c r="J663">
        <v>57</v>
      </c>
      <c r="K663">
        <v>77</v>
      </c>
      <c r="L663">
        <v>1.5</v>
      </c>
      <c r="M663">
        <v>2.2999999999999998</v>
      </c>
      <c r="N663">
        <v>0.32</v>
      </c>
      <c r="O663">
        <v>0.45</v>
      </c>
      <c r="P663">
        <v>12</v>
      </c>
      <c r="Q663">
        <v>110</v>
      </c>
      <c r="R663">
        <v>310</v>
      </c>
      <c r="S663">
        <v>630</v>
      </c>
      <c r="T663">
        <v>2</v>
      </c>
      <c r="U663">
        <v>27</v>
      </c>
      <c r="V663">
        <f>River_data[[#This Row],[Dissolved Oxygen Min]]*River_data[[#This Row],[Dissolved Oxygen Max]]/2</f>
        <v>26.599999999999998</v>
      </c>
      <c r="W663">
        <f>River_data[[#This Row],[BOD Min]]*River_data[[#This Row],[BOD Max]]/2</f>
        <v>1.7249999999999999</v>
      </c>
      <c r="X663">
        <f>AVERAGE(River_data[[#This Row],[pH Max]]-River_data[[#This Row],[pH Min]])</f>
        <v>0.5</v>
      </c>
    </row>
    <row r="664" spans="1:24" x14ac:dyDescent="0.3">
      <c r="A664">
        <v>2050</v>
      </c>
      <c r="B664" s="1" t="s">
        <v>681</v>
      </c>
      <c r="C664" s="1" t="s">
        <v>682</v>
      </c>
      <c r="D664">
        <v>19</v>
      </c>
      <c r="E664">
        <v>25</v>
      </c>
      <c r="F664">
        <v>5.0999999999999996</v>
      </c>
      <c r="G664">
        <v>8.1999999999999993</v>
      </c>
      <c r="H664">
        <v>7.3</v>
      </c>
      <c r="I664">
        <v>8.4</v>
      </c>
      <c r="J664">
        <v>102</v>
      </c>
      <c r="K664">
        <v>367</v>
      </c>
      <c r="L664">
        <v>1</v>
      </c>
      <c r="M664">
        <v>1.3</v>
      </c>
      <c r="N664">
        <v>0.02</v>
      </c>
      <c r="O664">
        <v>0.56999999999999995</v>
      </c>
      <c r="P664">
        <v>2</v>
      </c>
      <c r="Q664">
        <v>150</v>
      </c>
      <c r="R664">
        <v>210</v>
      </c>
      <c r="S664">
        <v>2400</v>
      </c>
      <c r="T664">
        <v>17</v>
      </c>
      <c r="U664">
        <v>17</v>
      </c>
      <c r="V664">
        <f>River_data[[#This Row],[Dissolved Oxygen Min]]*River_data[[#This Row],[Dissolved Oxygen Max]]/2</f>
        <v>20.909999999999997</v>
      </c>
      <c r="W664">
        <f>River_data[[#This Row],[BOD Min]]*River_data[[#This Row],[BOD Max]]/2</f>
        <v>0.65</v>
      </c>
      <c r="X664">
        <f>AVERAGE(River_data[[#This Row],[pH Max]]-River_data[[#This Row],[pH Min]])</f>
        <v>1.1000000000000005</v>
      </c>
    </row>
    <row r="665" spans="1:24" x14ac:dyDescent="0.3">
      <c r="A665">
        <v>2051</v>
      </c>
      <c r="B665" s="1" t="s">
        <v>683</v>
      </c>
      <c r="C665" s="1" t="s">
        <v>682</v>
      </c>
      <c r="D665">
        <v>19</v>
      </c>
      <c r="E665">
        <v>25</v>
      </c>
      <c r="F665">
        <v>5.3</v>
      </c>
      <c r="G665">
        <v>8.4</v>
      </c>
      <c r="H665">
        <v>7.3</v>
      </c>
      <c r="I665">
        <v>8.3000000000000007</v>
      </c>
      <c r="J665">
        <v>110</v>
      </c>
      <c r="K665">
        <v>364</v>
      </c>
      <c r="L665">
        <v>1</v>
      </c>
      <c r="M665">
        <v>1.5</v>
      </c>
      <c r="N665">
        <v>0.02</v>
      </c>
      <c r="O665">
        <v>0.6</v>
      </c>
      <c r="P665">
        <v>2</v>
      </c>
      <c r="Q665">
        <v>150</v>
      </c>
      <c r="R665">
        <v>210</v>
      </c>
      <c r="S665">
        <v>2400</v>
      </c>
      <c r="T665">
        <v>17</v>
      </c>
      <c r="U665">
        <v>17</v>
      </c>
      <c r="V665">
        <f>River_data[[#This Row],[Dissolved Oxygen Min]]*River_data[[#This Row],[Dissolved Oxygen Max]]/2</f>
        <v>22.26</v>
      </c>
      <c r="W665">
        <f>River_data[[#This Row],[BOD Min]]*River_data[[#This Row],[BOD Max]]/2</f>
        <v>0.75</v>
      </c>
      <c r="X665">
        <f>AVERAGE(River_data[[#This Row],[pH Max]]-River_data[[#This Row],[pH Min]])</f>
        <v>1.0000000000000009</v>
      </c>
    </row>
    <row r="666" spans="1:24" x14ac:dyDescent="0.3">
      <c r="A666">
        <v>2053</v>
      </c>
      <c r="B666" s="1" t="s">
        <v>684</v>
      </c>
      <c r="C666" s="1" t="s">
        <v>682</v>
      </c>
      <c r="D666">
        <v>19</v>
      </c>
      <c r="E666">
        <v>24</v>
      </c>
      <c r="F666">
        <v>4.2</v>
      </c>
      <c r="G666">
        <v>8.3000000000000007</v>
      </c>
      <c r="H666">
        <v>6.7</v>
      </c>
      <c r="I666">
        <v>8.4</v>
      </c>
      <c r="J666">
        <v>145</v>
      </c>
      <c r="K666">
        <v>428</v>
      </c>
      <c r="L666">
        <v>1</v>
      </c>
      <c r="M666">
        <v>1.2</v>
      </c>
      <c r="N666">
        <v>0.02</v>
      </c>
      <c r="O666">
        <v>1.08</v>
      </c>
      <c r="P666">
        <v>3</v>
      </c>
      <c r="Q666">
        <v>240</v>
      </c>
      <c r="R666">
        <v>1100</v>
      </c>
      <c r="S666">
        <v>2400</v>
      </c>
      <c r="T666">
        <v>21</v>
      </c>
      <c r="U666">
        <v>21</v>
      </c>
      <c r="V666">
        <f>River_data[[#This Row],[Dissolved Oxygen Min]]*River_data[[#This Row],[Dissolved Oxygen Max]]/2</f>
        <v>17.430000000000003</v>
      </c>
      <c r="W666">
        <f>River_data[[#This Row],[BOD Min]]*River_data[[#This Row],[BOD Max]]/2</f>
        <v>0.6</v>
      </c>
      <c r="X666">
        <f>AVERAGE(River_data[[#This Row],[pH Max]]-River_data[[#This Row],[pH Min]])</f>
        <v>1.7000000000000002</v>
      </c>
    </row>
    <row r="667" spans="1:24" x14ac:dyDescent="0.3">
      <c r="A667">
        <v>3709</v>
      </c>
      <c r="B667" s="1" t="s">
        <v>685</v>
      </c>
      <c r="C667" s="1" t="s">
        <v>682</v>
      </c>
      <c r="D667">
        <v>19</v>
      </c>
      <c r="E667">
        <v>26</v>
      </c>
      <c r="F667">
        <v>5.7</v>
      </c>
      <c r="G667">
        <v>10.6</v>
      </c>
      <c r="H667">
        <v>7.2</v>
      </c>
      <c r="I667">
        <v>8.6</v>
      </c>
      <c r="J667">
        <v>131</v>
      </c>
      <c r="K667">
        <v>329</v>
      </c>
      <c r="L667">
        <v>1</v>
      </c>
      <c r="M667">
        <v>1.8</v>
      </c>
      <c r="N667">
        <v>0.02</v>
      </c>
      <c r="O667">
        <v>4.88</v>
      </c>
      <c r="P667">
        <v>2</v>
      </c>
      <c r="Q667">
        <v>240</v>
      </c>
      <c r="R667">
        <v>1100</v>
      </c>
      <c r="S667">
        <v>2400</v>
      </c>
      <c r="T667">
        <v>23</v>
      </c>
      <c r="U667">
        <v>23</v>
      </c>
      <c r="V667">
        <f>River_data[[#This Row],[Dissolved Oxygen Min]]*River_data[[#This Row],[Dissolved Oxygen Max]]/2</f>
        <v>30.21</v>
      </c>
      <c r="W667">
        <f>River_data[[#This Row],[BOD Min]]*River_data[[#This Row],[BOD Max]]/2</f>
        <v>0.9</v>
      </c>
      <c r="X667">
        <f>AVERAGE(River_data[[#This Row],[pH Max]]-River_data[[#This Row],[pH Min]])</f>
        <v>1.3999999999999995</v>
      </c>
    </row>
    <row r="668" spans="1:24" x14ac:dyDescent="0.3">
      <c r="A668">
        <v>3754</v>
      </c>
      <c r="B668" s="1" t="s">
        <v>686</v>
      </c>
      <c r="C668" s="1" t="s">
        <v>682</v>
      </c>
      <c r="D668">
        <v>11</v>
      </c>
      <c r="E668">
        <v>25</v>
      </c>
      <c r="F668">
        <v>5.5</v>
      </c>
      <c r="G668">
        <v>10</v>
      </c>
      <c r="H668">
        <v>6.8</v>
      </c>
      <c r="I668">
        <v>7.9</v>
      </c>
      <c r="J668">
        <v>148</v>
      </c>
      <c r="K668">
        <v>280</v>
      </c>
      <c r="L668">
        <v>1</v>
      </c>
      <c r="M668">
        <v>1.6</v>
      </c>
      <c r="N668">
        <v>0.02</v>
      </c>
      <c r="O668">
        <v>2.4</v>
      </c>
      <c r="V668">
        <f>River_data[[#This Row],[Dissolved Oxygen Min]]*River_data[[#This Row],[Dissolved Oxygen Max]]/2</f>
        <v>27.5</v>
      </c>
      <c r="W668">
        <f>River_data[[#This Row],[BOD Min]]*River_data[[#This Row],[BOD Max]]/2</f>
        <v>0.8</v>
      </c>
      <c r="X668">
        <f>AVERAGE(River_data[[#This Row],[pH Max]]-River_data[[#This Row],[pH Min]])</f>
        <v>1.1000000000000005</v>
      </c>
    </row>
    <row r="669" spans="1:24" x14ac:dyDescent="0.3">
      <c r="A669">
        <v>4121</v>
      </c>
      <c r="B669" s="1" t="s">
        <v>687</v>
      </c>
      <c r="C669" s="1" t="s">
        <v>682</v>
      </c>
      <c r="D669">
        <v>10</v>
      </c>
      <c r="E669">
        <v>25</v>
      </c>
      <c r="F669">
        <v>5.4</v>
      </c>
      <c r="G669">
        <v>7.5</v>
      </c>
      <c r="H669">
        <v>6.8</v>
      </c>
      <c r="I669">
        <v>8.1</v>
      </c>
      <c r="J669">
        <v>107</v>
      </c>
      <c r="K669">
        <v>265</v>
      </c>
      <c r="L669">
        <v>1</v>
      </c>
      <c r="M669">
        <v>1.4</v>
      </c>
      <c r="N669">
        <v>0.02</v>
      </c>
      <c r="O669">
        <v>1.8</v>
      </c>
      <c r="V669">
        <f>River_data[[#This Row],[Dissolved Oxygen Min]]*River_data[[#This Row],[Dissolved Oxygen Max]]/2</f>
        <v>20.25</v>
      </c>
      <c r="W669">
        <f>River_data[[#This Row],[BOD Min]]*River_data[[#This Row],[BOD Max]]/2</f>
        <v>0.7</v>
      </c>
      <c r="X669">
        <f>AVERAGE(River_data[[#This Row],[pH Max]]-River_data[[#This Row],[pH Min]])</f>
        <v>1.2999999999999998</v>
      </c>
    </row>
    <row r="670" spans="1:24" x14ac:dyDescent="0.3">
      <c r="A670">
        <v>3734</v>
      </c>
      <c r="B670" s="1" t="s">
        <v>688</v>
      </c>
      <c r="C670" s="1" t="s">
        <v>682</v>
      </c>
      <c r="D670">
        <v>14</v>
      </c>
      <c r="E670">
        <v>26</v>
      </c>
      <c r="F670">
        <v>6.9</v>
      </c>
      <c r="G670">
        <v>9.6</v>
      </c>
      <c r="H670">
        <v>6.1</v>
      </c>
      <c r="I670">
        <v>7.2</v>
      </c>
      <c r="J670">
        <v>36</v>
      </c>
      <c r="K670">
        <v>214</v>
      </c>
      <c r="L670">
        <v>1</v>
      </c>
      <c r="M670">
        <v>1.4</v>
      </c>
      <c r="N670">
        <v>0.02</v>
      </c>
      <c r="O670">
        <v>5.28</v>
      </c>
      <c r="V670">
        <f>River_data[[#This Row],[Dissolved Oxygen Min]]*River_data[[#This Row],[Dissolved Oxygen Max]]/2</f>
        <v>33.119999999999997</v>
      </c>
      <c r="W670">
        <f>River_data[[#This Row],[BOD Min]]*River_data[[#This Row],[BOD Max]]/2</f>
        <v>0.7</v>
      </c>
      <c r="X670">
        <f>AVERAGE(River_data[[#This Row],[pH Max]]-River_data[[#This Row],[pH Min]])</f>
        <v>1.1000000000000005</v>
      </c>
    </row>
    <row r="671" spans="1:24" x14ac:dyDescent="0.3">
      <c r="A671">
        <v>3736</v>
      </c>
      <c r="B671" s="1" t="s">
        <v>689</v>
      </c>
      <c r="C671" s="1" t="s">
        <v>682</v>
      </c>
      <c r="D671">
        <v>20</v>
      </c>
      <c r="E671">
        <v>28</v>
      </c>
      <c r="F671">
        <v>6.2</v>
      </c>
      <c r="G671">
        <v>9.1999999999999993</v>
      </c>
      <c r="H671">
        <v>7.3</v>
      </c>
      <c r="I671">
        <v>8</v>
      </c>
      <c r="J671">
        <v>77</v>
      </c>
      <c r="K671">
        <v>225</v>
      </c>
      <c r="L671">
        <v>1.1000000000000001</v>
      </c>
      <c r="M671">
        <v>1.3</v>
      </c>
      <c r="N671">
        <v>0.02</v>
      </c>
      <c r="O671">
        <v>0.96</v>
      </c>
      <c r="V671">
        <f>River_data[[#This Row],[Dissolved Oxygen Min]]*River_data[[#This Row],[Dissolved Oxygen Max]]/2</f>
        <v>28.52</v>
      </c>
      <c r="W671">
        <f>River_data[[#This Row],[BOD Min]]*River_data[[#This Row],[BOD Max]]/2</f>
        <v>0.71500000000000008</v>
      </c>
      <c r="X671">
        <f>AVERAGE(River_data[[#This Row],[pH Max]]-River_data[[#This Row],[pH Min]])</f>
        <v>0.70000000000000018</v>
      </c>
    </row>
    <row r="672" spans="1:24" x14ac:dyDescent="0.3">
      <c r="A672">
        <v>3710</v>
      </c>
      <c r="B672" s="1" t="s">
        <v>690</v>
      </c>
      <c r="C672" s="1" t="s">
        <v>682</v>
      </c>
      <c r="D672">
        <v>18</v>
      </c>
      <c r="E672">
        <v>24</v>
      </c>
      <c r="F672">
        <v>5.7</v>
      </c>
      <c r="G672">
        <v>8.1999999999999993</v>
      </c>
      <c r="H672">
        <v>7.3</v>
      </c>
      <c r="I672">
        <v>8.5</v>
      </c>
      <c r="J672">
        <v>18</v>
      </c>
      <c r="K672">
        <v>422</v>
      </c>
      <c r="L672">
        <v>1</v>
      </c>
      <c r="M672">
        <v>1.3</v>
      </c>
      <c r="N672">
        <v>0.02</v>
      </c>
      <c r="O672">
        <v>31.02</v>
      </c>
      <c r="V672">
        <f>River_data[[#This Row],[Dissolved Oxygen Min]]*River_data[[#This Row],[Dissolved Oxygen Max]]/2</f>
        <v>23.369999999999997</v>
      </c>
      <c r="W672">
        <f>River_data[[#This Row],[BOD Min]]*River_data[[#This Row],[BOD Max]]/2</f>
        <v>0.65</v>
      </c>
      <c r="X672">
        <f>AVERAGE(River_data[[#This Row],[pH Max]]-River_data[[#This Row],[pH Min]])</f>
        <v>1.2000000000000002</v>
      </c>
    </row>
    <row r="673" spans="1:24" x14ac:dyDescent="0.3">
      <c r="A673">
        <v>3711</v>
      </c>
      <c r="B673" s="1" t="s">
        <v>691</v>
      </c>
      <c r="C673" s="1" t="s">
        <v>682</v>
      </c>
      <c r="D673">
        <v>20</v>
      </c>
      <c r="E673">
        <v>24</v>
      </c>
      <c r="F673">
        <v>4.9000000000000004</v>
      </c>
      <c r="G673">
        <v>8.1999999999999993</v>
      </c>
      <c r="H673">
        <v>7.2</v>
      </c>
      <c r="I673">
        <v>8.1</v>
      </c>
      <c r="J673">
        <v>38</v>
      </c>
      <c r="K673">
        <v>126</v>
      </c>
      <c r="L673">
        <v>1</v>
      </c>
      <c r="M673">
        <v>1.3</v>
      </c>
      <c r="N673">
        <v>0.02</v>
      </c>
      <c r="O673">
        <v>0.92</v>
      </c>
      <c r="V673">
        <f>River_data[[#This Row],[Dissolved Oxygen Min]]*River_data[[#This Row],[Dissolved Oxygen Max]]/2</f>
        <v>20.09</v>
      </c>
      <c r="W673">
        <f>River_data[[#This Row],[BOD Min]]*River_data[[#This Row],[BOD Max]]/2</f>
        <v>0.65</v>
      </c>
      <c r="X673">
        <f>AVERAGE(River_data[[#This Row],[pH Max]]-River_data[[#This Row],[pH Min]])</f>
        <v>0.89999999999999947</v>
      </c>
    </row>
    <row r="674" spans="1:24" x14ac:dyDescent="0.3">
      <c r="A674">
        <v>3712</v>
      </c>
      <c r="B674" s="1" t="s">
        <v>692</v>
      </c>
      <c r="C674" s="1" t="s">
        <v>682</v>
      </c>
      <c r="D674">
        <v>19</v>
      </c>
      <c r="E674">
        <v>25</v>
      </c>
      <c r="F674">
        <v>3.9</v>
      </c>
      <c r="G674">
        <v>8.1999999999999993</v>
      </c>
      <c r="H674">
        <v>7.6</v>
      </c>
      <c r="I674">
        <v>8.4</v>
      </c>
      <c r="J674">
        <v>113</v>
      </c>
      <c r="K674">
        <v>359</v>
      </c>
      <c r="L674">
        <v>1</v>
      </c>
      <c r="M674">
        <v>5.5</v>
      </c>
      <c r="N674">
        <v>0.02</v>
      </c>
      <c r="O674">
        <v>1.42</v>
      </c>
      <c r="P674">
        <v>2</v>
      </c>
      <c r="Q674">
        <v>210</v>
      </c>
      <c r="R674">
        <v>210</v>
      </c>
      <c r="S674">
        <v>2400</v>
      </c>
      <c r="T674">
        <v>26</v>
      </c>
      <c r="U674">
        <v>26</v>
      </c>
      <c r="V674">
        <f>River_data[[#This Row],[Dissolved Oxygen Min]]*River_data[[#This Row],[Dissolved Oxygen Max]]/2</f>
        <v>15.989999999999998</v>
      </c>
      <c r="W674">
        <f>River_data[[#This Row],[BOD Min]]*River_data[[#This Row],[BOD Max]]/2</f>
        <v>2.75</v>
      </c>
      <c r="X674">
        <f>AVERAGE(River_data[[#This Row],[pH Max]]-River_data[[#This Row],[pH Min]])</f>
        <v>0.80000000000000071</v>
      </c>
    </row>
    <row r="675" spans="1:24" x14ac:dyDescent="0.3">
      <c r="A675">
        <v>3713</v>
      </c>
      <c r="B675" s="1" t="s">
        <v>693</v>
      </c>
      <c r="C675" s="1" t="s">
        <v>682</v>
      </c>
      <c r="D675">
        <v>15</v>
      </c>
      <c r="E675">
        <v>24</v>
      </c>
      <c r="F675">
        <v>4.0999999999999996</v>
      </c>
      <c r="G675">
        <v>6.9</v>
      </c>
      <c r="H675">
        <v>5.6</v>
      </c>
      <c r="I675">
        <v>8.1</v>
      </c>
      <c r="J675">
        <v>182</v>
      </c>
      <c r="K675">
        <v>746</v>
      </c>
      <c r="L675">
        <v>1</v>
      </c>
      <c r="M675">
        <v>2.9</v>
      </c>
      <c r="N675">
        <v>0.02</v>
      </c>
      <c r="O675">
        <v>10.92</v>
      </c>
      <c r="V675">
        <f>River_data[[#This Row],[Dissolved Oxygen Min]]*River_data[[#This Row],[Dissolved Oxygen Max]]/2</f>
        <v>14.145</v>
      </c>
      <c r="W675">
        <f>River_data[[#This Row],[BOD Min]]*River_data[[#This Row],[BOD Max]]/2</f>
        <v>1.45</v>
      </c>
      <c r="X675">
        <f>AVERAGE(River_data[[#This Row],[pH Max]]-River_data[[#This Row],[pH Min]])</f>
        <v>2.5</v>
      </c>
    </row>
    <row r="676" spans="1:24" x14ac:dyDescent="0.3">
      <c r="A676">
        <v>3714</v>
      </c>
      <c r="B676" s="1" t="s">
        <v>694</v>
      </c>
      <c r="C676" s="1" t="s">
        <v>682</v>
      </c>
      <c r="D676">
        <v>11</v>
      </c>
      <c r="E676">
        <v>22</v>
      </c>
      <c r="F676">
        <v>6.6</v>
      </c>
      <c r="G676">
        <v>7.8</v>
      </c>
      <c r="H676">
        <v>6</v>
      </c>
      <c r="I676">
        <v>7.6</v>
      </c>
      <c r="J676">
        <v>24</v>
      </c>
      <c r="K676">
        <v>280</v>
      </c>
      <c r="L676">
        <v>1</v>
      </c>
      <c r="M676">
        <v>1.8</v>
      </c>
      <c r="N676">
        <v>0.02</v>
      </c>
      <c r="O676">
        <v>1.3</v>
      </c>
      <c r="V676">
        <f>River_data[[#This Row],[Dissolved Oxygen Min]]*River_data[[#This Row],[Dissolved Oxygen Max]]/2</f>
        <v>25.74</v>
      </c>
      <c r="W676">
        <f>River_data[[#This Row],[BOD Min]]*River_data[[#This Row],[BOD Max]]/2</f>
        <v>0.9</v>
      </c>
      <c r="X676">
        <f>AVERAGE(River_data[[#This Row],[pH Max]]-River_data[[#This Row],[pH Min]])</f>
        <v>1.5999999999999996</v>
      </c>
    </row>
    <row r="677" spans="1:24" x14ac:dyDescent="0.3">
      <c r="A677">
        <v>3715</v>
      </c>
      <c r="B677" s="1" t="s">
        <v>695</v>
      </c>
      <c r="C677" s="1" t="s">
        <v>682</v>
      </c>
      <c r="D677">
        <v>19</v>
      </c>
      <c r="E677">
        <v>24</v>
      </c>
      <c r="F677">
        <v>4.2</v>
      </c>
      <c r="G677">
        <v>8.1</v>
      </c>
      <c r="H677">
        <v>7.4</v>
      </c>
      <c r="I677">
        <v>8.4</v>
      </c>
      <c r="J677">
        <v>143</v>
      </c>
      <c r="K677">
        <v>413</v>
      </c>
      <c r="L677">
        <v>1</v>
      </c>
      <c r="M677">
        <v>1.4</v>
      </c>
      <c r="N677">
        <v>0.02</v>
      </c>
      <c r="O677">
        <v>5.32</v>
      </c>
      <c r="V677">
        <f>River_data[[#This Row],[Dissolved Oxygen Min]]*River_data[[#This Row],[Dissolved Oxygen Max]]/2</f>
        <v>17.010000000000002</v>
      </c>
      <c r="W677">
        <f>River_data[[#This Row],[BOD Min]]*River_data[[#This Row],[BOD Max]]/2</f>
        <v>0.7</v>
      </c>
      <c r="X677">
        <f>AVERAGE(River_data[[#This Row],[pH Max]]-River_data[[#This Row],[pH Min]])</f>
        <v>1</v>
      </c>
    </row>
    <row r="678" spans="1:24" x14ac:dyDescent="0.3">
      <c r="A678">
        <v>4118</v>
      </c>
      <c r="B678" s="1" t="s">
        <v>696</v>
      </c>
      <c r="C678" s="1" t="s">
        <v>682</v>
      </c>
      <c r="D678">
        <v>19</v>
      </c>
      <c r="E678">
        <v>36</v>
      </c>
      <c r="F678">
        <v>5.3</v>
      </c>
      <c r="G678">
        <v>9.1</v>
      </c>
      <c r="H678">
        <v>6.9</v>
      </c>
      <c r="I678">
        <v>7.5</v>
      </c>
      <c r="J678">
        <v>81</v>
      </c>
      <c r="K678">
        <v>119</v>
      </c>
      <c r="L678">
        <v>1</v>
      </c>
      <c r="M678">
        <v>1.4</v>
      </c>
      <c r="N678">
        <v>0.02</v>
      </c>
      <c r="O678">
        <v>0.78</v>
      </c>
      <c r="V678">
        <f>River_data[[#This Row],[Dissolved Oxygen Min]]*River_data[[#This Row],[Dissolved Oxygen Max]]/2</f>
        <v>24.114999999999998</v>
      </c>
      <c r="W678">
        <f>River_data[[#This Row],[BOD Min]]*River_data[[#This Row],[BOD Max]]/2</f>
        <v>0.7</v>
      </c>
      <c r="X678">
        <f>AVERAGE(River_data[[#This Row],[pH Max]]-River_data[[#This Row],[pH Min]])</f>
        <v>0.59999999999999964</v>
      </c>
    </row>
    <row r="679" spans="1:24" x14ac:dyDescent="0.3">
      <c r="A679">
        <v>3717</v>
      </c>
      <c r="B679" s="1" t="s">
        <v>697</v>
      </c>
      <c r="C679" s="1" t="s">
        <v>682</v>
      </c>
      <c r="D679">
        <v>19</v>
      </c>
      <c r="E679">
        <v>24</v>
      </c>
      <c r="F679">
        <v>4.0999999999999996</v>
      </c>
      <c r="G679">
        <v>8.1999999999999993</v>
      </c>
      <c r="H679">
        <v>7.5</v>
      </c>
      <c r="I679">
        <v>8.5</v>
      </c>
      <c r="J679">
        <v>167</v>
      </c>
      <c r="K679">
        <v>480</v>
      </c>
      <c r="L679">
        <v>1</v>
      </c>
      <c r="M679">
        <v>1.4</v>
      </c>
      <c r="N679">
        <v>0.02</v>
      </c>
      <c r="O679">
        <v>1.63</v>
      </c>
      <c r="V679">
        <f>River_data[[#This Row],[Dissolved Oxygen Min]]*River_data[[#This Row],[Dissolved Oxygen Max]]/2</f>
        <v>16.809999999999999</v>
      </c>
      <c r="W679">
        <f>River_data[[#This Row],[BOD Min]]*River_data[[#This Row],[BOD Max]]/2</f>
        <v>0.7</v>
      </c>
      <c r="X679">
        <f>AVERAGE(River_data[[#This Row],[pH Max]]-River_data[[#This Row],[pH Min]])</f>
        <v>1</v>
      </c>
    </row>
    <row r="680" spans="1:24" x14ac:dyDescent="0.3">
      <c r="A680">
        <v>2052</v>
      </c>
      <c r="B680" s="1" t="s">
        <v>698</v>
      </c>
      <c r="C680" s="1" t="s">
        <v>682</v>
      </c>
      <c r="D680">
        <v>19</v>
      </c>
      <c r="E680">
        <v>24</v>
      </c>
      <c r="F680">
        <v>4</v>
      </c>
      <c r="G680">
        <v>8</v>
      </c>
      <c r="H680">
        <v>6.5</v>
      </c>
      <c r="I680">
        <v>8.4</v>
      </c>
      <c r="J680">
        <v>149</v>
      </c>
      <c r="K680">
        <v>405</v>
      </c>
      <c r="L680">
        <v>1</v>
      </c>
      <c r="M680">
        <v>1.3</v>
      </c>
      <c r="N680">
        <v>0.02</v>
      </c>
      <c r="O680">
        <v>1.46</v>
      </c>
      <c r="P680">
        <v>3</v>
      </c>
      <c r="Q680">
        <v>240</v>
      </c>
      <c r="R680">
        <v>1100</v>
      </c>
      <c r="S680">
        <v>2400</v>
      </c>
      <c r="T680">
        <v>21</v>
      </c>
      <c r="U680">
        <v>21</v>
      </c>
      <c r="V680">
        <f>River_data[[#This Row],[Dissolved Oxygen Min]]*River_data[[#This Row],[Dissolved Oxygen Max]]/2</f>
        <v>16</v>
      </c>
      <c r="W680">
        <f>River_data[[#This Row],[BOD Min]]*River_data[[#This Row],[BOD Max]]/2</f>
        <v>0.65</v>
      </c>
      <c r="X680">
        <f>AVERAGE(River_data[[#This Row],[pH Max]]-River_data[[#This Row],[pH Min]])</f>
        <v>1.9000000000000004</v>
      </c>
    </row>
    <row r="681" spans="1:24" x14ac:dyDescent="0.3">
      <c r="A681">
        <v>3716</v>
      </c>
      <c r="B681" s="1" t="s">
        <v>699</v>
      </c>
      <c r="C681" s="1" t="s">
        <v>682</v>
      </c>
      <c r="D681">
        <v>19</v>
      </c>
      <c r="E681">
        <v>24</v>
      </c>
      <c r="F681">
        <v>5.0999999999999996</v>
      </c>
      <c r="G681">
        <v>9</v>
      </c>
      <c r="H681">
        <v>7.7</v>
      </c>
      <c r="I681">
        <v>8.4</v>
      </c>
      <c r="J681">
        <v>119</v>
      </c>
      <c r="K681">
        <v>320</v>
      </c>
      <c r="L681">
        <v>1</v>
      </c>
      <c r="M681">
        <v>1.6</v>
      </c>
      <c r="N681">
        <v>0.02</v>
      </c>
      <c r="O681">
        <v>0.86</v>
      </c>
      <c r="V681">
        <f>River_data[[#This Row],[Dissolved Oxygen Min]]*River_data[[#This Row],[Dissolved Oxygen Max]]/2</f>
        <v>22.95</v>
      </c>
      <c r="W681">
        <f>River_data[[#This Row],[BOD Min]]*River_data[[#This Row],[BOD Max]]/2</f>
        <v>0.8</v>
      </c>
      <c r="X681">
        <f>AVERAGE(River_data[[#This Row],[pH Max]]-River_data[[#This Row],[pH Min]])</f>
        <v>0.70000000000000018</v>
      </c>
    </row>
    <row r="682" spans="1:24" x14ac:dyDescent="0.3">
      <c r="A682">
        <v>3718</v>
      </c>
      <c r="B682" s="1" t="s">
        <v>700</v>
      </c>
      <c r="C682" s="1" t="s">
        <v>682</v>
      </c>
      <c r="D682">
        <v>20</v>
      </c>
      <c r="E682">
        <v>24</v>
      </c>
      <c r="F682">
        <v>1.5</v>
      </c>
      <c r="G682">
        <v>7.1</v>
      </c>
      <c r="H682">
        <v>7.3</v>
      </c>
      <c r="I682">
        <v>8.1999999999999993</v>
      </c>
      <c r="J682">
        <v>371</v>
      </c>
      <c r="K682">
        <v>914</v>
      </c>
      <c r="L682">
        <v>1.2</v>
      </c>
      <c r="M682">
        <v>29</v>
      </c>
      <c r="N682">
        <v>0.02</v>
      </c>
      <c r="O682">
        <v>18</v>
      </c>
      <c r="P682">
        <v>2</v>
      </c>
      <c r="Q682">
        <v>1100</v>
      </c>
      <c r="R682">
        <v>1600</v>
      </c>
      <c r="S682">
        <v>2400</v>
      </c>
      <c r="T682">
        <v>240</v>
      </c>
      <c r="U682">
        <v>240</v>
      </c>
      <c r="V682">
        <f>River_data[[#This Row],[Dissolved Oxygen Min]]*River_data[[#This Row],[Dissolved Oxygen Max]]/2</f>
        <v>5.3249999999999993</v>
      </c>
      <c r="W682">
        <f>River_data[[#This Row],[BOD Min]]*River_data[[#This Row],[BOD Max]]/2</f>
        <v>17.399999999999999</v>
      </c>
      <c r="X682">
        <f>AVERAGE(River_data[[#This Row],[pH Max]]-River_data[[#This Row],[pH Min]])</f>
        <v>0.89999999999999947</v>
      </c>
    </row>
    <row r="683" spans="1:24" x14ac:dyDescent="0.3">
      <c r="A683">
        <v>3719</v>
      </c>
      <c r="B683" s="1" t="s">
        <v>701</v>
      </c>
      <c r="C683" s="1" t="s">
        <v>682</v>
      </c>
      <c r="D683">
        <v>16</v>
      </c>
      <c r="E683">
        <v>26</v>
      </c>
      <c r="F683">
        <v>7.5</v>
      </c>
      <c r="G683">
        <v>9.8000000000000007</v>
      </c>
      <c r="H683">
        <v>6.8</v>
      </c>
      <c r="I683">
        <v>8</v>
      </c>
      <c r="J683">
        <v>93</v>
      </c>
      <c r="K683">
        <v>217</v>
      </c>
      <c r="L683">
        <v>1</v>
      </c>
      <c r="M683">
        <v>1.5</v>
      </c>
      <c r="N683">
        <v>0.02</v>
      </c>
      <c r="O683">
        <v>1.3</v>
      </c>
      <c r="V683">
        <f>River_data[[#This Row],[Dissolved Oxygen Min]]*River_data[[#This Row],[Dissolved Oxygen Max]]/2</f>
        <v>36.75</v>
      </c>
      <c r="W683">
        <f>River_data[[#This Row],[BOD Min]]*River_data[[#This Row],[BOD Max]]/2</f>
        <v>0.75</v>
      </c>
      <c r="X683">
        <f>AVERAGE(River_data[[#This Row],[pH Max]]-River_data[[#This Row],[pH Min]])</f>
        <v>1.2000000000000002</v>
      </c>
    </row>
    <row r="684" spans="1:24" x14ac:dyDescent="0.3">
      <c r="A684">
        <v>3720</v>
      </c>
      <c r="B684" s="1" t="s">
        <v>702</v>
      </c>
      <c r="C684" s="1" t="s">
        <v>682</v>
      </c>
      <c r="D684">
        <v>16</v>
      </c>
      <c r="E684">
        <v>26</v>
      </c>
      <c r="F684">
        <v>6.8</v>
      </c>
      <c r="G684">
        <v>9.9</v>
      </c>
      <c r="H684">
        <v>6.6</v>
      </c>
      <c r="I684">
        <v>7.7</v>
      </c>
      <c r="J684">
        <v>97</v>
      </c>
      <c r="K684">
        <v>215</v>
      </c>
      <c r="L684">
        <v>1</v>
      </c>
      <c r="M684">
        <v>1.4</v>
      </c>
      <c r="N684">
        <v>0.02</v>
      </c>
      <c r="O684">
        <v>0.59</v>
      </c>
      <c r="V684">
        <f>River_data[[#This Row],[Dissolved Oxygen Min]]*River_data[[#This Row],[Dissolved Oxygen Max]]/2</f>
        <v>33.660000000000004</v>
      </c>
      <c r="W684">
        <f>River_data[[#This Row],[BOD Min]]*River_data[[#This Row],[BOD Max]]/2</f>
        <v>0.7</v>
      </c>
      <c r="X684">
        <f>AVERAGE(River_data[[#This Row],[pH Max]]-River_data[[#This Row],[pH Min]])</f>
        <v>1.1000000000000005</v>
      </c>
    </row>
    <row r="685" spans="1:24" x14ac:dyDescent="0.3">
      <c r="A685">
        <v>3721</v>
      </c>
      <c r="B685" s="1" t="s">
        <v>703</v>
      </c>
      <c r="C685" s="1" t="s">
        <v>682</v>
      </c>
      <c r="D685">
        <v>18</v>
      </c>
      <c r="E685">
        <v>24</v>
      </c>
      <c r="F685">
        <v>0.3</v>
      </c>
      <c r="G685">
        <v>6.9</v>
      </c>
      <c r="H685">
        <v>5.6</v>
      </c>
      <c r="I685">
        <v>8.1999999999999993</v>
      </c>
      <c r="J685">
        <v>166</v>
      </c>
      <c r="K685">
        <v>855</v>
      </c>
      <c r="L685">
        <v>1</v>
      </c>
      <c r="M685">
        <v>14.3</v>
      </c>
      <c r="N685">
        <v>0.02</v>
      </c>
      <c r="O685">
        <v>8.1999999999999993</v>
      </c>
      <c r="P685">
        <v>3</v>
      </c>
      <c r="Q685">
        <v>210</v>
      </c>
      <c r="R685">
        <v>2400</v>
      </c>
      <c r="S685">
        <v>2400</v>
      </c>
      <c r="V685">
        <f>River_data[[#This Row],[Dissolved Oxygen Min]]*River_data[[#This Row],[Dissolved Oxygen Max]]/2</f>
        <v>1.0349999999999999</v>
      </c>
      <c r="W685">
        <f>River_data[[#This Row],[BOD Min]]*River_data[[#This Row],[BOD Max]]/2</f>
        <v>7.15</v>
      </c>
      <c r="X685">
        <f>AVERAGE(River_data[[#This Row],[pH Max]]-River_data[[#This Row],[pH Min]])</f>
        <v>2.5999999999999996</v>
      </c>
    </row>
    <row r="686" spans="1:24" x14ac:dyDescent="0.3">
      <c r="A686">
        <v>3724</v>
      </c>
      <c r="B686" s="1" t="s">
        <v>704</v>
      </c>
      <c r="C686" s="1" t="s">
        <v>682</v>
      </c>
      <c r="D686">
        <v>18</v>
      </c>
      <c r="E686">
        <v>24</v>
      </c>
      <c r="F686">
        <v>5.9</v>
      </c>
      <c r="G686">
        <v>9.6</v>
      </c>
      <c r="H686">
        <v>6.7</v>
      </c>
      <c r="I686">
        <v>8.1</v>
      </c>
      <c r="J686">
        <v>104</v>
      </c>
      <c r="K686">
        <v>259</v>
      </c>
      <c r="L686">
        <v>1</v>
      </c>
      <c r="M686">
        <v>1.6</v>
      </c>
      <c r="N686">
        <v>0.02</v>
      </c>
      <c r="O686">
        <v>1.1399999999999999</v>
      </c>
      <c r="V686">
        <f>River_data[[#This Row],[Dissolved Oxygen Min]]*River_data[[#This Row],[Dissolved Oxygen Max]]/2</f>
        <v>28.32</v>
      </c>
      <c r="W686">
        <f>River_data[[#This Row],[BOD Min]]*River_data[[#This Row],[BOD Max]]/2</f>
        <v>0.8</v>
      </c>
      <c r="X686">
        <f>AVERAGE(River_data[[#This Row],[pH Max]]-River_data[[#This Row],[pH Min]])</f>
        <v>1.3999999999999995</v>
      </c>
    </row>
    <row r="687" spans="1:24" x14ac:dyDescent="0.3">
      <c r="A687">
        <v>3735</v>
      </c>
      <c r="B687" s="1" t="s">
        <v>705</v>
      </c>
      <c r="C687" s="1" t="s">
        <v>682</v>
      </c>
      <c r="D687">
        <v>15</v>
      </c>
      <c r="E687">
        <v>26</v>
      </c>
      <c r="F687">
        <v>6</v>
      </c>
      <c r="G687">
        <v>10.5</v>
      </c>
      <c r="H687">
        <v>5.7</v>
      </c>
      <c r="I687">
        <v>7.5</v>
      </c>
      <c r="J687">
        <v>37</v>
      </c>
      <c r="K687">
        <v>1209</v>
      </c>
      <c r="L687">
        <v>1</v>
      </c>
      <c r="M687">
        <v>1.5</v>
      </c>
      <c r="N687">
        <v>0.02</v>
      </c>
      <c r="O687">
        <v>8.4499999999999993</v>
      </c>
      <c r="V687">
        <f>River_data[[#This Row],[Dissolved Oxygen Min]]*River_data[[#This Row],[Dissolved Oxygen Max]]/2</f>
        <v>31.5</v>
      </c>
      <c r="W687">
        <f>River_data[[#This Row],[BOD Min]]*River_data[[#This Row],[BOD Max]]/2</f>
        <v>0.75</v>
      </c>
      <c r="X687">
        <f>AVERAGE(River_data[[#This Row],[pH Max]]-River_data[[#This Row],[pH Min]])</f>
        <v>1.7999999999999998</v>
      </c>
    </row>
    <row r="688" spans="1:24" x14ac:dyDescent="0.3">
      <c r="A688">
        <v>3740</v>
      </c>
      <c r="B688" s="1" t="s">
        <v>706</v>
      </c>
      <c r="C688" s="1" t="s">
        <v>682</v>
      </c>
      <c r="D688">
        <v>21</v>
      </c>
      <c r="E688">
        <v>25</v>
      </c>
      <c r="F688">
        <v>5</v>
      </c>
      <c r="G688">
        <v>7.2</v>
      </c>
      <c r="H688">
        <v>6.5</v>
      </c>
      <c r="I688">
        <v>7.6</v>
      </c>
      <c r="J688">
        <v>60</v>
      </c>
      <c r="K688">
        <v>479</v>
      </c>
      <c r="L688">
        <v>1</v>
      </c>
      <c r="M688">
        <v>1.5</v>
      </c>
      <c r="N688">
        <v>0.02</v>
      </c>
      <c r="O688">
        <v>1.55</v>
      </c>
      <c r="V688">
        <f>River_data[[#This Row],[Dissolved Oxygen Min]]*River_data[[#This Row],[Dissolved Oxygen Max]]/2</f>
        <v>18</v>
      </c>
      <c r="W688">
        <f>River_data[[#This Row],[BOD Min]]*River_data[[#This Row],[BOD Max]]/2</f>
        <v>0.75</v>
      </c>
      <c r="X688">
        <f>AVERAGE(River_data[[#This Row],[pH Max]]-River_data[[#This Row],[pH Min]])</f>
        <v>1.0999999999999996</v>
      </c>
    </row>
    <row r="689" spans="1:24" x14ac:dyDescent="0.3">
      <c r="A689">
        <v>3744</v>
      </c>
      <c r="B689" s="1" t="s">
        <v>707</v>
      </c>
      <c r="C689" s="1" t="s">
        <v>682</v>
      </c>
      <c r="D689">
        <v>15</v>
      </c>
      <c r="E689">
        <v>34</v>
      </c>
      <c r="F689">
        <v>6</v>
      </c>
      <c r="G689">
        <v>8.9</v>
      </c>
      <c r="H689">
        <v>6.8</v>
      </c>
      <c r="I689">
        <v>8</v>
      </c>
      <c r="J689">
        <v>99</v>
      </c>
      <c r="K689">
        <v>557</v>
      </c>
      <c r="L689">
        <v>1</v>
      </c>
      <c r="M689">
        <v>1.4</v>
      </c>
      <c r="N689">
        <v>0.02</v>
      </c>
      <c r="O689">
        <v>2.35</v>
      </c>
      <c r="V689">
        <f>River_data[[#This Row],[Dissolved Oxygen Min]]*River_data[[#This Row],[Dissolved Oxygen Max]]/2</f>
        <v>26.700000000000003</v>
      </c>
      <c r="W689">
        <f>River_data[[#This Row],[BOD Min]]*River_data[[#This Row],[BOD Max]]/2</f>
        <v>0.7</v>
      </c>
      <c r="X689">
        <f>AVERAGE(River_data[[#This Row],[pH Max]]-River_data[[#This Row],[pH Min]])</f>
        <v>1.2000000000000002</v>
      </c>
    </row>
    <row r="690" spans="1:24" x14ac:dyDescent="0.3">
      <c r="A690">
        <v>3746</v>
      </c>
      <c r="B690" s="1" t="s">
        <v>708</v>
      </c>
      <c r="C690" s="1" t="s">
        <v>682</v>
      </c>
      <c r="D690">
        <v>14</v>
      </c>
      <c r="E690">
        <v>25</v>
      </c>
      <c r="F690">
        <v>5.7</v>
      </c>
      <c r="G690">
        <v>8.1999999999999993</v>
      </c>
      <c r="H690">
        <v>6.3</v>
      </c>
      <c r="I690">
        <v>7.8</v>
      </c>
      <c r="J690">
        <v>69</v>
      </c>
      <c r="K690">
        <v>306</v>
      </c>
      <c r="L690">
        <v>1</v>
      </c>
      <c r="M690">
        <v>1.5</v>
      </c>
      <c r="N690">
        <v>0.02</v>
      </c>
      <c r="O690">
        <v>1.06</v>
      </c>
      <c r="V690">
        <f>River_data[[#This Row],[Dissolved Oxygen Min]]*River_data[[#This Row],[Dissolved Oxygen Max]]/2</f>
        <v>23.369999999999997</v>
      </c>
      <c r="W690">
        <f>River_data[[#This Row],[BOD Min]]*River_data[[#This Row],[BOD Max]]/2</f>
        <v>0.75</v>
      </c>
      <c r="X690">
        <f>AVERAGE(River_data[[#This Row],[pH Max]]-River_data[[#This Row],[pH Min]])</f>
        <v>1.5</v>
      </c>
    </row>
    <row r="691" spans="1:24" x14ac:dyDescent="0.3">
      <c r="A691">
        <v>3747</v>
      </c>
      <c r="B691" s="1" t="s">
        <v>709</v>
      </c>
      <c r="C691" s="1" t="s">
        <v>682</v>
      </c>
      <c r="D691">
        <v>13</v>
      </c>
      <c r="E691">
        <v>24</v>
      </c>
      <c r="F691">
        <v>6.7</v>
      </c>
      <c r="G691">
        <v>9.1999999999999993</v>
      </c>
      <c r="H691">
        <v>6.9</v>
      </c>
      <c r="I691">
        <v>7.9</v>
      </c>
      <c r="J691">
        <v>75</v>
      </c>
      <c r="K691">
        <v>232</v>
      </c>
      <c r="L691">
        <v>1</v>
      </c>
      <c r="M691">
        <v>1.4</v>
      </c>
      <c r="N691">
        <v>0.02</v>
      </c>
      <c r="O691">
        <v>0.7</v>
      </c>
      <c r="V691">
        <f>River_data[[#This Row],[Dissolved Oxygen Min]]*River_data[[#This Row],[Dissolved Oxygen Max]]/2</f>
        <v>30.819999999999997</v>
      </c>
      <c r="W691">
        <f>River_data[[#This Row],[BOD Min]]*River_data[[#This Row],[BOD Max]]/2</f>
        <v>0.7</v>
      </c>
      <c r="X691">
        <f>AVERAGE(River_data[[#This Row],[pH Max]]-River_data[[#This Row],[pH Min]])</f>
        <v>1</v>
      </c>
    </row>
    <row r="692" spans="1:24" x14ac:dyDescent="0.3">
      <c r="A692">
        <v>3749</v>
      </c>
      <c r="B692" s="1" t="s">
        <v>710</v>
      </c>
      <c r="C692" s="1" t="s">
        <v>682</v>
      </c>
      <c r="D692">
        <v>17</v>
      </c>
      <c r="E692">
        <v>23</v>
      </c>
      <c r="F692">
        <v>6.6</v>
      </c>
      <c r="G692">
        <v>7.9</v>
      </c>
      <c r="H692">
        <v>7.2</v>
      </c>
      <c r="I692">
        <v>8.1999999999999993</v>
      </c>
      <c r="J692">
        <v>72</v>
      </c>
      <c r="K692">
        <v>212</v>
      </c>
      <c r="L692">
        <v>1</v>
      </c>
      <c r="M692">
        <v>1.6</v>
      </c>
      <c r="N692">
        <v>0.02</v>
      </c>
      <c r="O692">
        <v>0.92</v>
      </c>
      <c r="V692">
        <f>River_data[[#This Row],[Dissolved Oxygen Min]]*River_data[[#This Row],[Dissolved Oxygen Max]]/2</f>
        <v>26.07</v>
      </c>
      <c r="W692">
        <f>River_data[[#This Row],[BOD Min]]*River_data[[#This Row],[BOD Max]]/2</f>
        <v>0.8</v>
      </c>
      <c r="X692">
        <f>AVERAGE(River_data[[#This Row],[pH Max]]-River_data[[#This Row],[pH Min]])</f>
        <v>0.99999999999999911</v>
      </c>
    </row>
    <row r="693" spans="1:24" x14ac:dyDescent="0.3">
      <c r="A693">
        <v>3750</v>
      </c>
      <c r="B693" s="1" t="s">
        <v>711</v>
      </c>
      <c r="C693" s="1" t="s">
        <v>682</v>
      </c>
      <c r="D693">
        <v>16</v>
      </c>
      <c r="E693">
        <v>25</v>
      </c>
      <c r="F693">
        <v>6</v>
      </c>
      <c r="G693">
        <v>8.6</v>
      </c>
      <c r="H693">
        <v>7.1</v>
      </c>
      <c r="I693">
        <v>8</v>
      </c>
      <c r="J693">
        <v>148</v>
      </c>
      <c r="K693">
        <v>273</v>
      </c>
      <c r="L693">
        <v>1</v>
      </c>
      <c r="M693">
        <v>1.4</v>
      </c>
      <c r="N693">
        <v>0.02</v>
      </c>
      <c r="O693">
        <v>1.95</v>
      </c>
      <c r="V693">
        <f>River_data[[#This Row],[Dissolved Oxygen Min]]*River_data[[#This Row],[Dissolved Oxygen Max]]/2</f>
        <v>25.799999999999997</v>
      </c>
      <c r="W693">
        <f>River_data[[#This Row],[BOD Min]]*River_data[[#This Row],[BOD Max]]/2</f>
        <v>0.7</v>
      </c>
      <c r="X693">
        <f>AVERAGE(River_data[[#This Row],[pH Max]]-River_data[[#This Row],[pH Min]])</f>
        <v>0.90000000000000036</v>
      </c>
    </row>
    <row r="694" spans="1:24" x14ac:dyDescent="0.3">
      <c r="A694">
        <v>3751</v>
      </c>
      <c r="B694" s="1" t="s">
        <v>712</v>
      </c>
      <c r="C694" s="1" t="s">
        <v>682</v>
      </c>
      <c r="D694">
        <v>15</v>
      </c>
      <c r="E694">
        <v>25</v>
      </c>
      <c r="F694">
        <v>7.7</v>
      </c>
      <c r="G694">
        <v>8.8000000000000007</v>
      </c>
      <c r="H694">
        <v>6.4</v>
      </c>
      <c r="I694">
        <v>8.1</v>
      </c>
      <c r="J694">
        <v>109</v>
      </c>
      <c r="K694">
        <v>673</v>
      </c>
      <c r="L694">
        <v>1</v>
      </c>
      <c r="M694">
        <v>1.5</v>
      </c>
      <c r="N694">
        <v>0.02</v>
      </c>
      <c r="O694">
        <v>2.48</v>
      </c>
      <c r="V694">
        <f>River_data[[#This Row],[Dissolved Oxygen Min]]*River_data[[#This Row],[Dissolved Oxygen Max]]/2</f>
        <v>33.880000000000003</v>
      </c>
      <c r="W694">
        <f>River_data[[#This Row],[BOD Min]]*River_data[[#This Row],[BOD Max]]/2</f>
        <v>0.75</v>
      </c>
      <c r="X694">
        <f>AVERAGE(River_data[[#This Row],[pH Max]]-River_data[[#This Row],[pH Min]])</f>
        <v>1.6999999999999993</v>
      </c>
    </row>
    <row r="695" spans="1:24" x14ac:dyDescent="0.3">
      <c r="A695">
        <v>3752</v>
      </c>
      <c r="B695" s="1" t="s">
        <v>713</v>
      </c>
      <c r="C695" s="1" t="s">
        <v>682</v>
      </c>
      <c r="D695">
        <v>16</v>
      </c>
      <c r="E695">
        <v>23</v>
      </c>
      <c r="F695">
        <v>6.6</v>
      </c>
      <c r="G695">
        <v>8.4</v>
      </c>
      <c r="H695">
        <v>6</v>
      </c>
      <c r="I695">
        <v>7.7</v>
      </c>
      <c r="J695">
        <v>70</v>
      </c>
      <c r="K695">
        <v>668</v>
      </c>
      <c r="L695">
        <v>1</v>
      </c>
      <c r="M695">
        <v>1.4</v>
      </c>
      <c r="N695">
        <v>0.02</v>
      </c>
      <c r="O695">
        <v>2.25</v>
      </c>
      <c r="V695">
        <f>River_data[[#This Row],[Dissolved Oxygen Min]]*River_data[[#This Row],[Dissolved Oxygen Max]]/2</f>
        <v>27.72</v>
      </c>
      <c r="W695">
        <f>River_data[[#This Row],[BOD Min]]*River_data[[#This Row],[BOD Max]]/2</f>
        <v>0.7</v>
      </c>
      <c r="X695">
        <f>AVERAGE(River_data[[#This Row],[pH Max]]-River_data[[#This Row],[pH Min]])</f>
        <v>1.7000000000000002</v>
      </c>
    </row>
    <row r="696" spans="1:24" x14ac:dyDescent="0.3">
      <c r="A696">
        <v>3756</v>
      </c>
      <c r="B696" s="1" t="s">
        <v>714</v>
      </c>
      <c r="C696" s="1" t="s">
        <v>682</v>
      </c>
      <c r="D696">
        <v>17</v>
      </c>
      <c r="E696">
        <v>23</v>
      </c>
      <c r="F696">
        <v>5.0999999999999996</v>
      </c>
      <c r="G696">
        <v>9.1999999999999993</v>
      </c>
      <c r="H696">
        <v>7.2</v>
      </c>
      <c r="I696">
        <v>8.4</v>
      </c>
      <c r="J696">
        <v>137</v>
      </c>
      <c r="K696">
        <v>643</v>
      </c>
      <c r="L696">
        <v>1</v>
      </c>
      <c r="M696">
        <v>1.2</v>
      </c>
      <c r="N696">
        <v>0.02</v>
      </c>
      <c r="O696">
        <v>6.02</v>
      </c>
      <c r="V696">
        <f>River_data[[#This Row],[Dissolved Oxygen Min]]*River_data[[#This Row],[Dissolved Oxygen Max]]/2</f>
        <v>23.459999999999997</v>
      </c>
      <c r="W696">
        <f>River_data[[#This Row],[BOD Min]]*River_data[[#This Row],[BOD Max]]/2</f>
        <v>0.6</v>
      </c>
      <c r="X696">
        <f>AVERAGE(River_data[[#This Row],[pH Max]]-River_data[[#This Row],[pH Min]])</f>
        <v>1.2000000000000002</v>
      </c>
    </row>
    <row r="697" spans="1:24" x14ac:dyDescent="0.3">
      <c r="A697">
        <v>3757</v>
      </c>
      <c r="B697" s="1" t="s">
        <v>715</v>
      </c>
      <c r="C697" s="1" t="s">
        <v>682</v>
      </c>
      <c r="D697">
        <v>17</v>
      </c>
      <c r="E697">
        <v>22</v>
      </c>
      <c r="F697">
        <v>5.0999999999999996</v>
      </c>
      <c r="G697">
        <v>7.8</v>
      </c>
      <c r="H697">
        <v>6.4</v>
      </c>
      <c r="I697">
        <v>7.9</v>
      </c>
      <c r="J697">
        <v>73</v>
      </c>
      <c r="K697">
        <v>194</v>
      </c>
      <c r="L697">
        <v>1</v>
      </c>
      <c r="M697">
        <v>5.6</v>
      </c>
      <c r="N697">
        <v>0.02</v>
      </c>
      <c r="O697">
        <v>1.31</v>
      </c>
      <c r="V697">
        <f>River_data[[#This Row],[Dissolved Oxygen Min]]*River_data[[#This Row],[Dissolved Oxygen Max]]/2</f>
        <v>19.889999999999997</v>
      </c>
      <c r="W697">
        <f>River_data[[#This Row],[BOD Min]]*River_data[[#This Row],[BOD Max]]/2</f>
        <v>2.8</v>
      </c>
      <c r="X697">
        <f>AVERAGE(River_data[[#This Row],[pH Max]]-River_data[[#This Row],[pH Min]])</f>
        <v>1.5</v>
      </c>
    </row>
    <row r="698" spans="1:24" x14ac:dyDescent="0.3">
      <c r="A698">
        <v>5500</v>
      </c>
      <c r="B698" s="1" t="s">
        <v>716</v>
      </c>
      <c r="C698" s="1" t="s">
        <v>606</v>
      </c>
      <c r="D698">
        <v>19</v>
      </c>
      <c r="E698">
        <v>29</v>
      </c>
      <c r="F698">
        <v>7.1</v>
      </c>
      <c r="G698">
        <v>7.3</v>
      </c>
      <c r="H698">
        <v>7.1</v>
      </c>
      <c r="I698">
        <v>7.3</v>
      </c>
      <c r="J698">
        <v>95</v>
      </c>
      <c r="K698">
        <v>240</v>
      </c>
      <c r="L698">
        <v>3.2</v>
      </c>
      <c r="M698">
        <v>3.5</v>
      </c>
      <c r="N698">
        <v>0</v>
      </c>
      <c r="O698">
        <v>0</v>
      </c>
      <c r="P698">
        <v>50</v>
      </c>
      <c r="Q698">
        <v>75</v>
      </c>
      <c r="R698">
        <v>75</v>
      </c>
      <c r="S698">
        <v>190</v>
      </c>
      <c r="V698">
        <f>River_data[[#This Row],[Dissolved Oxygen Min]]*River_data[[#This Row],[Dissolved Oxygen Max]]/2</f>
        <v>25.914999999999999</v>
      </c>
      <c r="W698">
        <f>River_data[[#This Row],[BOD Min]]*River_data[[#This Row],[BOD Max]]/2</f>
        <v>5.6000000000000005</v>
      </c>
      <c r="X698">
        <f>AVERAGE(River_data[[#This Row],[pH Max]]-River_data[[#This Row],[pH Min]])</f>
        <v>0.20000000000000018</v>
      </c>
    </row>
    <row r="699" spans="1:24" x14ac:dyDescent="0.3">
      <c r="A699">
        <v>5501</v>
      </c>
      <c r="B699" s="1" t="s">
        <v>717</v>
      </c>
      <c r="C699" s="1" t="s">
        <v>606</v>
      </c>
      <c r="D699">
        <v>18</v>
      </c>
      <c r="E699">
        <v>20</v>
      </c>
      <c r="F699">
        <v>7.2</v>
      </c>
      <c r="G699">
        <v>7.4</v>
      </c>
      <c r="H699">
        <v>7.2</v>
      </c>
      <c r="I699">
        <v>7.4</v>
      </c>
      <c r="J699">
        <v>290</v>
      </c>
      <c r="K699">
        <v>320</v>
      </c>
      <c r="L699">
        <v>3</v>
      </c>
      <c r="M699">
        <v>3.1</v>
      </c>
      <c r="N699">
        <v>0</v>
      </c>
      <c r="O699">
        <v>0</v>
      </c>
      <c r="P699">
        <v>20</v>
      </c>
      <c r="Q699">
        <v>35</v>
      </c>
      <c r="R699">
        <v>50</v>
      </c>
      <c r="S699">
        <v>65</v>
      </c>
      <c r="V699">
        <f>River_data[[#This Row],[Dissolved Oxygen Min]]*River_data[[#This Row],[Dissolved Oxygen Max]]/2</f>
        <v>26.64</v>
      </c>
      <c r="W699">
        <f>River_data[[#This Row],[BOD Min]]*River_data[[#This Row],[BOD Max]]/2</f>
        <v>4.6500000000000004</v>
      </c>
      <c r="X699">
        <f>AVERAGE(River_data[[#This Row],[pH Max]]-River_data[[#This Row],[pH Min]])</f>
        <v>0.20000000000000018</v>
      </c>
    </row>
    <row r="700" spans="1:24" x14ac:dyDescent="0.3">
      <c r="A700">
        <v>5502</v>
      </c>
      <c r="B700" s="1" t="s">
        <v>718</v>
      </c>
      <c r="C700" s="1" t="s">
        <v>606</v>
      </c>
      <c r="D700">
        <v>18.2</v>
      </c>
      <c r="E700">
        <v>29</v>
      </c>
      <c r="F700">
        <v>7</v>
      </c>
      <c r="G700">
        <v>7.3</v>
      </c>
      <c r="H700">
        <v>7</v>
      </c>
      <c r="I700">
        <v>7.8</v>
      </c>
      <c r="J700">
        <v>120</v>
      </c>
      <c r="K700">
        <v>215</v>
      </c>
      <c r="L700">
        <v>3.2</v>
      </c>
      <c r="M700">
        <v>3.4</v>
      </c>
      <c r="N700">
        <v>0</v>
      </c>
      <c r="O700">
        <v>0</v>
      </c>
      <c r="P700">
        <v>125</v>
      </c>
      <c r="Q700">
        <v>170</v>
      </c>
      <c r="R700">
        <v>245</v>
      </c>
      <c r="S700">
        <v>315</v>
      </c>
      <c r="V700">
        <f>River_data[[#This Row],[Dissolved Oxygen Min]]*River_data[[#This Row],[Dissolved Oxygen Max]]/2</f>
        <v>25.55</v>
      </c>
      <c r="W700">
        <f>River_data[[#This Row],[BOD Min]]*River_data[[#This Row],[BOD Max]]/2</f>
        <v>5.44</v>
      </c>
      <c r="X700">
        <f>AVERAGE(River_data[[#This Row],[pH Max]]-River_data[[#This Row],[pH Min]])</f>
        <v>0.79999999999999982</v>
      </c>
    </row>
    <row r="701" spans="1:24" x14ac:dyDescent="0.3">
      <c r="A701">
        <v>5503</v>
      </c>
      <c r="B701" s="1" t="s">
        <v>719</v>
      </c>
      <c r="C701" s="1" t="s">
        <v>606</v>
      </c>
      <c r="D701">
        <v>20</v>
      </c>
      <c r="E701">
        <v>29</v>
      </c>
      <c r="F701">
        <v>6.8</v>
      </c>
      <c r="G701">
        <v>7.3</v>
      </c>
      <c r="H701">
        <v>6.8</v>
      </c>
      <c r="I701">
        <v>7.4</v>
      </c>
      <c r="J701">
        <v>180</v>
      </c>
      <c r="K701">
        <v>498</v>
      </c>
      <c r="L701">
        <v>3.3</v>
      </c>
      <c r="M701">
        <v>3.5</v>
      </c>
      <c r="N701">
        <v>0</v>
      </c>
      <c r="O701">
        <v>0</v>
      </c>
      <c r="P701">
        <v>170</v>
      </c>
      <c r="Q701">
        <v>300</v>
      </c>
      <c r="R701">
        <v>335</v>
      </c>
      <c r="S701">
        <v>465</v>
      </c>
      <c r="V701">
        <f>River_data[[#This Row],[Dissolved Oxygen Min]]*River_data[[#This Row],[Dissolved Oxygen Max]]/2</f>
        <v>24.82</v>
      </c>
      <c r="W701">
        <f>River_data[[#This Row],[BOD Min]]*River_data[[#This Row],[BOD Max]]/2</f>
        <v>5.7749999999999995</v>
      </c>
      <c r="X701">
        <f>AVERAGE(River_data[[#This Row],[pH Max]]-River_data[[#This Row],[pH Min]])</f>
        <v>0.60000000000000053</v>
      </c>
    </row>
    <row r="702" spans="1:24" x14ac:dyDescent="0.3">
      <c r="A702">
        <v>4110</v>
      </c>
      <c r="B702" s="1" t="s">
        <v>720</v>
      </c>
      <c r="C702" s="1" t="s">
        <v>675</v>
      </c>
      <c r="D702">
        <v>15</v>
      </c>
      <c r="E702">
        <v>23</v>
      </c>
      <c r="F702">
        <v>6.9</v>
      </c>
      <c r="G702">
        <v>7.7</v>
      </c>
      <c r="H702">
        <v>4</v>
      </c>
      <c r="I702">
        <v>4.5</v>
      </c>
      <c r="J702">
        <v>130</v>
      </c>
      <c r="K702">
        <v>154</v>
      </c>
      <c r="L702">
        <v>1.3</v>
      </c>
      <c r="M702">
        <v>2</v>
      </c>
      <c r="N702">
        <v>0.32</v>
      </c>
      <c r="O702">
        <v>0.49</v>
      </c>
      <c r="P702">
        <v>9</v>
      </c>
      <c r="Q702">
        <v>43</v>
      </c>
      <c r="R702">
        <v>350</v>
      </c>
      <c r="S702">
        <v>630</v>
      </c>
      <c r="T702">
        <v>2</v>
      </c>
      <c r="U702">
        <v>13</v>
      </c>
      <c r="V702">
        <f>River_data[[#This Row],[Dissolved Oxygen Min]]*River_data[[#This Row],[Dissolved Oxygen Max]]/2</f>
        <v>26.565000000000001</v>
      </c>
      <c r="W702">
        <f>River_data[[#This Row],[BOD Min]]*River_data[[#This Row],[BOD Max]]/2</f>
        <v>1.3</v>
      </c>
      <c r="X702">
        <f>AVERAGE(River_data[[#This Row],[pH Max]]-River_data[[#This Row],[pH Min]])</f>
        <v>0.5</v>
      </c>
    </row>
    <row r="703" spans="1:24" x14ac:dyDescent="0.3">
      <c r="A703">
        <v>4113</v>
      </c>
      <c r="B703" s="1" t="s">
        <v>721</v>
      </c>
      <c r="C703" s="1" t="s">
        <v>675</v>
      </c>
      <c r="D703">
        <v>16</v>
      </c>
      <c r="E703">
        <v>22</v>
      </c>
      <c r="F703">
        <v>7</v>
      </c>
      <c r="G703">
        <v>7.4</v>
      </c>
      <c r="H703">
        <v>7</v>
      </c>
      <c r="I703">
        <v>8</v>
      </c>
      <c r="J703">
        <v>65</v>
      </c>
      <c r="K703">
        <v>769</v>
      </c>
      <c r="L703">
        <v>1.3</v>
      </c>
      <c r="M703">
        <v>2.1</v>
      </c>
      <c r="N703">
        <v>0.34</v>
      </c>
      <c r="O703">
        <v>0.55000000000000004</v>
      </c>
      <c r="P703">
        <v>9</v>
      </c>
      <c r="Q703">
        <v>49</v>
      </c>
      <c r="R703">
        <v>330</v>
      </c>
      <c r="S703">
        <v>630</v>
      </c>
      <c r="T703">
        <v>4</v>
      </c>
      <c r="U703">
        <v>17</v>
      </c>
      <c r="V703">
        <f>River_data[[#This Row],[Dissolved Oxygen Min]]*River_data[[#This Row],[Dissolved Oxygen Max]]/2</f>
        <v>25.900000000000002</v>
      </c>
      <c r="W703">
        <f>River_data[[#This Row],[BOD Min]]*River_data[[#This Row],[BOD Max]]/2</f>
        <v>1.3650000000000002</v>
      </c>
      <c r="X703">
        <f>AVERAGE(River_data[[#This Row],[pH Max]]-River_data[[#This Row],[pH Min]])</f>
        <v>1</v>
      </c>
    </row>
    <row r="704" spans="1:24" x14ac:dyDescent="0.3">
      <c r="A704">
        <v>4114</v>
      </c>
      <c r="B704" s="1" t="s">
        <v>722</v>
      </c>
      <c r="C704" s="1" t="s">
        <v>682</v>
      </c>
      <c r="D704">
        <v>20</v>
      </c>
      <c r="E704">
        <v>24</v>
      </c>
      <c r="F704">
        <v>2.2000000000000002</v>
      </c>
      <c r="G704">
        <v>7.4</v>
      </c>
      <c r="H704">
        <v>7.2</v>
      </c>
      <c r="I704">
        <v>8.1999999999999993</v>
      </c>
      <c r="J704">
        <v>505</v>
      </c>
      <c r="K704">
        <v>994</v>
      </c>
      <c r="L704">
        <v>1.2</v>
      </c>
      <c r="M704">
        <v>29</v>
      </c>
      <c r="N704">
        <v>0.02</v>
      </c>
      <c r="O704">
        <v>14.31</v>
      </c>
      <c r="P704">
        <v>9</v>
      </c>
      <c r="Q704">
        <v>170</v>
      </c>
      <c r="R704">
        <v>1600</v>
      </c>
      <c r="S704">
        <v>2400</v>
      </c>
      <c r="T704">
        <v>240</v>
      </c>
      <c r="U704">
        <v>240</v>
      </c>
      <c r="V704">
        <f>River_data[[#This Row],[Dissolved Oxygen Min]]*River_data[[#This Row],[Dissolved Oxygen Max]]/2</f>
        <v>8.14</v>
      </c>
      <c r="W704">
        <f>River_data[[#This Row],[BOD Min]]*River_data[[#This Row],[BOD Max]]/2</f>
        <v>17.399999999999999</v>
      </c>
      <c r="X704">
        <f>AVERAGE(River_data[[#This Row],[pH Max]]-River_data[[#This Row],[pH Min]])</f>
        <v>0.99999999999999911</v>
      </c>
    </row>
    <row r="705" spans="1:24" x14ac:dyDescent="0.3">
      <c r="A705">
        <v>4115</v>
      </c>
      <c r="B705" s="1" t="s">
        <v>723</v>
      </c>
      <c r="C705" s="1" t="s">
        <v>682</v>
      </c>
      <c r="D705">
        <v>16</v>
      </c>
      <c r="E705">
        <v>26</v>
      </c>
      <c r="F705">
        <v>0.3</v>
      </c>
      <c r="G705">
        <v>5.4</v>
      </c>
      <c r="H705">
        <v>6.9</v>
      </c>
      <c r="I705">
        <v>8</v>
      </c>
      <c r="J705">
        <v>76</v>
      </c>
      <c r="K705">
        <v>1020</v>
      </c>
      <c r="L705">
        <v>2.2000000000000002</v>
      </c>
      <c r="M705">
        <v>29.1</v>
      </c>
      <c r="N705">
        <v>0.02</v>
      </c>
      <c r="O705">
        <v>8.73</v>
      </c>
      <c r="P705">
        <v>2</v>
      </c>
      <c r="Q705">
        <v>1100</v>
      </c>
      <c r="R705">
        <v>1100</v>
      </c>
      <c r="S705">
        <v>2400</v>
      </c>
      <c r="T705">
        <v>26</v>
      </c>
      <c r="U705">
        <v>26</v>
      </c>
      <c r="V705">
        <f>River_data[[#This Row],[Dissolved Oxygen Min]]*River_data[[#This Row],[Dissolved Oxygen Max]]/2</f>
        <v>0.81</v>
      </c>
      <c r="W705">
        <f>River_data[[#This Row],[BOD Min]]*River_data[[#This Row],[BOD Max]]/2</f>
        <v>32.010000000000005</v>
      </c>
      <c r="X705">
        <f>AVERAGE(River_data[[#This Row],[pH Max]]-River_data[[#This Row],[pH Min]])</f>
        <v>1.0999999999999996</v>
      </c>
    </row>
    <row r="706" spans="1:24" x14ac:dyDescent="0.3">
      <c r="A706">
        <v>4118</v>
      </c>
      <c r="B706" s="1" t="s">
        <v>696</v>
      </c>
      <c r="C706" s="1" t="s">
        <v>682</v>
      </c>
      <c r="D706">
        <v>19</v>
      </c>
      <c r="E706">
        <v>36</v>
      </c>
      <c r="F706">
        <v>5.3</v>
      </c>
      <c r="G706">
        <v>9.1</v>
      </c>
      <c r="H706">
        <v>6.9</v>
      </c>
      <c r="I706">
        <v>7.5</v>
      </c>
      <c r="J706">
        <v>81</v>
      </c>
      <c r="K706">
        <v>119</v>
      </c>
      <c r="L706">
        <v>1</v>
      </c>
      <c r="M706">
        <v>1.4</v>
      </c>
      <c r="N706">
        <v>0.02</v>
      </c>
      <c r="O706">
        <v>0.78</v>
      </c>
      <c r="V706">
        <f>River_data[[#This Row],[Dissolved Oxygen Min]]*River_data[[#This Row],[Dissolved Oxygen Max]]/2</f>
        <v>24.114999999999998</v>
      </c>
      <c r="W706">
        <f>River_data[[#This Row],[BOD Min]]*River_data[[#This Row],[BOD Max]]/2</f>
        <v>0.7</v>
      </c>
      <c r="X706">
        <f>AVERAGE(River_data[[#This Row],[pH Max]]-River_data[[#This Row],[pH Min]])</f>
        <v>0.59999999999999964</v>
      </c>
    </row>
    <row r="707" spans="1:24" x14ac:dyDescent="0.3">
      <c r="A707">
        <v>4119</v>
      </c>
      <c r="B707" s="1" t="s">
        <v>724</v>
      </c>
      <c r="C707" s="1" t="s">
        <v>682</v>
      </c>
      <c r="D707">
        <v>19</v>
      </c>
      <c r="E707">
        <v>38</v>
      </c>
      <c r="F707">
        <v>5.8</v>
      </c>
      <c r="G707">
        <v>9.1</v>
      </c>
      <c r="H707">
        <v>6.3</v>
      </c>
      <c r="I707">
        <v>7.3</v>
      </c>
      <c r="J707">
        <v>93</v>
      </c>
      <c r="K707">
        <v>331</v>
      </c>
      <c r="L707">
        <v>1</v>
      </c>
      <c r="M707">
        <v>1.4</v>
      </c>
      <c r="N707">
        <v>0.02</v>
      </c>
      <c r="O707">
        <v>0.76</v>
      </c>
      <c r="V707">
        <f>River_data[[#This Row],[Dissolved Oxygen Min]]*River_data[[#This Row],[Dissolved Oxygen Max]]/2</f>
        <v>26.389999999999997</v>
      </c>
      <c r="W707">
        <f>River_data[[#This Row],[BOD Min]]*River_data[[#This Row],[BOD Max]]/2</f>
        <v>0.7</v>
      </c>
      <c r="X707">
        <f>AVERAGE(River_data[[#This Row],[pH Max]]-River_data[[#This Row],[pH Min]])</f>
        <v>1</v>
      </c>
    </row>
    <row r="708" spans="1:24" x14ac:dyDescent="0.3">
      <c r="A708">
        <v>4120</v>
      </c>
      <c r="B708" s="1" t="s">
        <v>725</v>
      </c>
      <c r="C708" s="1" t="s">
        <v>682</v>
      </c>
      <c r="D708">
        <v>10</v>
      </c>
      <c r="E708">
        <v>25</v>
      </c>
      <c r="F708">
        <v>5.4</v>
      </c>
      <c r="G708">
        <v>7.1</v>
      </c>
      <c r="H708">
        <v>6.4</v>
      </c>
      <c r="I708">
        <v>8.4</v>
      </c>
      <c r="J708">
        <v>92</v>
      </c>
      <c r="K708">
        <v>453</v>
      </c>
      <c r="L708">
        <v>1</v>
      </c>
      <c r="M708">
        <v>1.4</v>
      </c>
      <c r="N708">
        <v>0.02</v>
      </c>
      <c r="O708">
        <v>1.9</v>
      </c>
      <c r="V708">
        <f>River_data[[#This Row],[Dissolved Oxygen Min]]*River_data[[#This Row],[Dissolved Oxygen Max]]/2</f>
        <v>19.170000000000002</v>
      </c>
      <c r="W708">
        <f>River_data[[#This Row],[BOD Min]]*River_data[[#This Row],[BOD Max]]/2</f>
        <v>0.7</v>
      </c>
      <c r="X708">
        <f>AVERAGE(River_data[[#This Row],[pH Max]]-River_data[[#This Row],[pH Min]])</f>
        <v>2</v>
      </c>
    </row>
    <row r="709" spans="1:24" x14ac:dyDescent="0.3">
      <c r="A709">
        <v>4122</v>
      </c>
      <c r="B709" s="1" t="s">
        <v>726</v>
      </c>
      <c r="C709" s="1" t="s">
        <v>682</v>
      </c>
      <c r="D709">
        <v>20</v>
      </c>
      <c r="E709">
        <v>28</v>
      </c>
      <c r="F709">
        <v>5.4</v>
      </c>
      <c r="G709">
        <v>9.6999999999999993</v>
      </c>
      <c r="H709">
        <v>6.7</v>
      </c>
      <c r="I709">
        <v>7.6</v>
      </c>
      <c r="J709">
        <v>46</v>
      </c>
      <c r="K709">
        <v>272</v>
      </c>
      <c r="L709">
        <v>1</v>
      </c>
      <c r="M709">
        <v>1.4</v>
      </c>
      <c r="N709">
        <v>0.02</v>
      </c>
      <c r="O709">
        <v>0.77</v>
      </c>
      <c r="V709">
        <f>River_data[[#This Row],[Dissolved Oxygen Min]]*River_data[[#This Row],[Dissolved Oxygen Max]]/2</f>
        <v>26.19</v>
      </c>
      <c r="W709">
        <f>River_data[[#This Row],[BOD Min]]*River_data[[#This Row],[BOD Max]]/2</f>
        <v>0.7</v>
      </c>
      <c r="X709">
        <f>AVERAGE(River_data[[#This Row],[pH Max]]-River_data[[#This Row],[pH Min]])</f>
        <v>0.89999999999999947</v>
      </c>
    </row>
    <row r="710" spans="1:24" x14ac:dyDescent="0.3">
      <c r="A710">
        <v>4123</v>
      </c>
      <c r="B710" s="1" t="s">
        <v>727</v>
      </c>
      <c r="C710" s="1" t="s">
        <v>682</v>
      </c>
      <c r="D710">
        <v>17</v>
      </c>
      <c r="E710">
        <v>30</v>
      </c>
      <c r="F710">
        <v>5.8</v>
      </c>
      <c r="G710">
        <v>12.7</v>
      </c>
      <c r="H710">
        <v>6.8</v>
      </c>
      <c r="I710">
        <v>8.1</v>
      </c>
      <c r="J710">
        <v>51</v>
      </c>
      <c r="K710">
        <v>233</v>
      </c>
      <c r="L710">
        <v>1</v>
      </c>
      <c r="M710">
        <v>1.4</v>
      </c>
      <c r="N710">
        <v>0.02</v>
      </c>
      <c r="O710">
        <v>0.83</v>
      </c>
      <c r="V710">
        <f>River_data[[#This Row],[Dissolved Oxygen Min]]*River_data[[#This Row],[Dissolved Oxygen Max]]/2</f>
        <v>36.83</v>
      </c>
      <c r="W710">
        <f>River_data[[#This Row],[BOD Min]]*River_data[[#This Row],[BOD Max]]/2</f>
        <v>0.7</v>
      </c>
      <c r="X710">
        <f>AVERAGE(River_data[[#This Row],[pH Max]]-River_data[[#This Row],[pH Min]])</f>
        <v>1.2999999999999998</v>
      </c>
    </row>
    <row r="711" spans="1:24" x14ac:dyDescent="0.3">
      <c r="A711">
        <v>4125</v>
      </c>
      <c r="B711" s="1" t="s">
        <v>728</v>
      </c>
      <c r="C711" s="1" t="s">
        <v>682</v>
      </c>
      <c r="D711">
        <v>17</v>
      </c>
      <c r="E711">
        <v>25</v>
      </c>
      <c r="F711">
        <v>2.5</v>
      </c>
      <c r="G711">
        <v>7.6</v>
      </c>
      <c r="H711">
        <v>6.4</v>
      </c>
      <c r="I711">
        <v>7.3</v>
      </c>
      <c r="J711">
        <v>40</v>
      </c>
      <c r="K711">
        <v>240</v>
      </c>
      <c r="L711">
        <v>1</v>
      </c>
      <c r="M711">
        <v>1.2</v>
      </c>
      <c r="N711">
        <v>0.02</v>
      </c>
      <c r="O711">
        <v>3.11</v>
      </c>
      <c r="V711">
        <f>River_data[[#This Row],[Dissolved Oxygen Min]]*River_data[[#This Row],[Dissolved Oxygen Max]]/2</f>
        <v>9.5</v>
      </c>
      <c r="W711">
        <f>River_data[[#This Row],[BOD Min]]*River_data[[#This Row],[BOD Max]]/2</f>
        <v>0.6</v>
      </c>
      <c r="X711">
        <f>AVERAGE(River_data[[#This Row],[pH Max]]-River_data[[#This Row],[pH Min]])</f>
        <v>0.89999999999999947</v>
      </c>
    </row>
    <row r="712" spans="1:24" x14ac:dyDescent="0.3">
      <c r="A712">
        <v>4130</v>
      </c>
      <c r="B712" s="1" t="s">
        <v>729</v>
      </c>
      <c r="C712" s="1" t="s">
        <v>682</v>
      </c>
      <c r="D712">
        <v>21</v>
      </c>
      <c r="E712">
        <v>24</v>
      </c>
      <c r="F712">
        <v>5.0999999999999996</v>
      </c>
      <c r="G712">
        <v>7.5</v>
      </c>
      <c r="H712">
        <v>6.3</v>
      </c>
      <c r="I712">
        <v>7.6</v>
      </c>
      <c r="J712">
        <v>74</v>
      </c>
      <c r="K712">
        <v>175</v>
      </c>
      <c r="L712">
        <v>1</v>
      </c>
      <c r="M712">
        <v>1.6</v>
      </c>
      <c r="N712">
        <v>0.02</v>
      </c>
      <c r="O712">
        <v>0.85</v>
      </c>
      <c r="V712">
        <f>River_data[[#This Row],[Dissolved Oxygen Min]]*River_data[[#This Row],[Dissolved Oxygen Max]]/2</f>
        <v>19.125</v>
      </c>
      <c r="W712">
        <f>River_data[[#This Row],[BOD Min]]*River_data[[#This Row],[BOD Max]]/2</f>
        <v>0.8</v>
      </c>
      <c r="X712">
        <f>AVERAGE(River_data[[#This Row],[pH Max]]-River_data[[#This Row],[pH Min]])</f>
        <v>1.2999999999999998</v>
      </c>
    </row>
    <row r="713" spans="1:24" x14ac:dyDescent="0.3">
      <c r="A713">
        <v>4132</v>
      </c>
      <c r="B713" s="1" t="s">
        <v>730</v>
      </c>
      <c r="C713" s="1" t="s">
        <v>682</v>
      </c>
      <c r="D713">
        <v>14</v>
      </c>
      <c r="E713">
        <v>27</v>
      </c>
      <c r="F713">
        <v>5.0999999999999996</v>
      </c>
      <c r="G713">
        <v>7.2</v>
      </c>
      <c r="H713">
        <v>6.5</v>
      </c>
      <c r="I713">
        <v>7.1</v>
      </c>
      <c r="J713">
        <v>30</v>
      </c>
      <c r="K713">
        <v>128</v>
      </c>
      <c r="L713">
        <v>1</v>
      </c>
      <c r="M713">
        <v>1.5</v>
      </c>
      <c r="N713">
        <v>0.02</v>
      </c>
      <c r="O713">
        <v>1.43</v>
      </c>
      <c r="V713">
        <f>River_data[[#This Row],[Dissolved Oxygen Min]]*River_data[[#This Row],[Dissolved Oxygen Max]]/2</f>
        <v>18.36</v>
      </c>
      <c r="W713">
        <f>River_data[[#This Row],[BOD Min]]*River_data[[#This Row],[BOD Max]]/2</f>
        <v>0.75</v>
      </c>
      <c r="X713">
        <f>AVERAGE(River_data[[#This Row],[pH Max]]-River_data[[#This Row],[pH Min]])</f>
        <v>0.59999999999999964</v>
      </c>
    </row>
    <row r="714" spans="1:24" x14ac:dyDescent="0.3">
      <c r="A714">
        <v>2232</v>
      </c>
      <c r="B714" s="1" t="s">
        <v>731</v>
      </c>
      <c r="C714" s="1" t="s">
        <v>567</v>
      </c>
      <c r="D714">
        <v>22</v>
      </c>
      <c r="E714">
        <v>32</v>
      </c>
      <c r="F714">
        <v>3.7</v>
      </c>
      <c r="G714">
        <v>9.1999999999999993</v>
      </c>
      <c r="H714">
        <v>6.8</v>
      </c>
      <c r="I714">
        <v>7.4</v>
      </c>
      <c r="J714">
        <v>106</v>
      </c>
      <c r="K714">
        <v>176</v>
      </c>
      <c r="L714">
        <v>2</v>
      </c>
      <c r="M714">
        <v>2.4</v>
      </c>
      <c r="N714">
        <v>0.7</v>
      </c>
      <c r="O714">
        <v>2</v>
      </c>
      <c r="P714">
        <v>360</v>
      </c>
      <c r="Q714">
        <v>1100</v>
      </c>
      <c r="R714">
        <v>1100</v>
      </c>
      <c r="S714">
        <v>2100</v>
      </c>
      <c r="T714">
        <v>120</v>
      </c>
      <c r="U714">
        <v>290</v>
      </c>
      <c r="V714">
        <f>River_data[[#This Row],[Dissolved Oxygen Min]]*River_data[[#This Row],[Dissolved Oxygen Max]]/2</f>
        <v>17.02</v>
      </c>
      <c r="W714">
        <f>River_data[[#This Row],[BOD Min]]*River_data[[#This Row],[BOD Max]]/2</f>
        <v>2.4</v>
      </c>
      <c r="X714">
        <f>AVERAGE(River_data[[#This Row],[pH Max]]-River_data[[#This Row],[pH Min]])</f>
        <v>0.60000000000000053</v>
      </c>
    </row>
    <row r="715" spans="1:24" x14ac:dyDescent="0.3">
      <c r="A715">
        <v>4304</v>
      </c>
      <c r="B715" s="1" t="s">
        <v>732</v>
      </c>
      <c r="C715" s="1" t="s">
        <v>675</v>
      </c>
      <c r="D715">
        <v>14</v>
      </c>
      <c r="E715">
        <v>19</v>
      </c>
      <c r="F715">
        <v>6.6</v>
      </c>
      <c r="G715">
        <v>8.1</v>
      </c>
      <c r="H715">
        <v>4</v>
      </c>
      <c r="I715">
        <v>5.5</v>
      </c>
      <c r="J715">
        <v>66</v>
      </c>
      <c r="K715">
        <v>130</v>
      </c>
      <c r="L715">
        <v>1</v>
      </c>
      <c r="M715">
        <v>1.7</v>
      </c>
      <c r="N715">
        <v>0.32</v>
      </c>
      <c r="O715">
        <v>0.59</v>
      </c>
      <c r="P715">
        <v>2</v>
      </c>
      <c r="Q715">
        <v>4</v>
      </c>
      <c r="R715">
        <v>12</v>
      </c>
      <c r="S715">
        <v>79</v>
      </c>
      <c r="T715">
        <v>2</v>
      </c>
      <c r="U715">
        <v>4</v>
      </c>
      <c r="V715">
        <f>River_data[[#This Row],[Dissolved Oxygen Min]]*River_data[[#This Row],[Dissolved Oxygen Max]]/2</f>
        <v>26.729999999999997</v>
      </c>
      <c r="W715">
        <f>River_data[[#This Row],[BOD Min]]*River_data[[#This Row],[BOD Max]]/2</f>
        <v>0.85</v>
      </c>
      <c r="X715">
        <f>AVERAGE(River_data[[#This Row],[pH Max]]-River_data[[#This Row],[pH Min]])</f>
        <v>1.5</v>
      </c>
    </row>
    <row r="716" spans="1:24" x14ac:dyDescent="0.3">
      <c r="A716">
        <v>4305</v>
      </c>
      <c r="B716" s="1" t="s">
        <v>733</v>
      </c>
      <c r="C716" s="1" t="s">
        <v>675</v>
      </c>
      <c r="D716">
        <v>14</v>
      </c>
      <c r="E716">
        <v>18</v>
      </c>
      <c r="F716">
        <v>6.7</v>
      </c>
      <c r="G716">
        <v>7.7</v>
      </c>
      <c r="H716">
        <v>3.8</v>
      </c>
      <c r="I716">
        <v>5.4</v>
      </c>
      <c r="J716">
        <v>86</v>
      </c>
      <c r="K716">
        <v>178</v>
      </c>
      <c r="L716">
        <v>1</v>
      </c>
      <c r="M716">
        <v>1.8</v>
      </c>
      <c r="N716">
        <v>0.32</v>
      </c>
      <c r="O716">
        <v>0.62</v>
      </c>
      <c r="P716">
        <v>2</v>
      </c>
      <c r="Q716">
        <v>4</v>
      </c>
      <c r="R716">
        <v>21</v>
      </c>
      <c r="S716">
        <v>84</v>
      </c>
      <c r="T716">
        <v>2</v>
      </c>
      <c r="U716">
        <v>4</v>
      </c>
      <c r="V716">
        <f>River_data[[#This Row],[Dissolved Oxygen Min]]*River_data[[#This Row],[Dissolved Oxygen Max]]/2</f>
        <v>25.795000000000002</v>
      </c>
      <c r="W716">
        <f>River_data[[#This Row],[BOD Min]]*River_data[[#This Row],[BOD Max]]/2</f>
        <v>0.9</v>
      </c>
      <c r="X716">
        <f>AVERAGE(River_data[[#This Row],[pH Max]]-River_data[[#This Row],[pH Min]])</f>
        <v>1.6000000000000005</v>
      </c>
    </row>
    <row r="717" spans="1:24" x14ac:dyDescent="0.3">
      <c r="A717">
        <v>4306</v>
      </c>
      <c r="B717" s="1" t="s">
        <v>734</v>
      </c>
      <c r="C717" s="1" t="s">
        <v>675</v>
      </c>
      <c r="D717">
        <v>14</v>
      </c>
      <c r="E717">
        <v>18</v>
      </c>
      <c r="F717">
        <v>7.2</v>
      </c>
      <c r="G717">
        <v>8.5</v>
      </c>
      <c r="H717">
        <v>6.9</v>
      </c>
      <c r="I717">
        <v>7.6</v>
      </c>
      <c r="J717">
        <v>81</v>
      </c>
      <c r="K717">
        <v>116</v>
      </c>
      <c r="L717">
        <v>1.1000000000000001</v>
      </c>
      <c r="M717">
        <v>1.6</v>
      </c>
      <c r="N717">
        <v>0.32</v>
      </c>
      <c r="O717">
        <v>5.64</v>
      </c>
      <c r="P717">
        <v>2</v>
      </c>
      <c r="Q717">
        <v>4</v>
      </c>
      <c r="R717">
        <v>23</v>
      </c>
      <c r="S717">
        <v>49</v>
      </c>
      <c r="T717">
        <v>2</v>
      </c>
      <c r="U717">
        <v>2</v>
      </c>
      <c r="V717">
        <f>River_data[[#This Row],[Dissolved Oxygen Min]]*River_data[[#This Row],[Dissolved Oxygen Max]]/2</f>
        <v>30.6</v>
      </c>
      <c r="W717">
        <f>River_data[[#This Row],[BOD Min]]*River_data[[#This Row],[BOD Max]]/2</f>
        <v>0.88000000000000012</v>
      </c>
      <c r="X717">
        <f>AVERAGE(River_data[[#This Row],[pH Max]]-River_data[[#This Row],[pH Min]])</f>
        <v>0.69999999999999929</v>
      </c>
    </row>
    <row r="718" spans="1:24" x14ac:dyDescent="0.3">
      <c r="A718">
        <v>4307</v>
      </c>
      <c r="B718" s="1" t="s">
        <v>735</v>
      </c>
      <c r="C718" s="1" t="s">
        <v>675</v>
      </c>
      <c r="D718">
        <v>17</v>
      </c>
      <c r="E718">
        <v>19</v>
      </c>
      <c r="F718">
        <v>7.6</v>
      </c>
      <c r="G718">
        <v>8.5</v>
      </c>
      <c r="H718">
        <v>6.9</v>
      </c>
      <c r="I718">
        <v>7.3</v>
      </c>
      <c r="J718">
        <v>33</v>
      </c>
      <c r="K718">
        <v>58</v>
      </c>
      <c r="L718">
        <v>1</v>
      </c>
      <c r="M718">
        <v>1.4</v>
      </c>
      <c r="N718">
        <v>0.32</v>
      </c>
      <c r="O718">
        <v>5.51</v>
      </c>
      <c r="P718">
        <v>2</v>
      </c>
      <c r="Q718">
        <v>2</v>
      </c>
      <c r="R718">
        <v>27</v>
      </c>
      <c r="S718">
        <v>79</v>
      </c>
      <c r="T718">
        <v>2</v>
      </c>
      <c r="U718">
        <v>2</v>
      </c>
      <c r="V718">
        <f>River_data[[#This Row],[Dissolved Oxygen Min]]*River_data[[#This Row],[Dissolved Oxygen Max]]/2</f>
        <v>32.299999999999997</v>
      </c>
      <c r="W718">
        <f>River_data[[#This Row],[BOD Min]]*River_data[[#This Row],[BOD Max]]/2</f>
        <v>0.7</v>
      </c>
      <c r="X718">
        <f>AVERAGE(River_data[[#This Row],[pH Max]]-River_data[[#This Row],[pH Min]])</f>
        <v>0.39999999999999947</v>
      </c>
    </row>
    <row r="719" spans="1:24" x14ac:dyDescent="0.3">
      <c r="A719">
        <v>4308</v>
      </c>
      <c r="B719" s="1" t="s">
        <v>736</v>
      </c>
      <c r="C719" s="1" t="s">
        <v>675</v>
      </c>
      <c r="D719">
        <v>9</v>
      </c>
      <c r="E719">
        <v>20</v>
      </c>
      <c r="F719">
        <v>7.1</v>
      </c>
      <c r="G719">
        <v>8.5</v>
      </c>
      <c r="H719">
        <v>6.8</v>
      </c>
      <c r="I719">
        <v>7.2</v>
      </c>
      <c r="J719">
        <v>30</v>
      </c>
      <c r="K719">
        <v>45</v>
      </c>
      <c r="L719">
        <v>1</v>
      </c>
      <c r="M719">
        <v>1.4</v>
      </c>
      <c r="N719">
        <v>0.32</v>
      </c>
      <c r="O719">
        <v>0.46</v>
      </c>
      <c r="P719">
        <v>2</v>
      </c>
      <c r="Q719">
        <v>4</v>
      </c>
      <c r="R719">
        <v>23</v>
      </c>
      <c r="S719">
        <v>70</v>
      </c>
      <c r="T719">
        <v>2</v>
      </c>
      <c r="U719">
        <v>2</v>
      </c>
      <c r="V719">
        <f>River_data[[#This Row],[Dissolved Oxygen Min]]*River_data[[#This Row],[Dissolved Oxygen Max]]/2</f>
        <v>30.174999999999997</v>
      </c>
      <c r="W719">
        <f>River_data[[#This Row],[BOD Min]]*River_data[[#This Row],[BOD Max]]/2</f>
        <v>0.7</v>
      </c>
      <c r="X719">
        <f>AVERAGE(River_data[[#This Row],[pH Max]]-River_data[[#This Row],[pH Min]])</f>
        <v>0.40000000000000036</v>
      </c>
    </row>
    <row r="720" spans="1:24" x14ac:dyDescent="0.3">
      <c r="A720">
        <v>4309</v>
      </c>
      <c r="B720" s="1" t="s">
        <v>737</v>
      </c>
      <c r="C720" s="1" t="s">
        <v>675</v>
      </c>
      <c r="D720">
        <v>15</v>
      </c>
      <c r="E720">
        <v>21</v>
      </c>
      <c r="F720">
        <v>7.2</v>
      </c>
      <c r="G720">
        <v>8.6</v>
      </c>
      <c r="H720">
        <v>7</v>
      </c>
      <c r="I720">
        <v>7.8</v>
      </c>
      <c r="J720">
        <v>38</v>
      </c>
      <c r="K720">
        <v>55</v>
      </c>
      <c r="L720">
        <v>1</v>
      </c>
      <c r="M720">
        <v>1.7</v>
      </c>
      <c r="N720">
        <v>0.32</v>
      </c>
      <c r="O720">
        <v>5.32</v>
      </c>
      <c r="P720">
        <v>2</v>
      </c>
      <c r="Q720">
        <v>6</v>
      </c>
      <c r="R720">
        <v>27</v>
      </c>
      <c r="S720">
        <v>130</v>
      </c>
      <c r="T720">
        <v>2</v>
      </c>
      <c r="U720">
        <v>4</v>
      </c>
      <c r="V720">
        <f>River_data[[#This Row],[Dissolved Oxygen Min]]*River_data[[#This Row],[Dissolved Oxygen Max]]/2</f>
        <v>30.96</v>
      </c>
      <c r="W720">
        <f>River_data[[#This Row],[BOD Min]]*River_data[[#This Row],[BOD Max]]/2</f>
        <v>0.85</v>
      </c>
      <c r="X720">
        <f>AVERAGE(River_data[[#This Row],[pH Max]]-River_data[[#This Row],[pH Min]])</f>
        <v>0.79999999999999982</v>
      </c>
    </row>
    <row r="721" spans="1:24" x14ac:dyDescent="0.3">
      <c r="A721">
        <v>4310</v>
      </c>
      <c r="B721" s="1" t="s">
        <v>738</v>
      </c>
      <c r="C721" s="1" t="s">
        <v>675</v>
      </c>
      <c r="D721">
        <v>14.2</v>
      </c>
      <c r="E721">
        <v>21</v>
      </c>
      <c r="F721">
        <v>6.9</v>
      </c>
      <c r="G721">
        <v>8.4</v>
      </c>
      <c r="H721">
        <v>6.7</v>
      </c>
      <c r="I721">
        <v>7.3</v>
      </c>
      <c r="J721">
        <v>34</v>
      </c>
      <c r="K721">
        <v>53</v>
      </c>
      <c r="L721">
        <v>1</v>
      </c>
      <c r="M721">
        <v>1.7</v>
      </c>
      <c r="N721">
        <v>0.32</v>
      </c>
      <c r="O721">
        <v>5.45</v>
      </c>
      <c r="P721">
        <v>2</v>
      </c>
      <c r="Q721">
        <v>17</v>
      </c>
      <c r="R721">
        <v>33</v>
      </c>
      <c r="S721">
        <v>170</v>
      </c>
      <c r="T721">
        <v>2</v>
      </c>
      <c r="U721">
        <v>4</v>
      </c>
      <c r="V721">
        <f>River_data[[#This Row],[Dissolved Oxygen Min]]*River_data[[#This Row],[Dissolved Oxygen Max]]/2</f>
        <v>28.980000000000004</v>
      </c>
      <c r="W721">
        <f>River_data[[#This Row],[BOD Min]]*River_data[[#This Row],[BOD Max]]/2</f>
        <v>0.85</v>
      </c>
      <c r="X721">
        <f>AVERAGE(River_data[[#This Row],[pH Max]]-River_data[[#This Row],[pH Min]])</f>
        <v>0.59999999999999964</v>
      </c>
    </row>
    <row r="722" spans="1:24" x14ac:dyDescent="0.3">
      <c r="A722">
        <v>4311</v>
      </c>
      <c r="B722" s="1" t="s">
        <v>739</v>
      </c>
      <c r="C722" s="1" t="s">
        <v>675</v>
      </c>
      <c r="D722">
        <v>14.6</v>
      </c>
      <c r="E722">
        <v>20</v>
      </c>
      <c r="F722">
        <v>4.2</v>
      </c>
      <c r="G722">
        <v>7.8</v>
      </c>
      <c r="H722">
        <v>2.7</v>
      </c>
      <c r="I722">
        <v>3.2</v>
      </c>
      <c r="J722">
        <v>315</v>
      </c>
      <c r="K722">
        <v>1095</v>
      </c>
      <c r="L722">
        <v>1.2</v>
      </c>
      <c r="M722">
        <v>2.7</v>
      </c>
      <c r="N722">
        <v>0.32</v>
      </c>
      <c r="O722">
        <v>5.32</v>
      </c>
      <c r="P722">
        <v>2</v>
      </c>
      <c r="Q722">
        <v>2</v>
      </c>
      <c r="R722">
        <v>2</v>
      </c>
      <c r="S722">
        <v>2</v>
      </c>
      <c r="T722">
        <v>2</v>
      </c>
      <c r="U722">
        <v>2</v>
      </c>
      <c r="V722">
        <f>River_data[[#This Row],[Dissolved Oxygen Min]]*River_data[[#This Row],[Dissolved Oxygen Max]]/2</f>
        <v>16.38</v>
      </c>
      <c r="W722">
        <f>River_data[[#This Row],[BOD Min]]*River_data[[#This Row],[BOD Max]]/2</f>
        <v>1.62</v>
      </c>
      <c r="X722">
        <f>AVERAGE(River_data[[#This Row],[pH Max]]-River_data[[#This Row],[pH Min]])</f>
        <v>0.5</v>
      </c>
    </row>
    <row r="723" spans="1:24" x14ac:dyDescent="0.3">
      <c r="A723">
        <v>4312</v>
      </c>
      <c r="B723" s="1" t="s">
        <v>740</v>
      </c>
      <c r="C723" s="1" t="s">
        <v>675</v>
      </c>
      <c r="D723">
        <v>14.4</v>
      </c>
      <c r="E723">
        <v>20</v>
      </c>
      <c r="F723">
        <v>6.6</v>
      </c>
      <c r="G723">
        <v>7.9</v>
      </c>
      <c r="H723">
        <v>2.6</v>
      </c>
      <c r="I723">
        <v>3</v>
      </c>
      <c r="J723">
        <v>680</v>
      </c>
      <c r="K723">
        <v>1505</v>
      </c>
      <c r="L723">
        <v>1</v>
      </c>
      <c r="M723">
        <v>2.2999999999999998</v>
      </c>
      <c r="N723">
        <v>0.32</v>
      </c>
      <c r="O723">
        <v>0.65</v>
      </c>
      <c r="P723">
        <v>2</v>
      </c>
      <c r="Q723">
        <v>2</v>
      </c>
      <c r="R723">
        <v>2</v>
      </c>
      <c r="S723">
        <v>2</v>
      </c>
      <c r="T723">
        <v>2</v>
      </c>
      <c r="U723">
        <v>2</v>
      </c>
      <c r="V723">
        <f>River_data[[#This Row],[Dissolved Oxygen Min]]*River_data[[#This Row],[Dissolved Oxygen Max]]/2</f>
        <v>26.07</v>
      </c>
      <c r="W723">
        <f>River_data[[#This Row],[BOD Min]]*River_data[[#This Row],[BOD Max]]/2</f>
        <v>1.1499999999999999</v>
      </c>
      <c r="X723">
        <f>AVERAGE(River_data[[#This Row],[pH Max]]-River_data[[#This Row],[pH Min]])</f>
        <v>0.39999999999999991</v>
      </c>
    </row>
    <row r="724" spans="1:24" x14ac:dyDescent="0.3">
      <c r="A724">
        <v>4313</v>
      </c>
      <c r="B724" s="1" t="s">
        <v>741</v>
      </c>
      <c r="C724" s="1" t="s">
        <v>675</v>
      </c>
      <c r="D724">
        <v>9</v>
      </c>
      <c r="E724">
        <v>19</v>
      </c>
      <c r="F724">
        <v>6.7</v>
      </c>
      <c r="G724">
        <v>7.8</v>
      </c>
      <c r="H724">
        <v>2.7</v>
      </c>
      <c r="I724">
        <v>3</v>
      </c>
      <c r="J724">
        <v>464</v>
      </c>
      <c r="K724">
        <v>1160</v>
      </c>
      <c r="L724">
        <v>1.1000000000000001</v>
      </c>
      <c r="M724">
        <v>1.9</v>
      </c>
      <c r="N724">
        <v>0.32</v>
      </c>
      <c r="O724">
        <v>0.34</v>
      </c>
      <c r="P724">
        <v>2</v>
      </c>
      <c r="Q724">
        <v>2</v>
      </c>
      <c r="R724">
        <v>2</v>
      </c>
      <c r="S724">
        <v>2</v>
      </c>
      <c r="T724">
        <v>2</v>
      </c>
      <c r="U724">
        <v>2</v>
      </c>
      <c r="V724">
        <f>River_data[[#This Row],[Dissolved Oxygen Min]]*River_data[[#This Row],[Dissolved Oxygen Max]]/2</f>
        <v>26.13</v>
      </c>
      <c r="W724">
        <f>River_data[[#This Row],[BOD Min]]*River_data[[#This Row],[BOD Max]]/2</f>
        <v>1.0449999999999999</v>
      </c>
      <c r="X724">
        <f>AVERAGE(River_data[[#This Row],[pH Max]]-River_data[[#This Row],[pH Min]])</f>
        <v>0.29999999999999982</v>
      </c>
    </row>
    <row r="725" spans="1:24" x14ac:dyDescent="0.3">
      <c r="A725">
        <v>4314</v>
      </c>
      <c r="B725" s="1" t="s">
        <v>742</v>
      </c>
      <c r="C725" s="1" t="s">
        <v>675</v>
      </c>
      <c r="D725">
        <v>12</v>
      </c>
      <c r="E725">
        <v>20</v>
      </c>
      <c r="F725">
        <v>6.2</v>
      </c>
      <c r="G725">
        <v>7.8</v>
      </c>
      <c r="H725">
        <v>3.6</v>
      </c>
      <c r="I725">
        <v>4.3</v>
      </c>
      <c r="J725">
        <v>126</v>
      </c>
      <c r="K725">
        <v>360</v>
      </c>
      <c r="L725">
        <v>1.2</v>
      </c>
      <c r="M725">
        <v>2.1</v>
      </c>
      <c r="N725">
        <v>0.32</v>
      </c>
      <c r="O725">
        <v>0.32</v>
      </c>
      <c r="P725">
        <v>2</v>
      </c>
      <c r="Q725">
        <v>2</v>
      </c>
      <c r="R725">
        <v>2</v>
      </c>
      <c r="S725">
        <v>2</v>
      </c>
      <c r="T725">
        <v>2</v>
      </c>
      <c r="U725">
        <v>2</v>
      </c>
      <c r="V725">
        <f>River_data[[#This Row],[Dissolved Oxygen Min]]*River_data[[#This Row],[Dissolved Oxygen Max]]/2</f>
        <v>24.18</v>
      </c>
      <c r="W725">
        <f>River_data[[#This Row],[BOD Min]]*River_data[[#This Row],[BOD Max]]/2</f>
        <v>1.26</v>
      </c>
      <c r="X725">
        <f>AVERAGE(River_data[[#This Row],[pH Max]]-River_data[[#This Row],[pH Min]])</f>
        <v>0.69999999999999973</v>
      </c>
    </row>
    <row r="726" spans="1:24" x14ac:dyDescent="0.3">
      <c r="A726">
        <v>4315</v>
      </c>
      <c r="B726" s="1" t="s">
        <v>743</v>
      </c>
      <c r="C726" s="1" t="s">
        <v>675</v>
      </c>
      <c r="D726">
        <v>14.2</v>
      </c>
      <c r="E726">
        <v>19.3</v>
      </c>
      <c r="F726">
        <v>6.8</v>
      </c>
      <c r="G726">
        <v>8.8000000000000007</v>
      </c>
      <c r="H726">
        <v>4.7</v>
      </c>
      <c r="I726">
        <v>7.8</v>
      </c>
      <c r="J726">
        <v>150</v>
      </c>
      <c r="K726">
        <v>550</v>
      </c>
      <c r="L726">
        <v>1.2</v>
      </c>
      <c r="M726">
        <v>1.9</v>
      </c>
      <c r="N726">
        <v>0.32</v>
      </c>
      <c r="O726">
        <v>1.22</v>
      </c>
      <c r="P726">
        <v>2</v>
      </c>
      <c r="Q726">
        <v>6</v>
      </c>
      <c r="R726">
        <v>49</v>
      </c>
      <c r="S726">
        <v>170</v>
      </c>
      <c r="T726">
        <v>2</v>
      </c>
      <c r="U726">
        <v>2</v>
      </c>
      <c r="V726">
        <f>River_data[[#This Row],[Dissolved Oxygen Min]]*River_data[[#This Row],[Dissolved Oxygen Max]]/2</f>
        <v>29.92</v>
      </c>
      <c r="W726">
        <f>River_data[[#This Row],[BOD Min]]*River_data[[#This Row],[BOD Max]]/2</f>
        <v>1.1399999999999999</v>
      </c>
      <c r="X726">
        <f>AVERAGE(River_data[[#This Row],[pH Max]]-River_data[[#This Row],[pH Min]])</f>
        <v>3.0999999999999996</v>
      </c>
    </row>
    <row r="727" spans="1:24" x14ac:dyDescent="0.3">
      <c r="A727">
        <v>4316</v>
      </c>
      <c r="B727" s="1" t="s">
        <v>744</v>
      </c>
      <c r="C727" s="1" t="s">
        <v>675</v>
      </c>
      <c r="D727">
        <v>12</v>
      </c>
      <c r="E727">
        <v>20</v>
      </c>
      <c r="F727">
        <v>6.6</v>
      </c>
      <c r="G727">
        <v>7.6</v>
      </c>
      <c r="H727">
        <v>6.6</v>
      </c>
      <c r="I727">
        <v>6.9</v>
      </c>
      <c r="J727">
        <v>36</v>
      </c>
      <c r="K727">
        <v>61</v>
      </c>
      <c r="L727">
        <v>1.3</v>
      </c>
      <c r="M727">
        <v>2.1</v>
      </c>
      <c r="N727">
        <v>0.32</v>
      </c>
      <c r="O727">
        <v>0.71</v>
      </c>
      <c r="P727">
        <v>46</v>
      </c>
      <c r="Q727">
        <v>140</v>
      </c>
      <c r="R727">
        <v>430</v>
      </c>
      <c r="S727">
        <v>1200</v>
      </c>
      <c r="T727">
        <v>4</v>
      </c>
      <c r="U727">
        <v>30</v>
      </c>
      <c r="V727">
        <f>River_data[[#This Row],[Dissolved Oxygen Min]]*River_data[[#This Row],[Dissolved Oxygen Max]]/2</f>
        <v>25.08</v>
      </c>
      <c r="W727">
        <f>River_data[[#This Row],[BOD Min]]*River_data[[#This Row],[BOD Max]]/2</f>
        <v>1.3650000000000002</v>
      </c>
      <c r="X727">
        <f>AVERAGE(River_data[[#This Row],[pH Max]]-River_data[[#This Row],[pH Min]])</f>
        <v>0.30000000000000071</v>
      </c>
    </row>
    <row r="728" spans="1:24" x14ac:dyDescent="0.3">
      <c r="A728">
        <v>3379</v>
      </c>
      <c r="B728" s="1" t="s">
        <v>745</v>
      </c>
      <c r="C728" s="1" t="s">
        <v>675</v>
      </c>
      <c r="D728">
        <v>13</v>
      </c>
      <c r="E728">
        <v>21</v>
      </c>
      <c r="F728">
        <v>7</v>
      </c>
      <c r="G728">
        <v>8.4</v>
      </c>
      <c r="H728">
        <v>5</v>
      </c>
      <c r="I728">
        <v>7.1</v>
      </c>
      <c r="J728">
        <v>41</v>
      </c>
      <c r="K728">
        <v>76</v>
      </c>
      <c r="L728">
        <v>1</v>
      </c>
      <c r="M728">
        <v>1.9</v>
      </c>
      <c r="N728">
        <v>0.35</v>
      </c>
      <c r="O728">
        <v>0.63</v>
      </c>
      <c r="P728">
        <v>11</v>
      </c>
      <c r="Q728">
        <v>63</v>
      </c>
      <c r="R728">
        <v>170</v>
      </c>
      <c r="S728">
        <v>2400</v>
      </c>
      <c r="T728">
        <v>2</v>
      </c>
      <c r="U728">
        <v>21</v>
      </c>
      <c r="V728">
        <f>River_data[[#This Row],[Dissolved Oxygen Min]]*River_data[[#This Row],[Dissolved Oxygen Max]]/2</f>
        <v>29.400000000000002</v>
      </c>
      <c r="W728">
        <f>River_data[[#This Row],[BOD Min]]*River_data[[#This Row],[BOD Max]]/2</f>
        <v>0.95</v>
      </c>
      <c r="X728">
        <f>AVERAGE(River_data[[#This Row],[pH Max]]-River_data[[#This Row],[pH Min]])</f>
        <v>2.0999999999999996</v>
      </c>
    </row>
    <row r="729" spans="1:24" x14ac:dyDescent="0.3">
      <c r="A729">
        <v>1631</v>
      </c>
      <c r="B729" s="1" t="s">
        <v>746</v>
      </c>
      <c r="C729" s="1" t="s">
        <v>675</v>
      </c>
      <c r="D729">
        <v>15</v>
      </c>
      <c r="E729">
        <v>20</v>
      </c>
      <c r="F729">
        <v>6.7</v>
      </c>
      <c r="G729">
        <v>7.4</v>
      </c>
      <c r="H729">
        <v>6.7</v>
      </c>
      <c r="I729">
        <v>7.1</v>
      </c>
      <c r="J729">
        <v>36</v>
      </c>
      <c r="K729">
        <v>58</v>
      </c>
      <c r="L729">
        <v>1.6</v>
      </c>
      <c r="M729">
        <v>2.4</v>
      </c>
      <c r="N729">
        <v>0.32</v>
      </c>
      <c r="O729">
        <v>0.96</v>
      </c>
      <c r="P729">
        <v>220</v>
      </c>
      <c r="Q729">
        <v>480</v>
      </c>
      <c r="R729">
        <v>1400</v>
      </c>
      <c r="S729">
        <v>3100</v>
      </c>
      <c r="T729">
        <v>130</v>
      </c>
      <c r="U729">
        <v>240</v>
      </c>
      <c r="V729">
        <f>River_data[[#This Row],[Dissolved Oxygen Min]]*River_data[[#This Row],[Dissolved Oxygen Max]]/2</f>
        <v>24.790000000000003</v>
      </c>
      <c r="W729">
        <f>River_data[[#This Row],[BOD Min]]*River_data[[#This Row],[BOD Max]]/2</f>
        <v>1.92</v>
      </c>
      <c r="X729">
        <f>AVERAGE(River_data[[#This Row],[pH Max]]-River_data[[#This Row],[pH Min]])</f>
        <v>0.39999999999999947</v>
      </c>
    </row>
    <row r="730" spans="1:24" x14ac:dyDescent="0.3">
      <c r="A730">
        <v>1428</v>
      </c>
      <c r="B730" s="1" t="s">
        <v>747</v>
      </c>
      <c r="C730" s="1" t="s">
        <v>675</v>
      </c>
      <c r="D730">
        <v>13</v>
      </c>
      <c r="E730">
        <v>19</v>
      </c>
      <c r="F730">
        <v>6.6</v>
      </c>
      <c r="G730">
        <v>7.2</v>
      </c>
      <c r="H730">
        <v>2.8</v>
      </c>
      <c r="I730">
        <v>4.0999999999999996</v>
      </c>
      <c r="J730">
        <v>111</v>
      </c>
      <c r="K730">
        <v>550</v>
      </c>
      <c r="L730">
        <v>1.9</v>
      </c>
      <c r="M730">
        <v>2.7</v>
      </c>
      <c r="N730">
        <v>0.32</v>
      </c>
      <c r="O730">
        <v>0.7</v>
      </c>
      <c r="P730">
        <v>2</v>
      </c>
      <c r="Q730">
        <v>2</v>
      </c>
      <c r="R730">
        <v>2</v>
      </c>
      <c r="S730">
        <v>2</v>
      </c>
      <c r="T730">
        <v>2</v>
      </c>
      <c r="U730">
        <v>2</v>
      </c>
      <c r="V730">
        <f>River_data[[#This Row],[Dissolved Oxygen Min]]*River_data[[#This Row],[Dissolved Oxygen Max]]/2</f>
        <v>23.759999999999998</v>
      </c>
      <c r="W730">
        <f>River_data[[#This Row],[BOD Min]]*River_data[[#This Row],[BOD Max]]/2</f>
        <v>2.5649999999999999</v>
      </c>
      <c r="X730">
        <f>AVERAGE(River_data[[#This Row],[pH Max]]-River_data[[#This Row],[pH Min]])</f>
        <v>1.2999999999999998</v>
      </c>
    </row>
    <row r="731" spans="1:24" x14ac:dyDescent="0.3">
      <c r="A731">
        <v>4317</v>
      </c>
      <c r="B731" s="1" t="s">
        <v>748</v>
      </c>
      <c r="C731" s="1" t="s">
        <v>675</v>
      </c>
      <c r="D731">
        <v>12.6</v>
      </c>
      <c r="E731">
        <v>20</v>
      </c>
      <c r="F731">
        <v>6.6</v>
      </c>
      <c r="G731">
        <v>8.5</v>
      </c>
      <c r="H731">
        <v>6.8</v>
      </c>
      <c r="I731">
        <v>7.6</v>
      </c>
      <c r="J731">
        <v>40</v>
      </c>
      <c r="K731">
        <v>75</v>
      </c>
      <c r="L731">
        <v>1</v>
      </c>
      <c r="M731">
        <v>1.8</v>
      </c>
      <c r="N731">
        <v>0.32</v>
      </c>
      <c r="O731">
        <v>0.46</v>
      </c>
      <c r="P731">
        <v>4</v>
      </c>
      <c r="Q731">
        <v>23</v>
      </c>
      <c r="R731">
        <v>110</v>
      </c>
      <c r="S731">
        <v>240</v>
      </c>
      <c r="T731">
        <v>2</v>
      </c>
      <c r="U731">
        <v>4</v>
      </c>
      <c r="V731">
        <f>River_data[[#This Row],[Dissolved Oxygen Min]]*River_data[[#This Row],[Dissolved Oxygen Max]]/2</f>
        <v>28.049999999999997</v>
      </c>
      <c r="W731">
        <f>River_data[[#This Row],[BOD Min]]*River_data[[#This Row],[BOD Max]]/2</f>
        <v>0.9</v>
      </c>
      <c r="X731">
        <f>AVERAGE(River_data[[#This Row],[pH Max]]-River_data[[#This Row],[pH Min]])</f>
        <v>0.79999999999999982</v>
      </c>
    </row>
    <row r="732" spans="1:24" x14ac:dyDescent="0.3">
      <c r="A732">
        <v>4318</v>
      </c>
      <c r="B732" s="1" t="s">
        <v>749</v>
      </c>
      <c r="C732" s="1" t="s">
        <v>675</v>
      </c>
      <c r="D732">
        <v>13.8</v>
      </c>
      <c r="E732">
        <v>20</v>
      </c>
      <c r="F732">
        <v>6.4</v>
      </c>
      <c r="G732">
        <v>7.6</v>
      </c>
      <c r="H732">
        <v>2.7</v>
      </c>
      <c r="I732">
        <v>3.5</v>
      </c>
      <c r="J732">
        <v>433</v>
      </c>
      <c r="K732">
        <v>1270</v>
      </c>
      <c r="L732">
        <v>1.1000000000000001</v>
      </c>
      <c r="M732">
        <v>2</v>
      </c>
      <c r="N732">
        <v>0.32</v>
      </c>
      <c r="O732">
        <v>0.47</v>
      </c>
      <c r="P732">
        <v>2</v>
      </c>
      <c r="Q732">
        <v>2</v>
      </c>
      <c r="R732">
        <v>2</v>
      </c>
      <c r="S732">
        <v>2</v>
      </c>
      <c r="T732">
        <v>2</v>
      </c>
      <c r="U732">
        <v>2</v>
      </c>
      <c r="V732">
        <f>River_data[[#This Row],[Dissolved Oxygen Min]]*River_data[[#This Row],[Dissolved Oxygen Max]]/2</f>
        <v>24.32</v>
      </c>
      <c r="W732">
        <f>River_data[[#This Row],[BOD Min]]*River_data[[#This Row],[BOD Max]]/2</f>
        <v>1.1000000000000001</v>
      </c>
      <c r="X732">
        <f>AVERAGE(River_data[[#This Row],[pH Max]]-River_data[[#This Row],[pH Min]])</f>
        <v>0.79999999999999982</v>
      </c>
    </row>
    <row r="733" spans="1:24" x14ac:dyDescent="0.3">
      <c r="A733">
        <v>4319</v>
      </c>
      <c r="B733" s="1" t="s">
        <v>750</v>
      </c>
      <c r="C733" s="1" t="s">
        <v>675</v>
      </c>
      <c r="D733">
        <v>14</v>
      </c>
      <c r="E733">
        <v>19</v>
      </c>
      <c r="F733">
        <v>6.8</v>
      </c>
      <c r="G733">
        <v>8.4</v>
      </c>
      <c r="H733">
        <v>3.8</v>
      </c>
      <c r="I733">
        <v>4.5</v>
      </c>
      <c r="J733">
        <v>158</v>
      </c>
      <c r="K733">
        <v>595</v>
      </c>
      <c r="L733">
        <v>1</v>
      </c>
      <c r="M733">
        <v>2</v>
      </c>
      <c r="N733">
        <v>0.32</v>
      </c>
      <c r="O733">
        <v>0.47</v>
      </c>
      <c r="P733">
        <v>2</v>
      </c>
      <c r="Q733">
        <v>2</v>
      </c>
      <c r="R733">
        <v>2</v>
      </c>
      <c r="S733">
        <v>2</v>
      </c>
      <c r="T733">
        <v>2</v>
      </c>
      <c r="U733">
        <v>2</v>
      </c>
      <c r="V733">
        <f>River_data[[#This Row],[Dissolved Oxygen Min]]*River_data[[#This Row],[Dissolved Oxygen Max]]/2</f>
        <v>28.56</v>
      </c>
      <c r="W733">
        <f>River_data[[#This Row],[BOD Min]]*River_data[[#This Row],[BOD Max]]/2</f>
        <v>1</v>
      </c>
      <c r="X733">
        <f>AVERAGE(River_data[[#This Row],[pH Max]]-River_data[[#This Row],[pH Min]])</f>
        <v>0.70000000000000018</v>
      </c>
    </row>
    <row r="734" spans="1:24" x14ac:dyDescent="0.3">
      <c r="A734">
        <v>4320</v>
      </c>
      <c r="B734" s="1" t="s">
        <v>751</v>
      </c>
      <c r="C734" s="1" t="s">
        <v>675</v>
      </c>
      <c r="D734">
        <v>14.6</v>
      </c>
      <c r="E734">
        <v>19</v>
      </c>
      <c r="F734">
        <v>6.6</v>
      </c>
      <c r="G734">
        <v>8.4</v>
      </c>
      <c r="H734">
        <v>3.8</v>
      </c>
      <c r="I734">
        <v>4.5</v>
      </c>
      <c r="J734">
        <v>143</v>
      </c>
      <c r="K734">
        <v>308</v>
      </c>
      <c r="L734">
        <v>1.2</v>
      </c>
      <c r="M734">
        <v>1.9</v>
      </c>
      <c r="N734">
        <v>0.32</v>
      </c>
      <c r="O734">
        <v>0.43</v>
      </c>
      <c r="P734">
        <v>2</v>
      </c>
      <c r="Q734">
        <v>2</v>
      </c>
      <c r="R734">
        <v>2</v>
      </c>
      <c r="S734">
        <v>2</v>
      </c>
      <c r="T734">
        <v>2</v>
      </c>
      <c r="U734">
        <v>2</v>
      </c>
      <c r="V734">
        <f>River_data[[#This Row],[Dissolved Oxygen Min]]*River_data[[#This Row],[Dissolved Oxygen Max]]/2</f>
        <v>27.72</v>
      </c>
      <c r="W734">
        <f>River_data[[#This Row],[BOD Min]]*River_data[[#This Row],[BOD Max]]/2</f>
        <v>1.1399999999999999</v>
      </c>
      <c r="X734">
        <f>AVERAGE(River_data[[#This Row],[pH Max]]-River_data[[#This Row],[pH Min]])</f>
        <v>0.70000000000000018</v>
      </c>
    </row>
    <row r="735" spans="1:24" x14ac:dyDescent="0.3">
      <c r="A735">
        <v>4321</v>
      </c>
      <c r="B735" s="1" t="s">
        <v>752</v>
      </c>
      <c r="C735" s="1" t="s">
        <v>675</v>
      </c>
      <c r="D735">
        <v>14</v>
      </c>
      <c r="E735">
        <v>19</v>
      </c>
      <c r="F735">
        <v>6.6</v>
      </c>
      <c r="G735">
        <v>7.8</v>
      </c>
      <c r="H735">
        <v>3.7</v>
      </c>
      <c r="I735">
        <v>4.7</v>
      </c>
      <c r="J735">
        <v>140</v>
      </c>
      <c r="K735">
        <v>301</v>
      </c>
      <c r="L735">
        <v>1.2</v>
      </c>
      <c r="M735">
        <v>1.9</v>
      </c>
      <c r="N735">
        <v>0.32</v>
      </c>
      <c r="O735">
        <v>0.56000000000000005</v>
      </c>
      <c r="P735">
        <v>2</v>
      </c>
      <c r="Q735">
        <v>2</v>
      </c>
      <c r="R735">
        <v>2</v>
      </c>
      <c r="S735">
        <v>84</v>
      </c>
      <c r="T735">
        <v>2</v>
      </c>
      <c r="U735">
        <v>2</v>
      </c>
      <c r="V735">
        <f>River_data[[#This Row],[Dissolved Oxygen Min]]*River_data[[#This Row],[Dissolved Oxygen Max]]/2</f>
        <v>25.74</v>
      </c>
      <c r="W735">
        <f>River_data[[#This Row],[BOD Min]]*River_data[[#This Row],[BOD Max]]/2</f>
        <v>1.1399999999999999</v>
      </c>
      <c r="X735">
        <f>AVERAGE(River_data[[#This Row],[pH Max]]-River_data[[#This Row],[pH Min]])</f>
        <v>1</v>
      </c>
    </row>
    <row r="736" spans="1:24" x14ac:dyDescent="0.3">
      <c r="A736">
        <v>4322</v>
      </c>
      <c r="B736" s="1" t="s">
        <v>753</v>
      </c>
      <c r="C736" s="1" t="s">
        <v>675</v>
      </c>
      <c r="D736">
        <v>10</v>
      </c>
      <c r="E736">
        <v>21</v>
      </c>
      <c r="F736">
        <v>6.7</v>
      </c>
      <c r="G736">
        <v>7.9</v>
      </c>
      <c r="H736">
        <v>4</v>
      </c>
      <c r="I736">
        <v>4.9000000000000004</v>
      </c>
      <c r="J736">
        <v>36</v>
      </c>
      <c r="K736">
        <v>58</v>
      </c>
      <c r="L736">
        <v>1.2</v>
      </c>
      <c r="M736">
        <v>2</v>
      </c>
      <c r="N736">
        <v>0.32</v>
      </c>
      <c r="O736">
        <v>0.39</v>
      </c>
      <c r="P736">
        <v>2</v>
      </c>
      <c r="Q736">
        <v>9</v>
      </c>
      <c r="R736">
        <v>12</v>
      </c>
      <c r="S736">
        <v>120</v>
      </c>
      <c r="T736">
        <v>2</v>
      </c>
      <c r="U736">
        <v>4</v>
      </c>
      <c r="V736">
        <f>River_data[[#This Row],[Dissolved Oxygen Min]]*River_data[[#This Row],[Dissolved Oxygen Max]]/2</f>
        <v>26.465000000000003</v>
      </c>
      <c r="W736">
        <f>River_data[[#This Row],[BOD Min]]*River_data[[#This Row],[BOD Max]]/2</f>
        <v>1.2</v>
      </c>
      <c r="X736">
        <f>AVERAGE(River_data[[#This Row],[pH Max]]-River_data[[#This Row],[pH Min]])</f>
        <v>0.90000000000000036</v>
      </c>
    </row>
    <row r="737" spans="1:24" x14ac:dyDescent="0.3">
      <c r="A737">
        <v>1633</v>
      </c>
      <c r="B737" s="1" t="s">
        <v>754</v>
      </c>
      <c r="C737" s="1" t="s">
        <v>675</v>
      </c>
      <c r="D737">
        <v>15</v>
      </c>
      <c r="E737">
        <v>23</v>
      </c>
      <c r="F737">
        <v>6.8</v>
      </c>
      <c r="G737">
        <v>7.8</v>
      </c>
      <c r="H737">
        <v>6.9</v>
      </c>
      <c r="I737">
        <v>7.7</v>
      </c>
      <c r="J737">
        <v>50</v>
      </c>
      <c r="K737">
        <v>73</v>
      </c>
      <c r="L737">
        <v>1.2</v>
      </c>
      <c r="M737">
        <v>2</v>
      </c>
      <c r="N737">
        <v>0.32</v>
      </c>
      <c r="O737">
        <v>0.45</v>
      </c>
      <c r="P737">
        <v>23</v>
      </c>
      <c r="Q737">
        <v>170</v>
      </c>
      <c r="R737">
        <v>330</v>
      </c>
      <c r="S737">
        <v>790</v>
      </c>
      <c r="T737">
        <v>4</v>
      </c>
      <c r="U737">
        <v>58</v>
      </c>
      <c r="V737">
        <f>River_data[[#This Row],[Dissolved Oxygen Min]]*River_data[[#This Row],[Dissolved Oxygen Max]]/2</f>
        <v>26.52</v>
      </c>
      <c r="W737">
        <f>River_data[[#This Row],[BOD Min]]*River_data[[#This Row],[BOD Max]]/2</f>
        <v>1.2</v>
      </c>
      <c r="X737">
        <f>AVERAGE(River_data[[#This Row],[pH Max]]-River_data[[#This Row],[pH Min]])</f>
        <v>0.79999999999999982</v>
      </c>
    </row>
    <row r="738" spans="1:24" x14ac:dyDescent="0.3">
      <c r="A738">
        <v>1801</v>
      </c>
      <c r="B738" s="1" t="s">
        <v>755</v>
      </c>
      <c r="C738" s="1" t="s">
        <v>756</v>
      </c>
      <c r="D738">
        <v>9.1999999999999993</v>
      </c>
      <c r="E738">
        <v>18</v>
      </c>
      <c r="F738">
        <v>7</v>
      </c>
      <c r="G738">
        <v>8.6999999999999993</v>
      </c>
      <c r="H738">
        <v>6.8</v>
      </c>
      <c r="I738">
        <v>7.2</v>
      </c>
      <c r="J738">
        <v>91</v>
      </c>
      <c r="K738">
        <v>180</v>
      </c>
      <c r="L738">
        <v>2</v>
      </c>
      <c r="M738">
        <v>2.2999999999999998</v>
      </c>
      <c r="N738">
        <v>1</v>
      </c>
      <c r="O738">
        <v>3.8</v>
      </c>
      <c r="P738">
        <v>24</v>
      </c>
      <c r="Q738">
        <v>61</v>
      </c>
      <c r="R738">
        <v>56</v>
      </c>
      <c r="S738">
        <v>130</v>
      </c>
      <c r="V738">
        <f>River_data[[#This Row],[Dissolved Oxygen Min]]*River_data[[#This Row],[Dissolved Oxygen Max]]/2</f>
        <v>30.449999999999996</v>
      </c>
      <c r="W738">
        <f>River_data[[#This Row],[BOD Min]]*River_data[[#This Row],[BOD Max]]/2</f>
        <v>2.2999999999999998</v>
      </c>
      <c r="X738">
        <f>AVERAGE(River_data[[#This Row],[pH Max]]-River_data[[#This Row],[pH Min]])</f>
        <v>0.40000000000000036</v>
      </c>
    </row>
    <row r="739" spans="1:24" x14ac:dyDescent="0.3">
      <c r="A739">
        <v>1807</v>
      </c>
      <c r="B739" s="1" t="s">
        <v>757</v>
      </c>
      <c r="C739" s="1" t="s">
        <v>756</v>
      </c>
      <c r="D739">
        <v>14</v>
      </c>
      <c r="E739">
        <v>24</v>
      </c>
      <c r="F739">
        <v>7.4</v>
      </c>
      <c r="G739">
        <v>9.4</v>
      </c>
      <c r="H739">
        <v>6.6</v>
      </c>
      <c r="I739">
        <v>7.4</v>
      </c>
      <c r="J739">
        <v>139</v>
      </c>
      <c r="K739">
        <v>173</v>
      </c>
      <c r="L739">
        <v>2</v>
      </c>
      <c r="M739">
        <v>2.4</v>
      </c>
      <c r="N739">
        <v>1.9</v>
      </c>
      <c r="O739">
        <v>4.4000000000000004</v>
      </c>
      <c r="P739">
        <v>31</v>
      </c>
      <c r="Q739">
        <v>85</v>
      </c>
      <c r="R739">
        <v>66</v>
      </c>
      <c r="S739">
        <v>178</v>
      </c>
      <c r="V739">
        <f>River_data[[#This Row],[Dissolved Oxygen Min]]*River_data[[#This Row],[Dissolved Oxygen Max]]/2</f>
        <v>34.78</v>
      </c>
      <c r="W739">
        <f>River_data[[#This Row],[BOD Min]]*River_data[[#This Row],[BOD Max]]/2</f>
        <v>2.4</v>
      </c>
      <c r="X739">
        <f>AVERAGE(River_data[[#This Row],[pH Max]]-River_data[[#This Row],[pH Min]])</f>
        <v>0.80000000000000071</v>
      </c>
    </row>
    <row r="740" spans="1:24" x14ac:dyDescent="0.3">
      <c r="A740">
        <v>1808</v>
      </c>
      <c r="B740" s="1" t="s">
        <v>758</v>
      </c>
      <c r="C740" s="1" t="s">
        <v>756</v>
      </c>
      <c r="D740">
        <v>16</v>
      </c>
      <c r="E740">
        <v>23</v>
      </c>
      <c r="F740">
        <v>7.9</v>
      </c>
      <c r="G740">
        <v>9.1</v>
      </c>
      <c r="H740">
        <v>6.7</v>
      </c>
      <c r="I740">
        <v>7.4</v>
      </c>
      <c r="J740">
        <v>139</v>
      </c>
      <c r="K740">
        <v>170</v>
      </c>
      <c r="L740">
        <v>1.6</v>
      </c>
      <c r="M740">
        <v>2.2999999999999998</v>
      </c>
      <c r="N740">
        <v>2</v>
      </c>
      <c r="O740">
        <v>4.7</v>
      </c>
      <c r="P740">
        <v>29</v>
      </c>
      <c r="Q740">
        <v>105</v>
      </c>
      <c r="R740">
        <v>61</v>
      </c>
      <c r="S740">
        <v>185</v>
      </c>
      <c r="V740">
        <f>River_data[[#This Row],[Dissolved Oxygen Min]]*River_data[[#This Row],[Dissolved Oxygen Max]]/2</f>
        <v>35.945</v>
      </c>
      <c r="W740">
        <f>River_data[[#This Row],[BOD Min]]*River_data[[#This Row],[BOD Max]]/2</f>
        <v>1.8399999999999999</v>
      </c>
      <c r="X740">
        <f>AVERAGE(River_data[[#This Row],[pH Max]]-River_data[[#This Row],[pH Min]])</f>
        <v>0.70000000000000018</v>
      </c>
    </row>
    <row r="741" spans="1:24" x14ac:dyDescent="0.3">
      <c r="A741">
        <v>1809</v>
      </c>
      <c r="B741" s="1" t="s">
        <v>759</v>
      </c>
      <c r="C741" s="1" t="s">
        <v>756</v>
      </c>
      <c r="D741">
        <v>14</v>
      </c>
      <c r="E741">
        <v>23</v>
      </c>
      <c r="F741">
        <v>8</v>
      </c>
      <c r="G741">
        <v>9.4</v>
      </c>
      <c r="H741">
        <v>6.8</v>
      </c>
      <c r="I741">
        <v>7.6</v>
      </c>
      <c r="J741">
        <v>132</v>
      </c>
      <c r="K741">
        <v>182</v>
      </c>
      <c r="L741">
        <v>2</v>
      </c>
      <c r="M741">
        <v>2.4</v>
      </c>
      <c r="N741">
        <v>2</v>
      </c>
      <c r="O741">
        <v>5</v>
      </c>
      <c r="P741">
        <v>32</v>
      </c>
      <c r="Q741">
        <v>100</v>
      </c>
      <c r="R741">
        <v>64</v>
      </c>
      <c r="S741">
        <v>185</v>
      </c>
      <c r="V741">
        <f>River_data[[#This Row],[Dissolved Oxygen Min]]*River_data[[#This Row],[Dissolved Oxygen Max]]/2</f>
        <v>37.6</v>
      </c>
      <c r="W741">
        <f>River_data[[#This Row],[BOD Min]]*River_data[[#This Row],[BOD Max]]/2</f>
        <v>2.4</v>
      </c>
      <c r="X741">
        <f>AVERAGE(River_data[[#This Row],[pH Max]]-River_data[[#This Row],[pH Min]])</f>
        <v>0.79999999999999982</v>
      </c>
    </row>
    <row r="742" spans="1:24" x14ac:dyDescent="0.3">
      <c r="A742">
        <v>1947</v>
      </c>
      <c r="B742" s="1" t="s">
        <v>760</v>
      </c>
      <c r="C742" s="1" t="s">
        <v>247</v>
      </c>
      <c r="D742">
        <v>11</v>
      </c>
      <c r="E742">
        <v>27</v>
      </c>
      <c r="F742">
        <v>7.1</v>
      </c>
      <c r="G742">
        <v>8.9</v>
      </c>
      <c r="H742">
        <v>6.3</v>
      </c>
      <c r="I742">
        <v>8</v>
      </c>
      <c r="J742">
        <v>36</v>
      </c>
      <c r="K742">
        <v>86</v>
      </c>
      <c r="L742">
        <v>1</v>
      </c>
      <c r="M742">
        <v>2.1</v>
      </c>
      <c r="N742">
        <v>0.3</v>
      </c>
      <c r="O742">
        <v>0.75</v>
      </c>
      <c r="P742">
        <v>800</v>
      </c>
      <c r="Q742">
        <v>24000</v>
      </c>
      <c r="R742">
        <v>2300</v>
      </c>
      <c r="S742">
        <v>50000</v>
      </c>
      <c r="T742">
        <v>11</v>
      </c>
      <c r="U742">
        <v>140</v>
      </c>
      <c r="V742">
        <f>River_data[[#This Row],[Dissolved Oxygen Min]]*River_data[[#This Row],[Dissolved Oxygen Max]]/2</f>
        <v>31.594999999999999</v>
      </c>
      <c r="W742">
        <f>River_data[[#This Row],[BOD Min]]*River_data[[#This Row],[BOD Max]]/2</f>
        <v>1.05</v>
      </c>
      <c r="X742">
        <f>AVERAGE(River_data[[#This Row],[pH Max]]-River_data[[#This Row],[pH Min]])</f>
        <v>1.7000000000000002</v>
      </c>
    </row>
    <row r="743" spans="1:24" x14ac:dyDescent="0.3">
      <c r="A743">
        <v>4723</v>
      </c>
      <c r="B743" s="1" t="s">
        <v>761</v>
      </c>
      <c r="C743" s="1" t="s">
        <v>247</v>
      </c>
      <c r="D743">
        <v>11</v>
      </c>
      <c r="E743">
        <v>29</v>
      </c>
      <c r="F743">
        <v>6</v>
      </c>
      <c r="G743">
        <v>8.6</v>
      </c>
      <c r="H743">
        <v>6.9</v>
      </c>
      <c r="I743">
        <v>7.7</v>
      </c>
      <c r="J743">
        <v>52</v>
      </c>
      <c r="K743">
        <v>8136</v>
      </c>
      <c r="L743">
        <v>1</v>
      </c>
      <c r="M743">
        <v>2.8</v>
      </c>
      <c r="N743">
        <v>0.3</v>
      </c>
      <c r="O743">
        <v>0.56999999999999995</v>
      </c>
      <c r="P743">
        <v>1100</v>
      </c>
      <c r="Q743">
        <v>7000</v>
      </c>
      <c r="R743">
        <v>2100</v>
      </c>
      <c r="S743">
        <v>50000</v>
      </c>
      <c r="T743">
        <v>17</v>
      </c>
      <c r="U743">
        <v>130</v>
      </c>
      <c r="V743">
        <f>River_data[[#This Row],[Dissolved Oxygen Min]]*River_data[[#This Row],[Dissolved Oxygen Max]]/2</f>
        <v>25.799999999999997</v>
      </c>
      <c r="W743">
        <f>River_data[[#This Row],[BOD Min]]*River_data[[#This Row],[BOD Max]]/2</f>
        <v>1.4</v>
      </c>
      <c r="X743">
        <f>AVERAGE(River_data[[#This Row],[pH Max]]-River_data[[#This Row],[pH Min]])</f>
        <v>0.79999999999999982</v>
      </c>
    </row>
    <row r="744" spans="1:24" x14ac:dyDescent="0.3">
      <c r="A744">
        <v>4728</v>
      </c>
      <c r="B744" s="1" t="s">
        <v>762</v>
      </c>
      <c r="C744" s="1" t="s">
        <v>247</v>
      </c>
      <c r="D744">
        <v>20</v>
      </c>
      <c r="E744">
        <v>29</v>
      </c>
      <c r="F744">
        <v>6</v>
      </c>
      <c r="G744">
        <v>9</v>
      </c>
      <c r="H744">
        <v>7.3</v>
      </c>
      <c r="I744">
        <v>7.9</v>
      </c>
      <c r="J744">
        <v>110</v>
      </c>
      <c r="K744">
        <v>179</v>
      </c>
      <c r="L744">
        <v>1.1000000000000001</v>
      </c>
      <c r="M744">
        <v>2.4</v>
      </c>
      <c r="N744">
        <v>0.3</v>
      </c>
      <c r="O744">
        <v>0.3</v>
      </c>
      <c r="P744">
        <v>800</v>
      </c>
      <c r="Q744">
        <v>3400</v>
      </c>
      <c r="R744">
        <v>1700</v>
      </c>
      <c r="S744">
        <v>17000</v>
      </c>
      <c r="T744">
        <v>17</v>
      </c>
      <c r="U744">
        <v>70</v>
      </c>
      <c r="V744">
        <f>River_data[[#This Row],[Dissolved Oxygen Min]]*River_data[[#This Row],[Dissolved Oxygen Max]]/2</f>
        <v>27</v>
      </c>
      <c r="W744">
        <f>River_data[[#This Row],[BOD Min]]*River_data[[#This Row],[BOD Max]]/2</f>
        <v>1.32</v>
      </c>
      <c r="X744">
        <f>AVERAGE(River_data[[#This Row],[pH Max]]-River_data[[#This Row],[pH Min]])</f>
        <v>0.60000000000000053</v>
      </c>
    </row>
    <row r="745" spans="1:24" x14ac:dyDescent="0.3">
      <c r="A745">
        <v>2241</v>
      </c>
      <c r="B745" s="1" t="s">
        <v>763</v>
      </c>
      <c r="C745" s="1" t="s">
        <v>567</v>
      </c>
      <c r="D745">
        <v>21</v>
      </c>
      <c r="E745">
        <v>25</v>
      </c>
      <c r="F745">
        <v>5</v>
      </c>
      <c r="G745">
        <v>5.6</v>
      </c>
      <c r="H745">
        <v>7.2</v>
      </c>
      <c r="I745">
        <v>7.4</v>
      </c>
      <c r="J745">
        <v>88</v>
      </c>
      <c r="K745">
        <v>120</v>
      </c>
      <c r="L745">
        <v>2.2000000000000002</v>
      </c>
      <c r="M745">
        <v>2.5</v>
      </c>
      <c r="N745">
        <v>0.7</v>
      </c>
      <c r="O745">
        <v>1.1000000000000001</v>
      </c>
      <c r="P745">
        <v>600</v>
      </c>
      <c r="Q745">
        <v>1100</v>
      </c>
      <c r="R745">
        <v>1100</v>
      </c>
      <c r="S745">
        <v>2000</v>
      </c>
      <c r="T745">
        <v>210</v>
      </c>
      <c r="U745">
        <v>290</v>
      </c>
      <c r="V745">
        <f>River_data[[#This Row],[Dissolved Oxygen Min]]*River_data[[#This Row],[Dissolved Oxygen Max]]/2</f>
        <v>14</v>
      </c>
      <c r="W745">
        <f>River_data[[#This Row],[BOD Min]]*River_data[[#This Row],[BOD Max]]/2</f>
        <v>2.75</v>
      </c>
      <c r="X745">
        <f>AVERAGE(River_data[[#This Row],[pH Max]]-River_data[[#This Row],[pH Min]])</f>
        <v>0.20000000000000018</v>
      </c>
    </row>
    <row r="746" spans="1:24" x14ac:dyDescent="0.3">
      <c r="A746">
        <v>2234</v>
      </c>
      <c r="B746" s="1" t="s">
        <v>764</v>
      </c>
      <c r="C746" s="1" t="s">
        <v>567</v>
      </c>
      <c r="D746">
        <v>19</v>
      </c>
      <c r="E746">
        <v>28</v>
      </c>
      <c r="F746">
        <v>5.4</v>
      </c>
      <c r="G746">
        <v>6.2</v>
      </c>
      <c r="H746">
        <v>6.9</v>
      </c>
      <c r="I746">
        <v>8</v>
      </c>
      <c r="J746">
        <v>122</v>
      </c>
      <c r="K746">
        <v>168</v>
      </c>
      <c r="L746">
        <v>2</v>
      </c>
      <c r="M746">
        <v>2.6</v>
      </c>
      <c r="N746">
        <v>0.6</v>
      </c>
      <c r="O746">
        <v>1.4</v>
      </c>
      <c r="P746">
        <v>300</v>
      </c>
      <c r="Q746">
        <v>730</v>
      </c>
      <c r="R746">
        <v>730</v>
      </c>
      <c r="S746">
        <v>1600</v>
      </c>
      <c r="T746">
        <v>95</v>
      </c>
      <c r="U746">
        <v>290</v>
      </c>
      <c r="V746">
        <f>River_data[[#This Row],[Dissolved Oxygen Min]]*River_data[[#This Row],[Dissolved Oxygen Max]]/2</f>
        <v>16.740000000000002</v>
      </c>
      <c r="W746">
        <f>River_data[[#This Row],[BOD Min]]*River_data[[#This Row],[BOD Max]]/2</f>
        <v>2.6</v>
      </c>
      <c r="X746">
        <f>AVERAGE(River_data[[#This Row],[pH Max]]-River_data[[#This Row],[pH Min]])</f>
        <v>1.0999999999999996</v>
      </c>
    </row>
    <row r="747" spans="1:24" x14ac:dyDescent="0.3">
      <c r="A747">
        <v>2034</v>
      </c>
      <c r="B747" s="1" t="s">
        <v>765</v>
      </c>
      <c r="C747" s="1" t="s">
        <v>756</v>
      </c>
      <c r="D747">
        <v>10</v>
      </c>
      <c r="E747">
        <v>23</v>
      </c>
      <c r="F747">
        <v>8</v>
      </c>
      <c r="G747">
        <v>8.6</v>
      </c>
      <c r="H747">
        <v>6.9</v>
      </c>
      <c r="I747">
        <v>7.3</v>
      </c>
      <c r="J747">
        <v>142</v>
      </c>
      <c r="K747">
        <v>177</v>
      </c>
      <c r="L747">
        <v>1.7</v>
      </c>
      <c r="M747">
        <v>2.4</v>
      </c>
      <c r="N747">
        <v>2</v>
      </c>
      <c r="O747">
        <v>4.7</v>
      </c>
      <c r="P747">
        <v>19</v>
      </c>
      <c r="Q747">
        <v>71</v>
      </c>
      <c r="R747">
        <v>46</v>
      </c>
      <c r="S747">
        <v>134</v>
      </c>
      <c r="V747">
        <f>River_data[[#This Row],[Dissolved Oxygen Min]]*River_data[[#This Row],[Dissolved Oxygen Max]]/2</f>
        <v>34.4</v>
      </c>
      <c r="W747">
        <f>River_data[[#This Row],[BOD Min]]*River_data[[#This Row],[BOD Max]]/2</f>
        <v>2.04</v>
      </c>
      <c r="X747">
        <f>AVERAGE(River_data[[#This Row],[pH Max]]-River_data[[#This Row],[pH Min]])</f>
        <v>0.39999999999999947</v>
      </c>
    </row>
    <row r="748" spans="1:24" x14ac:dyDescent="0.3">
      <c r="A748">
        <v>2035</v>
      </c>
      <c r="B748" s="1" t="s">
        <v>766</v>
      </c>
      <c r="C748" s="1" t="s">
        <v>756</v>
      </c>
      <c r="D748">
        <v>13</v>
      </c>
      <c r="E748">
        <v>23</v>
      </c>
      <c r="F748">
        <v>7.9</v>
      </c>
      <c r="G748">
        <v>9.8000000000000007</v>
      </c>
      <c r="H748">
        <v>6.9</v>
      </c>
      <c r="I748">
        <v>7.4</v>
      </c>
      <c r="J748">
        <v>131</v>
      </c>
      <c r="K748">
        <v>192</v>
      </c>
      <c r="L748">
        <v>1.5</v>
      </c>
      <c r="M748">
        <v>2.2999999999999998</v>
      </c>
      <c r="N748">
        <v>2</v>
      </c>
      <c r="O748">
        <v>4.5</v>
      </c>
      <c r="P748">
        <v>20</v>
      </c>
      <c r="Q748">
        <v>87</v>
      </c>
      <c r="R748">
        <v>52</v>
      </c>
      <c r="S748">
        <v>154</v>
      </c>
      <c r="V748">
        <f>River_data[[#This Row],[Dissolved Oxygen Min]]*River_data[[#This Row],[Dissolved Oxygen Max]]/2</f>
        <v>38.710000000000008</v>
      </c>
      <c r="W748">
        <f>River_data[[#This Row],[BOD Min]]*River_data[[#This Row],[BOD Max]]/2</f>
        <v>1.7249999999999999</v>
      </c>
      <c r="X748">
        <f>AVERAGE(River_data[[#This Row],[pH Max]]-River_data[[#This Row],[pH Min]])</f>
        <v>0.5</v>
      </c>
    </row>
    <row r="749" spans="1:24" x14ac:dyDescent="0.3">
      <c r="A749">
        <v>2036</v>
      </c>
      <c r="B749" s="1" t="s">
        <v>767</v>
      </c>
      <c r="C749" s="1" t="s">
        <v>756</v>
      </c>
      <c r="D749">
        <v>13</v>
      </c>
      <c r="E749">
        <v>22</v>
      </c>
      <c r="F749">
        <v>8</v>
      </c>
      <c r="G749">
        <v>9.1999999999999993</v>
      </c>
      <c r="H749">
        <v>6.7</v>
      </c>
      <c r="I749">
        <v>7.3</v>
      </c>
      <c r="J749">
        <v>148</v>
      </c>
      <c r="K749">
        <v>181</v>
      </c>
      <c r="L749">
        <v>1.8</v>
      </c>
      <c r="M749">
        <v>2.2999999999999998</v>
      </c>
      <c r="N749">
        <v>2</v>
      </c>
      <c r="O749">
        <v>5</v>
      </c>
      <c r="P749">
        <v>23</v>
      </c>
      <c r="Q749">
        <v>82</v>
      </c>
      <c r="R749">
        <v>56</v>
      </c>
      <c r="S749">
        <v>140</v>
      </c>
      <c r="V749">
        <f>River_data[[#This Row],[Dissolved Oxygen Min]]*River_data[[#This Row],[Dissolved Oxygen Max]]/2</f>
        <v>36.799999999999997</v>
      </c>
      <c r="W749">
        <f>River_data[[#This Row],[BOD Min]]*River_data[[#This Row],[BOD Max]]/2</f>
        <v>2.0699999999999998</v>
      </c>
      <c r="X749">
        <f>AVERAGE(River_data[[#This Row],[pH Max]]-River_data[[#This Row],[pH Min]])</f>
        <v>0.59999999999999964</v>
      </c>
    </row>
    <row r="750" spans="1:24" x14ac:dyDescent="0.3">
      <c r="A750">
        <v>2037</v>
      </c>
      <c r="B750" s="1" t="s">
        <v>768</v>
      </c>
      <c r="C750" s="1" t="s">
        <v>756</v>
      </c>
      <c r="D750">
        <v>15</v>
      </c>
      <c r="E750">
        <v>23</v>
      </c>
      <c r="F750">
        <v>8</v>
      </c>
      <c r="G750">
        <v>9.1999999999999993</v>
      </c>
      <c r="H750">
        <v>6.6</v>
      </c>
      <c r="I750">
        <v>7.5</v>
      </c>
      <c r="J750">
        <v>137</v>
      </c>
      <c r="K750">
        <v>184</v>
      </c>
      <c r="L750">
        <v>2</v>
      </c>
      <c r="M750">
        <v>2.4</v>
      </c>
      <c r="N750">
        <v>2</v>
      </c>
      <c r="O750">
        <v>4.4000000000000004</v>
      </c>
      <c r="P750">
        <v>22</v>
      </c>
      <c r="Q750">
        <v>99</v>
      </c>
      <c r="R750">
        <v>35</v>
      </c>
      <c r="S750">
        <v>162</v>
      </c>
      <c r="V750">
        <f>River_data[[#This Row],[Dissolved Oxygen Min]]*River_data[[#This Row],[Dissolved Oxygen Max]]/2</f>
        <v>36.799999999999997</v>
      </c>
      <c r="W750">
        <f>River_data[[#This Row],[BOD Min]]*River_data[[#This Row],[BOD Max]]/2</f>
        <v>2.4</v>
      </c>
      <c r="X750">
        <f>AVERAGE(River_data[[#This Row],[pH Max]]-River_data[[#This Row],[pH Min]])</f>
        <v>0.90000000000000036</v>
      </c>
    </row>
    <row r="751" spans="1:24" x14ac:dyDescent="0.3">
      <c r="A751">
        <v>2038</v>
      </c>
      <c r="B751" s="1" t="s">
        <v>769</v>
      </c>
      <c r="C751" s="1" t="s">
        <v>756</v>
      </c>
      <c r="D751">
        <v>14</v>
      </c>
      <c r="E751">
        <v>23</v>
      </c>
      <c r="F751">
        <v>8.1</v>
      </c>
      <c r="G751">
        <v>9</v>
      </c>
      <c r="H751">
        <v>6.7</v>
      </c>
      <c r="I751">
        <v>7.5</v>
      </c>
      <c r="J751">
        <v>139</v>
      </c>
      <c r="K751">
        <v>179</v>
      </c>
      <c r="L751">
        <v>2</v>
      </c>
      <c r="M751">
        <v>2.5</v>
      </c>
      <c r="N751">
        <v>2</v>
      </c>
      <c r="O751">
        <v>4.3</v>
      </c>
      <c r="P751">
        <v>32</v>
      </c>
      <c r="Q751">
        <v>100</v>
      </c>
      <c r="R751">
        <v>56</v>
      </c>
      <c r="S751">
        <v>172</v>
      </c>
      <c r="V751">
        <f>River_data[[#This Row],[Dissolved Oxygen Min]]*River_data[[#This Row],[Dissolved Oxygen Max]]/2</f>
        <v>36.449999999999996</v>
      </c>
      <c r="W751">
        <f>River_data[[#This Row],[BOD Min]]*River_data[[#This Row],[BOD Max]]/2</f>
        <v>2.5</v>
      </c>
      <c r="X751">
        <f>AVERAGE(River_data[[#This Row],[pH Max]]-River_data[[#This Row],[pH Min]])</f>
        <v>0.79999999999999982</v>
      </c>
    </row>
    <row r="752" spans="1:24" x14ac:dyDescent="0.3">
      <c r="A752">
        <v>5553</v>
      </c>
      <c r="B752" s="1" t="s">
        <v>770</v>
      </c>
      <c r="C752" s="1" t="s">
        <v>756</v>
      </c>
      <c r="D752">
        <v>15</v>
      </c>
      <c r="E752">
        <v>24</v>
      </c>
      <c r="F752">
        <v>7.8</v>
      </c>
      <c r="G752">
        <v>8.4</v>
      </c>
      <c r="H752">
        <v>6.9</v>
      </c>
      <c r="I752">
        <v>7.3</v>
      </c>
      <c r="J752">
        <v>51</v>
      </c>
      <c r="K752">
        <v>89</v>
      </c>
      <c r="L752">
        <v>1.8</v>
      </c>
      <c r="M752">
        <v>2.2000000000000002</v>
      </c>
      <c r="N752">
        <v>2</v>
      </c>
      <c r="O752">
        <v>4.5</v>
      </c>
      <c r="P752">
        <v>30</v>
      </c>
      <c r="Q752">
        <v>84</v>
      </c>
      <c r="R752">
        <v>63</v>
      </c>
      <c r="S752">
        <v>125</v>
      </c>
      <c r="V752">
        <f>River_data[[#This Row],[Dissolved Oxygen Min]]*River_data[[#This Row],[Dissolved Oxygen Max]]/2</f>
        <v>32.76</v>
      </c>
      <c r="W752">
        <f>River_data[[#This Row],[BOD Min]]*River_data[[#This Row],[BOD Max]]/2</f>
        <v>1.9800000000000002</v>
      </c>
      <c r="X752">
        <f>AVERAGE(River_data[[#This Row],[pH Max]]-River_data[[#This Row],[pH Min]])</f>
        <v>0.39999999999999947</v>
      </c>
    </row>
    <row r="753" spans="1:24" x14ac:dyDescent="0.3">
      <c r="A753">
        <v>5554</v>
      </c>
      <c r="B753" s="1" t="s">
        <v>771</v>
      </c>
      <c r="C753" s="1" t="s">
        <v>756</v>
      </c>
      <c r="D753">
        <v>16</v>
      </c>
      <c r="E753">
        <v>24</v>
      </c>
      <c r="F753">
        <v>7.8</v>
      </c>
      <c r="G753">
        <v>8.6</v>
      </c>
      <c r="H753">
        <v>6.7</v>
      </c>
      <c r="I753">
        <v>7.3</v>
      </c>
      <c r="J753">
        <v>25</v>
      </c>
      <c r="K753">
        <v>97</v>
      </c>
      <c r="L753">
        <v>1.9</v>
      </c>
      <c r="M753">
        <v>2.4</v>
      </c>
      <c r="N753">
        <v>1.8</v>
      </c>
      <c r="O753">
        <v>21</v>
      </c>
      <c r="P753">
        <v>30</v>
      </c>
      <c r="Q753">
        <v>80</v>
      </c>
      <c r="R753">
        <v>72</v>
      </c>
      <c r="S753">
        <v>105</v>
      </c>
      <c r="V753">
        <f>River_data[[#This Row],[Dissolved Oxygen Min]]*River_data[[#This Row],[Dissolved Oxygen Max]]/2</f>
        <v>33.54</v>
      </c>
      <c r="W753">
        <f>River_data[[#This Row],[BOD Min]]*River_data[[#This Row],[BOD Max]]/2</f>
        <v>2.2799999999999998</v>
      </c>
      <c r="X753">
        <f>AVERAGE(River_data[[#This Row],[pH Max]]-River_data[[#This Row],[pH Min]])</f>
        <v>0.59999999999999964</v>
      </c>
    </row>
    <row r="754" spans="1:24" x14ac:dyDescent="0.3">
      <c r="A754">
        <v>5555</v>
      </c>
      <c r="B754" s="1" t="s">
        <v>772</v>
      </c>
      <c r="C754" s="1" t="s">
        <v>756</v>
      </c>
      <c r="D754">
        <v>15</v>
      </c>
      <c r="E754">
        <v>23</v>
      </c>
      <c r="F754">
        <v>7.8</v>
      </c>
      <c r="G754">
        <v>8.4</v>
      </c>
      <c r="H754">
        <v>6.6</v>
      </c>
      <c r="I754">
        <v>7.3</v>
      </c>
      <c r="J754">
        <v>48</v>
      </c>
      <c r="K754">
        <v>125</v>
      </c>
      <c r="L754">
        <v>1.9</v>
      </c>
      <c r="M754">
        <v>2.1</v>
      </c>
      <c r="N754">
        <v>1.8</v>
      </c>
      <c r="O754">
        <v>4.9000000000000004</v>
      </c>
      <c r="P754">
        <v>27</v>
      </c>
      <c r="Q754">
        <v>80</v>
      </c>
      <c r="R754">
        <v>61</v>
      </c>
      <c r="S754">
        <v>120</v>
      </c>
      <c r="V754">
        <f>River_data[[#This Row],[Dissolved Oxygen Min]]*River_data[[#This Row],[Dissolved Oxygen Max]]/2</f>
        <v>32.76</v>
      </c>
      <c r="W754">
        <f>River_data[[#This Row],[BOD Min]]*River_data[[#This Row],[BOD Max]]/2</f>
        <v>1.9949999999999999</v>
      </c>
      <c r="X754">
        <f>AVERAGE(River_data[[#This Row],[pH Max]]-River_data[[#This Row],[pH Min]])</f>
        <v>0.70000000000000018</v>
      </c>
    </row>
    <row r="755" spans="1:24" x14ac:dyDescent="0.3">
      <c r="A755">
        <v>5556</v>
      </c>
      <c r="B755" s="1" t="s">
        <v>773</v>
      </c>
      <c r="C755" s="1" t="s">
        <v>756</v>
      </c>
      <c r="D755">
        <v>15</v>
      </c>
      <c r="E755">
        <v>23</v>
      </c>
      <c r="F755">
        <v>3.5</v>
      </c>
      <c r="G755">
        <v>8.9</v>
      </c>
      <c r="H755">
        <v>7</v>
      </c>
      <c r="I755">
        <v>7.4</v>
      </c>
      <c r="J755">
        <v>51</v>
      </c>
      <c r="K755">
        <v>109</v>
      </c>
      <c r="L755">
        <v>2</v>
      </c>
      <c r="M755">
        <v>2.2999999999999998</v>
      </c>
      <c r="N755">
        <v>2</v>
      </c>
      <c r="O755">
        <v>4.5999999999999996</v>
      </c>
      <c r="P755">
        <v>31</v>
      </c>
      <c r="Q755">
        <v>103</v>
      </c>
      <c r="R755">
        <v>70</v>
      </c>
      <c r="S755">
        <v>153</v>
      </c>
      <c r="V755">
        <f>River_data[[#This Row],[Dissolved Oxygen Min]]*River_data[[#This Row],[Dissolved Oxygen Max]]/2</f>
        <v>15.575000000000001</v>
      </c>
      <c r="W755">
        <f>River_data[[#This Row],[BOD Min]]*River_data[[#This Row],[BOD Max]]/2</f>
        <v>2.2999999999999998</v>
      </c>
      <c r="X755">
        <f>AVERAGE(River_data[[#This Row],[pH Max]]-River_data[[#This Row],[pH Min]])</f>
        <v>0.40000000000000036</v>
      </c>
    </row>
    <row r="756" spans="1:24" x14ac:dyDescent="0.3">
      <c r="A756">
        <v>5557</v>
      </c>
      <c r="B756" s="1" t="s">
        <v>774</v>
      </c>
      <c r="C756" s="1" t="s">
        <v>756</v>
      </c>
      <c r="D756">
        <v>16</v>
      </c>
      <c r="E756">
        <v>24</v>
      </c>
      <c r="F756">
        <v>7.9</v>
      </c>
      <c r="G756">
        <v>9</v>
      </c>
      <c r="H756">
        <v>6.8</v>
      </c>
      <c r="I756">
        <v>7.2</v>
      </c>
      <c r="J756">
        <v>54</v>
      </c>
      <c r="K756">
        <v>115</v>
      </c>
      <c r="L756">
        <v>1.9</v>
      </c>
      <c r="M756">
        <v>2.2999999999999998</v>
      </c>
      <c r="N756">
        <v>2</v>
      </c>
      <c r="O756">
        <v>4.3</v>
      </c>
      <c r="P756">
        <v>35</v>
      </c>
      <c r="Q756">
        <v>94</v>
      </c>
      <c r="R756">
        <v>67</v>
      </c>
      <c r="S756">
        <v>112</v>
      </c>
      <c r="V756">
        <f>River_data[[#This Row],[Dissolved Oxygen Min]]*River_data[[#This Row],[Dissolved Oxygen Max]]/2</f>
        <v>35.550000000000004</v>
      </c>
      <c r="W756">
        <f>River_data[[#This Row],[BOD Min]]*River_data[[#This Row],[BOD Max]]/2</f>
        <v>2.1849999999999996</v>
      </c>
      <c r="X756">
        <f>AVERAGE(River_data[[#This Row],[pH Max]]-River_data[[#This Row],[pH Min]])</f>
        <v>0.40000000000000036</v>
      </c>
    </row>
    <row r="757" spans="1:24" x14ac:dyDescent="0.3">
      <c r="A757">
        <v>1805</v>
      </c>
      <c r="B757" s="1" t="s">
        <v>775</v>
      </c>
      <c r="C757" s="1" t="s">
        <v>756</v>
      </c>
      <c r="D757">
        <v>14</v>
      </c>
      <c r="E757">
        <v>24</v>
      </c>
      <c r="F757">
        <v>7.8</v>
      </c>
      <c r="G757">
        <v>9</v>
      </c>
      <c r="H757">
        <v>6.7</v>
      </c>
      <c r="I757">
        <v>7.4</v>
      </c>
      <c r="J757">
        <v>121</v>
      </c>
      <c r="K757">
        <v>180</v>
      </c>
      <c r="L757">
        <v>2.1</v>
      </c>
      <c r="M757">
        <v>2.6</v>
      </c>
      <c r="N757">
        <v>1.6</v>
      </c>
      <c r="O757">
        <v>4.8</v>
      </c>
      <c r="P757">
        <v>34</v>
      </c>
      <c r="Q757">
        <v>105</v>
      </c>
      <c r="R757">
        <v>45</v>
      </c>
      <c r="S757">
        <v>187</v>
      </c>
      <c r="V757">
        <f>River_data[[#This Row],[Dissolved Oxygen Min]]*River_data[[#This Row],[Dissolved Oxygen Max]]/2</f>
        <v>35.1</v>
      </c>
      <c r="W757">
        <f>River_data[[#This Row],[BOD Min]]*River_data[[#This Row],[BOD Max]]/2</f>
        <v>2.7300000000000004</v>
      </c>
      <c r="X757">
        <f>AVERAGE(River_data[[#This Row],[pH Max]]-River_data[[#This Row],[pH Min]])</f>
        <v>0.70000000000000018</v>
      </c>
    </row>
    <row r="758" spans="1:24" x14ac:dyDescent="0.3">
      <c r="A758">
        <v>1806</v>
      </c>
      <c r="B758" s="1" t="s">
        <v>776</v>
      </c>
      <c r="C758" s="1" t="s">
        <v>756</v>
      </c>
      <c r="D758">
        <v>15</v>
      </c>
      <c r="E758">
        <v>23</v>
      </c>
      <c r="F758">
        <v>8.1</v>
      </c>
      <c r="G758">
        <v>9.1</v>
      </c>
      <c r="H758">
        <v>6.6</v>
      </c>
      <c r="I758">
        <v>7.5</v>
      </c>
      <c r="J758">
        <v>119</v>
      </c>
      <c r="K758">
        <v>181</v>
      </c>
      <c r="L758">
        <v>2</v>
      </c>
      <c r="M758">
        <v>2.5</v>
      </c>
      <c r="N758">
        <v>1.6</v>
      </c>
      <c r="O758">
        <v>25</v>
      </c>
      <c r="P758">
        <v>22</v>
      </c>
      <c r="Q758">
        <v>100</v>
      </c>
      <c r="R758">
        <v>54</v>
      </c>
      <c r="S758">
        <v>170</v>
      </c>
      <c r="V758">
        <f>River_data[[#This Row],[Dissolved Oxygen Min]]*River_data[[#This Row],[Dissolved Oxygen Max]]/2</f>
        <v>36.854999999999997</v>
      </c>
      <c r="W758">
        <f>River_data[[#This Row],[BOD Min]]*River_data[[#This Row],[BOD Max]]/2</f>
        <v>2.5</v>
      </c>
      <c r="X758">
        <f>AVERAGE(River_data[[#This Row],[pH Max]]-River_data[[#This Row],[pH Min]])</f>
        <v>0.90000000000000036</v>
      </c>
    </row>
    <row r="759" spans="1:24" x14ac:dyDescent="0.3">
      <c r="A759">
        <v>1802</v>
      </c>
      <c r="B759" s="1" t="s">
        <v>777</v>
      </c>
      <c r="C759" s="1" t="s">
        <v>756</v>
      </c>
      <c r="D759">
        <v>8</v>
      </c>
      <c r="E759">
        <v>18</v>
      </c>
      <c r="F759">
        <v>7.8</v>
      </c>
      <c r="G759">
        <v>9.1</v>
      </c>
      <c r="H759">
        <v>6.6</v>
      </c>
      <c r="I759">
        <v>7.4</v>
      </c>
      <c r="J759">
        <v>105</v>
      </c>
      <c r="K759">
        <v>190</v>
      </c>
      <c r="L759">
        <v>1.7</v>
      </c>
      <c r="M759">
        <v>2.2999999999999998</v>
      </c>
      <c r="N759">
        <v>1.5</v>
      </c>
      <c r="O759">
        <v>4.0999999999999996</v>
      </c>
      <c r="P759">
        <v>31</v>
      </c>
      <c r="Q759">
        <v>76</v>
      </c>
      <c r="R759">
        <v>54</v>
      </c>
      <c r="S759">
        <v>155</v>
      </c>
      <c r="V759">
        <f>River_data[[#This Row],[Dissolved Oxygen Min]]*River_data[[#This Row],[Dissolved Oxygen Max]]/2</f>
        <v>35.489999999999995</v>
      </c>
      <c r="W759">
        <f>River_data[[#This Row],[BOD Min]]*River_data[[#This Row],[BOD Max]]/2</f>
        <v>1.9549999999999998</v>
      </c>
      <c r="X759">
        <f>AVERAGE(River_data[[#This Row],[pH Max]]-River_data[[#This Row],[pH Min]])</f>
        <v>0.80000000000000071</v>
      </c>
    </row>
    <row r="760" spans="1:24" x14ac:dyDescent="0.3">
      <c r="A760">
        <v>5281</v>
      </c>
      <c r="B760" s="1" t="s">
        <v>778</v>
      </c>
      <c r="C760" s="1" t="s">
        <v>756</v>
      </c>
      <c r="D760">
        <v>15</v>
      </c>
      <c r="E760">
        <v>22</v>
      </c>
      <c r="F760">
        <v>8.1</v>
      </c>
      <c r="G760">
        <v>8.8000000000000007</v>
      </c>
      <c r="H760">
        <v>6.7</v>
      </c>
      <c r="I760">
        <v>7.4</v>
      </c>
      <c r="J760">
        <v>149</v>
      </c>
      <c r="K760">
        <v>172</v>
      </c>
      <c r="L760">
        <v>1.9</v>
      </c>
      <c r="M760">
        <v>2.4</v>
      </c>
      <c r="N760">
        <v>2</v>
      </c>
      <c r="O760">
        <v>4.5</v>
      </c>
      <c r="P760">
        <v>32</v>
      </c>
      <c r="Q760">
        <v>70</v>
      </c>
      <c r="R760">
        <v>67</v>
      </c>
      <c r="S760">
        <v>120</v>
      </c>
      <c r="V760">
        <f>River_data[[#This Row],[Dissolved Oxygen Min]]*River_data[[#This Row],[Dissolved Oxygen Max]]/2</f>
        <v>35.64</v>
      </c>
      <c r="W760">
        <f>River_data[[#This Row],[BOD Min]]*River_data[[#This Row],[BOD Max]]/2</f>
        <v>2.2799999999999998</v>
      </c>
      <c r="X760">
        <f>AVERAGE(River_data[[#This Row],[pH Max]]-River_data[[#This Row],[pH Min]])</f>
        <v>0.70000000000000018</v>
      </c>
    </row>
    <row r="761" spans="1:24" x14ac:dyDescent="0.3">
      <c r="A761">
        <v>5282</v>
      </c>
      <c r="B761" s="1" t="s">
        <v>779</v>
      </c>
      <c r="C761" s="1" t="s">
        <v>756</v>
      </c>
      <c r="D761">
        <v>14</v>
      </c>
      <c r="E761">
        <v>23</v>
      </c>
      <c r="F761">
        <v>8</v>
      </c>
      <c r="G761">
        <v>8.6999999999999993</v>
      </c>
      <c r="H761">
        <v>6.7</v>
      </c>
      <c r="I761">
        <v>7.5</v>
      </c>
      <c r="J761">
        <v>157</v>
      </c>
      <c r="K761">
        <v>171</v>
      </c>
      <c r="L761">
        <v>2</v>
      </c>
      <c r="M761">
        <v>2.2999999999999998</v>
      </c>
      <c r="N761">
        <v>2.1</v>
      </c>
      <c r="O761">
        <v>4.7</v>
      </c>
      <c r="P761">
        <v>28</v>
      </c>
      <c r="Q761">
        <v>100</v>
      </c>
      <c r="R761">
        <v>64</v>
      </c>
      <c r="S761">
        <v>149</v>
      </c>
      <c r="V761">
        <f>River_data[[#This Row],[Dissolved Oxygen Min]]*River_data[[#This Row],[Dissolved Oxygen Max]]/2</f>
        <v>34.799999999999997</v>
      </c>
      <c r="W761">
        <f>River_data[[#This Row],[BOD Min]]*River_data[[#This Row],[BOD Max]]/2</f>
        <v>2.2999999999999998</v>
      </c>
      <c r="X761">
        <f>AVERAGE(River_data[[#This Row],[pH Max]]-River_data[[#This Row],[pH Min]])</f>
        <v>0.79999999999999982</v>
      </c>
    </row>
    <row r="762" spans="1:24" x14ac:dyDescent="0.3">
      <c r="A762">
        <v>5283</v>
      </c>
      <c r="B762" s="1" t="s">
        <v>780</v>
      </c>
      <c r="C762" s="1" t="s">
        <v>756</v>
      </c>
      <c r="D762">
        <v>14</v>
      </c>
      <c r="E762">
        <v>22</v>
      </c>
      <c r="F762">
        <v>8</v>
      </c>
      <c r="G762">
        <v>8.5</v>
      </c>
      <c r="H762">
        <v>6.6</v>
      </c>
      <c r="I762">
        <v>7.4</v>
      </c>
      <c r="J762">
        <v>129</v>
      </c>
      <c r="K762">
        <v>159</v>
      </c>
      <c r="L762">
        <v>2</v>
      </c>
      <c r="M762">
        <v>2.4</v>
      </c>
      <c r="N762">
        <v>2</v>
      </c>
      <c r="O762">
        <v>4.5999999999999996</v>
      </c>
      <c r="P762">
        <v>30</v>
      </c>
      <c r="Q762">
        <v>102</v>
      </c>
      <c r="R762">
        <v>69</v>
      </c>
      <c r="S762">
        <v>189</v>
      </c>
      <c r="V762">
        <f>River_data[[#This Row],[Dissolved Oxygen Min]]*River_data[[#This Row],[Dissolved Oxygen Max]]/2</f>
        <v>34</v>
      </c>
      <c r="W762">
        <f>River_data[[#This Row],[BOD Min]]*River_data[[#This Row],[BOD Max]]/2</f>
        <v>2.4</v>
      </c>
      <c r="X762">
        <f>AVERAGE(River_data[[#This Row],[pH Max]]-River_data[[#This Row],[pH Min]])</f>
        <v>0.80000000000000071</v>
      </c>
    </row>
    <row r="763" spans="1:24" x14ac:dyDescent="0.3">
      <c r="A763">
        <v>5284</v>
      </c>
      <c r="B763" s="1" t="s">
        <v>781</v>
      </c>
      <c r="C763" s="1" t="s">
        <v>756</v>
      </c>
      <c r="D763">
        <v>14</v>
      </c>
      <c r="E763">
        <v>22</v>
      </c>
      <c r="F763">
        <v>8</v>
      </c>
      <c r="G763">
        <v>8.6</v>
      </c>
      <c r="H763">
        <v>6.6</v>
      </c>
      <c r="I763">
        <v>7.3</v>
      </c>
      <c r="J763">
        <v>99</v>
      </c>
      <c r="K763">
        <v>139</v>
      </c>
      <c r="L763">
        <v>2</v>
      </c>
      <c r="M763">
        <v>2.2999999999999998</v>
      </c>
      <c r="N763">
        <v>2.1</v>
      </c>
      <c r="O763">
        <v>4.8</v>
      </c>
      <c r="P763">
        <v>28</v>
      </c>
      <c r="Q763">
        <v>105</v>
      </c>
      <c r="R763">
        <v>71</v>
      </c>
      <c r="S763">
        <v>134</v>
      </c>
      <c r="V763">
        <f>River_data[[#This Row],[Dissolved Oxygen Min]]*River_data[[#This Row],[Dissolved Oxygen Max]]/2</f>
        <v>34.4</v>
      </c>
      <c r="W763">
        <f>River_data[[#This Row],[BOD Min]]*River_data[[#This Row],[BOD Max]]/2</f>
        <v>2.2999999999999998</v>
      </c>
      <c r="X763">
        <f>AVERAGE(River_data[[#This Row],[pH Max]]-River_data[[#This Row],[pH Min]])</f>
        <v>0.70000000000000018</v>
      </c>
    </row>
    <row r="764" spans="1:24" x14ac:dyDescent="0.3">
      <c r="A764">
        <v>5285</v>
      </c>
      <c r="B764" s="1" t="s">
        <v>782</v>
      </c>
      <c r="C764" s="1" t="s">
        <v>756</v>
      </c>
      <c r="D764">
        <v>14</v>
      </c>
      <c r="E764">
        <v>22</v>
      </c>
      <c r="F764">
        <v>8</v>
      </c>
      <c r="G764">
        <v>8.6999999999999993</v>
      </c>
      <c r="H764">
        <v>6.6</v>
      </c>
      <c r="I764">
        <v>7.3</v>
      </c>
      <c r="J764">
        <v>35</v>
      </c>
      <c r="K764">
        <v>127</v>
      </c>
      <c r="L764">
        <v>1.7</v>
      </c>
      <c r="M764">
        <v>2.1</v>
      </c>
      <c r="N764">
        <v>2</v>
      </c>
      <c r="O764">
        <v>5.0999999999999996</v>
      </c>
      <c r="P764">
        <v>21</v>
      </c>
      <c r="Q764">
        <v>88</v>
      </c>
      <c r="R764">
        <v>61</v>
      </c>
      <c r="S764">
        <v>165</v>
      </c>
      <c r="V764">
        <f>River_data[[#This Row],[Dissolved Oxygen Min]]*River_data[[#This Row],[Dissolved Oxygen Max]]/2</f>
        <v>34.799999999999997</v>
      </c>
      <c r="W764">
        <f>River_data[[#This Row],[BOD Min]]*River_data[[#This Row],[BOD Max]]/2</f>
        <v>1.7849999999999999</v>
      </c>
      <c r="X764">
        <f>AVERAGE(River_data[[#This Row],[pH Max]]-River_data[[#This Row],[pH Min]])</f>
        <v>0.70000000000000018</v>
      </c>
    </row>
    <row r="765" spans="1:24" x14ac:dyDescent="0.3">
      <c r="A765">
        <v>5286</v>
      </c>
      <c r="B765" s="1" t="s">
        <v>783</v>
      </c>
      <c r="C765" s="1" t="s">
        <v>756</v>
      </c>
      <c r="D765">
        <v>13</v>
      </c>
      <c r="E765">
        <v>21</v>
      </c>
      <c r="F765">
        <v>7.5</v>
      </c>
      <c r="G765">
        <v>8.8000000000000007</v>
      </c>
      <c r="H765">
        <v>6.5</v>
      </c>
      <c r="I765">
        <v>7.3</v>
      </c>
      <c r="J765">
        <v>34</v>
      </c>
      <c r="K765">
        <v>148</v>
      </c>
      <c r="L765">
        <v>1.5</v>
      </c>
      <c r="M765">
        <v>2.2000000000000002</v>
      </c>
      <c r="N765">
        <v>1.8</v>
      </c>
      <c r="O765">
        <v>5.2</v>
      </c>
      <c r="P765">
        <v>24</v>
      </c>
      <c r="Q765">
        <v>120</v>
      </c>
      <c r="R765">
        <v>79</v>
      </c>
      <c r="S765">
        <v>200</v>
      </c>
      <c r="V765">
        <f>River_data[[#This Row],[Dissolved Oxygen Min]]*River_data[[#This Row],[Dissolved Oxygen Max]]/2</f>
        <v>33</v>
      </c>
      <c r="W765">
        <f>River_data[[#This Row],[BOD Min]]*River_data[[#This Row],[BOD Max]]/2</f>
        <v>1.6500000000000001</v>
      </c>
      <c r="X765">
        <f>AVERAGE(River_data[[#This Row],[pH Max]]-River_data[[#This Row],[pH Min]])</f>
        <v>0.79999999999999982</v>
      </c>
    </row>
    <row r="766" spans="1:24" x14ac:dyDescent="0.3">
      <c r="A766">
        <v>5287</v>
      </c>
      <c r="B766" s="1" t="s">
        <v>784</v>
      </c>
      <c r="C766" s="1" t="s">
        <v>756</v>
      </c>
      <c r="D766">
        <v>13</v>
      </c>
      <c r="E766">
        <v>22</v>
      </c>
      <c r="F766">
        <v>7.9</v>
      </c>
      <c r="G766">
        <v>8.6999999999999993</v>
      </c>
      <c r="H766">
        <v>6.7</v>
      </c>
      <c r="I766">
        <v>7.3</v>
      </c>
      <c r="J766">
        <v>32</v>
      </c>
      <c r="K766">
        <v>112</v>
      </c>
      <c r="L766">
        <v>1.6</v>
      </c>
      <c r="M766">
        <v>2.4</v>
      </c>
      <c r="N766">
        <v>1.8</v>
      </c>
      <c r="O766">
        <v>4.5</v>
      </c>
      <c r="P766">
        <v>29</v>
      </c>
      <c r="Q766">
        <v>123</v>
      </c>
      <c r="R766">
        <v>52</v>
      </c>
      <c r="S766">
        <v>173</v>
      </c>
      <c r="V766">
        <f>River_data[[#This Row],[Dissolved Oxygen Min]]*River_data[[#This Row],[Dissolved Oxygen Max]]/2</f>
        <v>34.365000000000002</v>
      </c>
      <c r="W766">
        <f>River_data[[#This Row],[BOD Min]]*River_data[[#This Row],[BOD Max]]/2</f>
        <v>1.92</v>
      </c>
      <c r="X766">
        <f>AVERAGE(River_data[[#This Row],[pH Max]]-River_data[[#This Row],[pH Min]])</f>
        <v>0.59999999999999964</v>
      </c>
    </row>
    <row r="767" spans="1:24" x14ac:dyDescent="0.3">
      <c r="A767">
        <v>5288</v>
      </c>
      <c r="B767" s="1" t="s">
        <v>785</v>
      </c>
      <c r="C767" s="1" t="s">
        <v>756</v>
      </c>
      <c r="D767">
        <v>13</v>
      </c>
      <c r="E767">
        <v>22</v>
      </c>
      <c r="F767">
        <v>7</v>
      </c>
      <c r="G767">
        <v>8.4</v>
      </c>
      <c r="H767">
        <v>6.7</v>
      </c>
      <c r="I767">
        <v>7.4</v>
      </c>
      <c r="J767">
        <v>33</v>
      </c>
      <c r="K767">
        <v>135</v>
      </c>
      <c r="L767">
        <v>2</v>
      </c>
      <c r="M767">
        <v>2.2999999999999998</v>
      </c>
      <c r="N767">
        <v>2</v>
      </c>
      <c r="O767">
        <v>4.5999999999999996</v>
      </c>
      <c r="P767">
        <v>36</v>
      </c>
      <c r="Q767">
        <v>100</v>
      </c>
      <c r="R767">
        <v>67</v>
      </c>
      <c r="S767">
        <v>168</v>
      </c>
      <c r="V767">
        <f>River_data[[#This Row],[Dissolved Oxygen Min]]*River_data[[#This Row],[Dissolved Oxygen Max]]/2</f>
        <v>29.400000000000002</v>
      </c>
      <c r="W767">
        <f>River_data[[#This Row],[BOD Min]]*River_data[[#This Row],[BOD Max]]/2</f>
        <v>2.2999999999999998</v>
      </c>
      <c r="X767">
        <f>AVERAGE(River_data[[#This Row],[pH Max]]-River_data[[#This Row],[pH Min]])</f>
        <v>0.70000000000000018</v>
      </c>
    </row>
    <row r="768" spans="1:24" x14ac:dyDescent="0.3">
      <c r="A768">
        <v>5289</v>
      </c>
      <c r="B768" s="1" t="s">
        <v>786</v>
      </c>
      <c r="C768" s="1" t="s">
        <v>756</v>
      </c>
      <c r="D768">
        <v>15</v>
      </c>
      <c r="E768">
        <v>23</v>
      </c>
      <c r="F768">
        <v>7.3</v>
      </c>
      <c r="G768">
        <v>8.4</v>
      </c>
      <c r="H768">
        <v>6.7</v>
      </c>
      <c r="I768">
        <v>7.5</v>
      </c>
      <c r="J768">
        <v>34</v>
      </c>
      <c r="K768">
        <v>132</v>
      </c>
      <c r="L768">
        <v>2</v>
      </c>
      <c r="M768">
        <v>2.5</v>
      </c>
      <c r="N768">
        <v>1.9</v>
      </c>
      <c r="O768">
        <v>4.4000000000000004</v>
      </c>
      <c r="P768">
        <v>32</v>
      </c>
      <c r="Q768">
        <v>112</v>
      </c>
      <c r="R768">
        <v>79</v>
      </c>
      <c r="S768">
        <v>175</v>
      </c>
      <c r="V768">
        <f>River_data[[#This Row],[Dissolved Oxygen Min]]*River_data[[#This Row],[Dissolved Oxygen Max]]/2</f>
        <v>30.66</v>
      </c>
      <c r="W768">
        <f>River_data[[#This Row],[BOD Min]]*River_data[[#This Row],[BOD Max]]/2</f>
        <v>2.5</v>
      </c>
      <c r="X768">
        <f>AVERAGE(River_data[[#This Row],[pH Max]]-River_data[[#This Row],[pH Min]])</f>
        <v>0.79999999999999982</v>
      </c>
    </row>
    <row r="769" spans="1:24" x14ac:dyDescent="0.3">
      <c r="A769">
        <v>2236</v>
      </c>
      <c r="B769" s="1" t="s">
        <v>787</v>
      </c>
      <c r="C769" s="1" t="s">
        <v>567</v>
      </c>
      <c r="D769">
        <v>18</v>
      </c>
      <c r="E769">
        <v>30</v>
      </c>
      <c r="F769">
        <v>5</v>
      </c>
      <c r="G769">
        <v>9.1999999999999993</v>
      </c>
      <c r="H769">
        <v>6.8</v>
      </c>
      <c r="I769">
        <v>7.5</v>
      </c>
      <c r="J769">
        <v>120</v>
      </c>
      <c r="K769">
        <v>176</v>
      </c>
      <c r="L769">
        <v>2.1</v>
      </c>
      <c r="M769">
        <v>2.5</v>
      </c>
      <c r="N769">
        <v>0.7</v>
      </c>
      <c r="O769">
        <v>1.7</v>
      </c>
      <c r="P769">
        <v>360</v>
      </c>
      <c r="Q769">
        <v>930</v>
      </c>
      <c r="R769">
        <v>910</v>
      </c>
      <c r="S769">
        <v>1600</v>
      </c>
      <c r="T769">
        <v>120</v>
      </c>
      <c r="U769">
        <v>290</v>
      </c>
      <c r="V769">
        <f>River_data[[#This Row],[Dissolved Oxygen Min]]*River_data[[#This Row],[Dissolved Oxygen Max]]/2</f>
        <v>23</v>
      </c>
      <c r="W769">
        <f>River_data[[#This Row],[BOD Min]]*River_data[[#This Row],[BOD Max]]/2</f>
        <v>2.625</v>
      </c>
      <c r="X769">
        <f>AVERAGE(River_data[[#This Row],[pH Max]]-River_data[[#This Row],[pH Min]])</f>
        <v>0.70000000000000018</v>
      </c>
    </row>
    <row r="770" spans="1:24" x14ac:dyDescent="0.3">
      <c r="A770">
        <v>2523</v>
      </c>
      <c r="B770" s="1" t="s">
        <v>788</v>
      </c>
      <c r="C770" s="1" t="s">
        <v>247</v>
      </c>
      <c r="D770">
        <v>21</v>
      </c>
      <c r="E770">
        <v>29</v>
      </c>
      <c r="F770">
        <v>4</v>
      </c>
      <c r="G770">
        <v>8.1999999999999993</v>
      </c>
      <c r="H770">
        <v>6.8</v>
      </c>
      <c r="I770">
        <v>7.8</v>
      </c>
      <c r="J770">
        <v>70</v>
      </c>
      <c r="K770">
        <v>164</v>
      </c>
      <c r="L770">
        <v>1</v>
      </c>
      <c r="M770">
        <v>8</v>
      </c>
      <c r="N770">
        <v>0.3</v>
      </c>
      <c r="O770">
        <v>0.77</v>
      </c>
      <c r="P770">
        <v>2200</v>
      </c>
      <c r="Q770">
        <v>24000</v>
      </c>
      <c r="R770">
        <v>5000</v>
      </c>
      <c r="S770">
        <v>90000</v>
      </c>
      <c r="T770">
        <v>23</v>
      </c>
      <c r="U770">
        <v>540</v>
      </c>
      <c r="V770">
        <f>River_data[[#This Row],[Dissolved Oxygen Min]]*River_data[[#This Row],[Dissolved Oxygen Max]]/2</f>
        <v>16.399999999999999</v>
      </c>
      <c r="W770">
        <f>River_data[[#This Row],[BOD Min]]*River_data[[#This Row],[BOD Max]]/2</f>
        <v>4</v>
      </c>
      <c r="X770">
        <f>AVERAGE(River_data[[#This Row],[pH Max]]-River_data[[#This Row],[pH Min]])</f>
        <v>1</v>
      </c>
    </row>
    <row r="771" spans="1:24" x14ac:dyDescent="0.3">
      <c r="A771">
        <v>2068</v>
      </c>
      <c r="B771" s="1" t="s">
        <v>789</v>
      </c>
      <c r="C771" s="1" t="s">
        <v>567</v>
      </c>
      <c r="D771">
        <v>22</v>
      </c>
      <c r="E771">
        <v>24</v>
      </c>
      <c r="F771">
        <v>5.3</v>
      </c>
      <c r="G771">
        <v>6.2</v>
      </c>
      <c r="H771">
        <v>6.8</v>
      </c>
      <c r="I771">
        <v>7.2</v>
      </c>
      <c r="J771">
        <v>104</v>
      </c>
      <c r="K771">
        <v>134</v>
      </c>
      <c r="L771">
        <v>2</v>
      </c>
      <c r="M771">
        <v>2.4</v>
      </c>
      <c r="N771">
        <v>0.7</v>
      </c>
      <c r="O771">
        <v>1.1000000000000001</v>
      </c>
      <c r="P771">
        <v>610</v>
      </c>
      <c r="Q771">
        <v>1500</v>
      </c>
      <c r="R771">
        <v>1100</v>
      </c>
      <c r="S771">
        <v>2100</v>
      </c>
      <c r="T771">
        <v>210</v>
      </c>
      <c r="U771">
        <v>460</v>
      </c>
      <c r="V771">
        <f>River_data[[#This Row],[Dissolved Oxygen Min]]*River_data[[#This Row],[Dissolved Oxygen Max]]/2</f>
        <v>16.43</v>
      </c>
      <c r="W771">
        <f>River_data[[#This Row],[BOD Min]]*River_data[[#This Row],[BOD Max]]/2</f>
        <v>2.4</v>
      </c>
      <c r="X771">
        <f>AVERAGE(River_data[[#This Row],[pH Max]]-River_data[[#This Row],[pH Min]])</f>
        <v>0.40000000000000036</v>
      </c>
    </row>
    <row r="772" spans="1:24" x14ac:dyDescent="0.3">
      <c r="A772">
        <v>2061</v>
      </c>
      <c r="B772" s="1" t="s">
        <v>790</v>
      </c>
      <c r="C772" s="1" t="s">
        <v>567</v>
      </c>
      <c r="D772">
        <v>21</v>
      </c>
      <c r="E772">
        <v>24</v>
      </c>
      <c r="F772">
        <v>5.0999999999999996</v>
      </c>
      <c r="G772">
        <v>8.1</v>
      </c>
      <c r="H772">
        <v>6.9</v>
      </c>
      <c r="I772">
        <v>7.6</v>
      </c>
      <c r="J772">
        <v>128</v>
      </c>
      <c r="K772">
        <v>166</v>
      </c>
      <c r="L772">
        <v>2</v>
      </c>
      <c r="M772">
        <v>2.6</v>
      </c>
      <c r="N772">
        <v>0.4</v>
      </c>
      <c r="O772">
        <v>1</v>
      </c>
      <c r="P772">
        <v>300</v>
      </c>
      <c r="Q772">
        <v>730</v>
      </c>
      <c r="R772">
        <v>720</v>
      </c>
      <c r="S772">
        <v>1600</v>
      </c>
      <c r="T772">
        <v>120</v>
      </c>
      <c r="U772">
        <v>240</v>
      </c>
      <c r="V772">
        <f>River_data[[#This Row],[Dissolved Oxygen Min]]*River_data[[#This Row],[Dissolved Oxygen Max]]/2</f>
        <v>20.654999999999998</v>
      </c>
      <c r="W772">
        <f>River_data[[#This Row],[BOD Min]]*River_data[[#This Row],[BOD Max]]/2</f>
        <v>2.6</v>
      </c>
      <c r="X772">
        <f>AVERAGE(River_data[[#This Row],[pH Max]]-River_data[[#This Row],[pH Min]])</f>
        <v>0.69999999999999929</v>
      </c>
    </row>
    <row r="773" spans="1:24" x14ac:dyDescent="0.3">
      <c r="A773">
        <v>2059</v>
      </c>
      <c r="B773" s="1" t="s">
        <v>791</v>
      </c>
      <c r="C773" s="1" t="s">
        <v>567</v>
      </c>
      <c r="D773">
        <v>18</v>
      </c>
      <c r="E773">
        <v>33</v>
      </c>
      <c r="F773">
        <v>5</v>
      </c>
      <c r="G773">
        <v>8.4</v>
      </c>
      <c r="H773">
        <v>6.9</v>
      </c>
      <c r="I773">
        <v>7.8</v>
      </c>
      <c r="J773">
        <v>140</v>
      </c>
      <c r="K773">
        <v>176</v>
      </c>
      <c r="L773">
        <v>2</v>
      </c>
      <c r="M773">
        <v>2.5</v>
      </c>
      <c r="N773">
        <v>0.7</v>
      </c>
      <c r="O773">
        <v>1.5</v>
      </c>
      <c r="P773">
        <v>360</v>
      </c>
      <c r="Q773">
        <v>930</v>
      </c>
      <c r="R773">
        <v>910</v>
      </c>
      <c r="S773">
        <v>2000</v>
      </c>
      <c r="T773">
        <v>120</v>
      </c>
      <c r="U773">
        <v>290</v>
      </c>
      <c r="V773">
        <f>River_data[[#This Row],[Dissolved Oxygen Min]]*River_data[[#This Row],[Dissolved Oxygen Max]]/2</f>
        <v>21</v>
      </c>
      <c r="W773">
        <f>River_data[[#This Row],[BOD Min]]*River_data[[#This Row],[BOD Max]]/2</f>
        <v>2.5</v>
      </c>
      <c r="X773">
        <f>AVERAGE(River_data[[#This Row],[pH Max]]-River_data[[#This Row],[pH Min]])</f>
        <v>0.89999999999999947</v>
      </c>
    </row>
    <row r="774" spans="1:24" x14ac:dyDescent="0.3">
      <c r="A774">
        <v>2237</v>
      </c>
      <c r="B774" s="1" t="s">
        <v>792</v>
      </c>
      <c r="C774" s="1" t="s">
        <v>567</v>
      </c>
      <c r="D774">
        <v>17</v>
      </c>
      <c r="E774">
        <v>29</v>
      </c>
      <c r="F774">
        <v>5</v>
      </c>
      <c r="G774">
        <v>7.4</v>
      </c>
      <c r="H774">
        <v>6.8</v>
      </c>
      <c r="I774">
        <v>7.5</v>
      </c>
      <c r="J774">
        <v>118</v>
      </c>
      <c r="K774">
        <v>180</v>
      </c>
      <c r="L774">
        <v>2</v>
      </c>
      <c r="M774">
        <v>2.5</v>
      </c>
      <c r="N774">
        <v>0.8</v>
      </c>
      <c r="O774">
        <v>1.9</v>
      </c>
      <c r="P774">
        <v>620</v>
      </c>
      <c r="Q774">
        <v>1100</v>
      </c>
      <c r="R774">
        <v>1500</v>
      </c>
      <c r="S774">
        <v>2000</v>
      </c>
      <c r="T774">
        <v>210</v>
      </c>
      <c r="U774">
        <v>290</v>
      </c>
      <c r="V774">
        <f>River_data[[#This Row],[Dissolved Oxygen Min]]*River_data[[#This Row],[Dissolved Oxygen Max]]/2</f>
        <v>18.5</v>
      </c>
      <c r="W774">
        <f>River_data[[#This Row],[BOD Min]]*River_data[[#This Row],[BOD Max]]/2</f>
        <v>2.5</v>
      </c>
      <c r="X774">
        <f>AVERAGE(River_data[[#This Row],[pH Max]]-River_data[[#This Row],[pH Min]])</f>
        <v>0.70000000000000018</v>
      </c>
    </row>
    <row r="775" spans="1:24" x14ac:dyDescent="0.3">
      <c r="A775">
        <v>2229</v>
      </c>
      <c r="B775" s="1" t="s">
        <v>793</v>
      </c>
      <c r="C775" s="1" t="s">
        <v>567</v>
      </c>
      <c r="D775">
        <v>21</v>
      </c>
      <c r="E775">
        <v>25</v>
      </c>
      <c r="F775">
        <v>5</v>
      </c>
      <c r="G775">
        <v>8.4</v>
      </c>
      <c r="H775">
        <v>7</v>
      </c>
      <c r="I775">
        <v>7.7</v>
      </c>
      <c r="J775">
        <v>126</v>
      </c>
      <c r="K775">
        <v>172</v>
      </c>
      <c r="L775">
        <v>2</v>
      </c>
      <c r="M775">
        <v>2.6</v>
      </c>
      <c r="N775">
        <v>0.6</v>
      </c>
      <c r="O775">
        <v>1.6</v>
      </c>
      <c r="P775">
        <v>300</v>
      </c>
      <c r="Q775">
        <v>910</v>
      </c>
      <c r="R775">
        <v>1400</v>
      </c>
      <c r="S775">
        <v>2000</v>
      </c>
      <c r="T775">
        <v>120</v>
      </c>
      <c r="U775">
        <v>290</v>
      </c>
      <c r="V775">
        <f>River_data[[#This Row],[Dissolved Oxygen Min]]*River_data[[#This Row],[Dissolved Oxygen Max]]/2</f>
        <v>21</v>
      </c>
      <c r="W775">
        <f>River_data[[#This Row],[BOD Min]]*River_data[[#This Row],[BOD Max]]/2</f>
        <v>2.6</v>
      </c>
      <c r="X775">
        <f>AVERAGE(River_data[[#This Row],[pH Max]]-River_data[[#This Row],[pH Min]])</f>
        <v>0.70000000000000018</v>
      </c>
    </row>
    <row r="776" spans="1:24" x14ac:dyDescent="0.3">
      <c r="A776">
        <v>3417</v>
      </c>
      <c r="B776" s="1" t="s">
        <v>794</v>
      </c>
      <c r="C776" s="1" t="s">
        <v>639</v>
      </c>
      <c r="D776">
        <v>21</v>
      </c>
      <c r="E776">
        <v>30.5</v>
      </c>
      <c r="F776">
        <v>5.4</v>
      </c>
      <c r="G776">
        <v>6.6</v>
      </c>
      <c r="H776">
        <v>7</v>
      </c>
      <c r="I776">
        <v>7.7</v>
      </c>
      <c r="J776">
        <v>125</v>
      </c>
      <c r="K776">
        <v>189</v>
      </c>
      <c r="L776">
        <v>1.2</v>
      </c>
      <c r="M776">
        <v>2.2000000000000002</v>
      </c>
      <c r="N776">
        <v>0.7</v>
      </c>
      <c r="O776">
        <v>1.9</v>
      </c>
      <c r="P776">
        <v>39</v>
      </c>
      <c r="Q776">
        <v>58</v>
      </c>
      <c r="R776">
        <v>94</v>
      </c>
      <c r="S776">
        <v>210</v>
      </c>
      <c r="V776">
        <f>River_data[[#This Row],[Dissolved Oxygen Min]]*River_data[[#This Row],[Dissolved Oxygen Max]]/2</f>
        <v>17.82</v>
      </c>
      <c r="W776">
        <f>River_data[[#This Row],[BOD Min]]*River_data[[#This Row],[BOD Max]]/2</f>
        <v>1.32</v>
      </c>
      <c r="X776">
        <f>AVERAGE(River_data[[#This Row],[pH Max]]-River_data[[#This Row],[pH Min]])</f>
        <v>0.70000000000000018</v>
      </c>
    </row>
    <row r="777" spans="1:24" x14ac:dyDescent="0.3">
      <c r="A777">
        <v>3418</v>
      </c>
      <c r="B777" s="1" t="s">
        <v>795</v>
      </c>
      <c r="C777" s="1" t="s">
        <v>639</v>
      </c>
      <c r="D777">
        <v>21</v>
      </c>
      <c r="E777">
        <v>31</v>
      </c>
      <c r="F777">
        <v>5.3</v>
      </c>
      <c r="G777">
        <v>6.7</v>
      </c>
      <c r="H777">
        <v>7</v>
      </c>
      <c r="I777">
        <v>7.7</v>
      </c>
      <c r="J777">
        <v>122</v>
      </c>
      <c r="K777">
        <v>191</v>
      </c>
      <c r="L777">
        <v>1.1000000000000001</v>
      </c>
      <c r="M777">
        <v>2.1</v>
      </c>
      <c r="N777">
        <v>0.7</v>
      </c>
      <c r="O777">
        <v>1.9</v>
      </c>
      <c r="P777">
        <v>26</v>
      </c>
      <c r="Q777">
        <v>58</v>
      </c>
      <c r="R777">
        <v>94</v>
      </c>
      <c r="S777">
        <v>210</v>
      </c>
      <c r="V777">
        <f>River_data[[#This Row],[Dissolved Oxygen Min]]*River_data[[#This Row],[Dissolved Oxygen Max]]/2</f>
        <v>17.754999999999999</v>
      </c>
      <c r="W777">
        <f>River_data[[#This Row],[BOD Min]]*River_data[[#This Row],[BOD Max]]/2</f>
        <v>1.1550000000000002</v>
      </c>
      <c r="X777">
        <f>AVERAGE(River_data[[#This Row],[pH Max]]-River_data[[#This Row],[pH Min]])</f>
        <v>0.70000000000000018</v>
      </c>
    </row>
    <row r="778" spans="1:24" x14ac:dyDescent="0.3">
      <c r="A778">
        <v>3419</v>
      </c>
      <c r="B778" s="1" t="s">
        <v>796</v>
      </c>
      <c r="C778" s="1" t="s">
        <v>639</v>
      </c>
      <c r="D778">
        <v>21</v>
      </c>
      <c r="E778">
        <v>31</v>
      </c>
      <c r="F778">
        <v>5.3</v>
      </c>
      <c r="G778">
        <v>6.4</v>
      </c>
      <c r="H778">
        <v>7.1</v>
      </c>
      <c r="I778">
        <v>7.7</v>
      </c>
      <c r="J778">
        <v>124</v>
      </c>
      <c r="K778">
        <v>179</v>
      </c>
      <c r="L778">
        <v>1.2</v>
      </c>
      <c r="M778">
        <v>1.9</v>
      </c>
      <c r="N778">
        <v>0.7</v>
      </c>
      <c r="O778">
        <v>1.7</v>
      </c>
      <c r="P778">
        <v>31</v>
      </c>
      <c r="Q778">
        <v>58</v>
      </c>
      <c r="R778">
        <v>84</v>
      </c>
      <c r="S778">
        <v>210</v>
      </c>
      <c r="V778">
        <f>River_data[[#This Row],[Dissolved Oxygen Min]]*River_data[[#This Row],[Dissolved Oxygen Max]]/2</f>
        <v>16.96</v>
      </c>
      <c r="W778">
        <f>River_data[[#This Row],[BOD Min]]*River_data[[#This Row],[BOD Max]]/2</f>
        <v>1.1399999999999999</v>
      </c>
      <c r="X778">
        <f>AVERAGE(River_data[[#This Row],[pH Max]]-River_data[[#This Row],[pH Min]])</f>
        <v>0.60000000000000053</v>
      </c>
    </row>
    <row r="779" spans="1:24" x14ac:dyDescent="0.3">
      <c r="A779">
        <v>3367</v>
      </c>
      <c r="B779" s="1" t="s">
        <v>797</v>
      </c>
      <c r="C779" s="1" t="s">
        <v>675</v>
      </c>
      <c r="D779">
        <v>13</v>
      </c>
      <c r="E779">
        <v>20</v>
      </c>
      <c r="F779">
        <v>6.5</v>
      </c>
      <c r="G779">
        <v>7.6</v>
      </c>
      <c r="H779">
        <v>6.7</v>
      </c>
      <c r="I779">
        <v>7</v>
      </c>
      <c r="J779">
        <v>40</v>
      </c>
      <c r="K779">
        <v>83</v>
      </c>
      <c r="L779">
        <v>2</v>
      </c>
      <c r="M779">
        <v>2.7</v>
      </c>
      <c r="N779">
        <v>0.32</v>
      </c>
      <c r="O779">
        <v>0.93</v>
      </c>
      <c r="P779">
        <v>430</v>
      </c>
      <c r="Q779">
        <v>1200</v>
      </c>
      <c r="R779">
        <v>2700</v>
      </c>
      <c r="S779">
        <v>4900</v>
      </c>
      <c r="T779">
        <v>21</v>
      </c>
      <c r="U779">
        <v>480</v>
      </c>
      <c r="V779">
        <f>River_data[[#This Row],[Dissolved Oxygen Min]]*River_data[[#This Row],[Dissolved Oxygen Max]]/2</f>
        <v>24.7</v>
      </c>
      <c r="W779">
        <f>River_data[[#This Row],[BOD Min]]*River_data[[#This Row],[BOD Max]]/2</f>
        <v>2.7</v>
      </c>
      <c r="X779">
        <f>AVERAGE(River_data[[#This Row],[pH Max]]-River_data[[#This Row],[pH Min]])</f>
        <v>0.29999999999999982</v>
      </c>
    </row>
    <row r="780" spans="1:24" x14ac:dyDescent="0.3">
      <c r="A780">
        <v>3368</v>
      </c>
      <c r="B780" s="1" t="s">
        <v>798</v>
      </c>
      <c r="C780" s="1" t="s">
        <v>675</v>
      </c>
      <c r="D780">
        <v>13.6</v>
      </c>
      <c r="E780">
        <v>20</v>
      </c>
      <c r="F780">
        <v>6.6</v>
      </c>
      <c r="G780">
        <v>8.6</v>
      </c>
      <c r="H780">
        <v>6.7</v>
      </c>
      <c r="I780">
        <v>7.3</v>
      </c>
      <c r="J780">
        <v>31</v>
      </c>
      <c r="K780">
        <v>44</v>
      </c>
      <c r="L780">
        <v>1.1000000000000001</v>
      </c>
      <c r="M780">
        <v>1.7</v>
      </c>
      <c r="N780">
        <v>0.32</v>
      </c>
      <c r="O780">
        <v>0.54</v>
      </c>
      <c r="P780">
        <v>4</v>
      </c>
      <c r="Q780">
        <v>70</v>
      </c>
      <c r="R780">
        <v>110</v>
      </c>
      <c r="S780">
        <v>170</v>
      </c>
      <c r="T780">
        <v>2</v>
      </c>
      <c r="U780">
        <v>6</v>
      </c>
      <c r="V780">
        <f>River_data[[#This Row],[Dissolved Oxygen Min]]*River_data[[#This Row],[Dissolved Oxygen Max]]/2</f>
        <v>28.38</v>
      </c>
      <c r="W780">
        <f>River_data[[#This Row],[BOD Min]]*River_data[[#This Row],[BOD Max]]/2</f>
        <v>0.93500000000000005</v>
      </c>
      <c r="X780">
        <f>AVERAGE(River_data[[#This Row],[pH Max]]-River_data[[#This Row],[pH Min]])</f>
        <v>0.59999999999999964</v>
      </c>
    </row>
    <row r="781" spans="1:24" x14ac:dyDescent="0.3">
      <c r="A781">
        <v>3369</v>
      </c>
      <c r="B781" s="1" t="s">
        <v>799</v>
      </c>
      <c r="C781" s="1" t="s">
        <v>675</v>
      </c>
      <c r="D781">
        <v>12.3</v>
      </c>
      <c r="E781">
        <v>19</v>
      </c>
      <c r="F781">
        <v>6.6</v>
      </c>
      <c r="G781">
        <v>7.8</v>
      </c>
      <c r="H781">
        <v>6.7</v>
      </c>
      <c r="I781">
        <v>7.3</v>
      </c>
      <c r="J781">
        <v>29</v>
      </c>
      <c r="K781">
        <v>44</v>
      </c>
      <c r="L781">
        <v>1.2</v>
      </c>
      <c r="M781">
        <v>1.7</v>
      </c>
      <c r="N781">
        <v>0.32</v>
      </c>
      <c r="O781">
        <v>0.53</v>
      </c>
      <c r="P781">
        <v>6</v>
      </c>
      <c r="Q781">
        <v>33</v>
      </c>
      <c r="R781">
        <v>240</v>
      </c>
      <c r="S781">
        <v>540</v>
      </c>
      <c r="T781">
        <v>2</v>
      </c>
      <c r="U781">
        <v>6</v>
      </c>
      <c r="V781">
        <f>River_data[[#This Row],[Dissolved Oxygen Min]]*River_data[[#This Row],[Dissolved Oxygen Max]]/2</f>
        <v>25.74</v>
      </c>
      <c r="W781">
        <f>River_data[[#This Row],[BOD Min]]*River_data[[#This Row],[BOD Max]]/2</f>
        <v>1.02</v>
      </c>
      <c r="X781">
        <f>AVERAGE(River_data[[#This Row],[pH Max]]-River_data[[#This Row],[pH Min]])</f>
        <v>0.59999999999999964</v>
      </c>
    </row>
    <row r="782" spans="1:24" x14ac:dyDescent="0.3">
      <c r="A782">
        <v>3370</v>
      </c>
      <c r="B782" s="1" t="s">
        <v>800</v>
      </c>
      <c r="C782" s="1" t="s">
        <v>675</v>
      </c>
      <c r="D782">
        <v>12.5</v>
      </c>
      <c r="E782">
        <v>20</v>
      </c>
      <c r="F782">
        <v>6.8</v>
      </c>
      <c r="G782">
        <v>8</v>
      </c>
      <c r="H782">
        <v>6.9</v>
      </c>
      <c r="I782">
        <v>7.3</v>
      </c>
      <c r="J782">
        <v>32</v>
      </c>
      <c r="K782">
        <v>42</v>
      </c>
      <c r="L782">
        <v>1</v>
      </c>
      <c r="M782">
        <v>1.5</v>
      </c>
      <c r="N782">
        <v>0.32</v>
      </c>
      <c r="O782">
        <v>0.46</v>
      </c>
      <c r="P782">
        <v>2</v>
      </c>
      <c r="Q782">
        <v>2</v>
      </c>
      <c r="R782">
        <v>38</v>
      </c>
      <c r="S782">
        <v>70</v>
      </c>
      <c r="T782">
        <v>2</v>
      </c>
      <c r="U782">
        <v>2</v>
      </c>
      <c r="V782">
        <f>River_data[[#This Row],[Dissolved Oxygen Min]]*River_data[[#This Row],[Dissolved Oxygen Max]]/2</f>
        <v>27.2</v>
      </c>
      <c r="W782">
        <f>River_data[[#This Row],[BOD Min]]*River_data[[#This Row],[BOD Max]]/2</f>
        <v>0.75</v>
      </c>
      <c r="X782">
        <f>AVERAGE(River_data[[#This Row],[pH Max]]-River_data[[#This Row],[pH Min]])</f>
        <v>0.39999999999999947</v>
      </c>
    </row>
    <row r="783" spans="1:24" x14ac:dyDescent="0.3">
      <c r="A783">
        <v>3371</v>
      </c>
      <c r="B783" s="1" t="s">
        <v>801</v>
      </c>
      <c r="C783" s="1" t="s">
        <v>675</v>
      </c>
      <c r="D783">
        <v>15</v>
      </c>
      <c r="E783">
        <v>22</v>
      </c>
      <c r="F783">
        <v>7</v>
      </c>
      <c r="G783">
        <v>8.4</v>
      </c>
      <c r="H783">
        <v>6.5</v>
      </c>
      <c r="I783">
        <v>6.9</v>
      </c>
      <c r="J783">
        <v>42</v>
      </c>
      <c r="K783">
        <v>72</v>
      </c>
      <c r="L783">
        <v>1</v>
      </c>
      <c r="M783">
        <v>1.6</v>
      </c>
      <c r="N783">
        <v>0.32</v>
      </c>
      <c r="O783">
        <v>0.51</v>
      </c>
      <c r="P783">
        <v>2</v>
      </c>
      <c r="Q783">
        <v>4</v>
      </c>
      <c r="R783">
        <v>110</v>
      </c>
      <c r="S783">
        <v>170</v>
      </c>
      <c r="T783">
        <v>2</v>
      </c>
      <c r="U783">
        <v>2</v>
      </c>
      <c r="V783">
        <f>River_data[[#This Row],[Dissolved Oxygen Min]]*River_data[[#This Row],[Dissolved Oxygen Max]]/2</f>
        <v>29.400000000000002</v>
      </c>
      <c r="W783">
        <f>River_data[[#This Row],[BOD Min]]*River_data[[#This Row],[BOD Max]]/2</f>
        <v>0.8</v>
      </c>
      <c r="X783">
        <f>AVERAGE(River_data[[#This Row],[pH Max]]-River_data[[#This Row],[pH Min]])</f>
        <v>0.40000000000000036</v>
      </c>
    </row>
    <row r="784" spans="1:24" x14ac:dyDescent="0.3">
      <c r="A784">
        <v>3373</v>
      </c>
      <c r="B784" s="1" t="s">
        <v>802</v>
      </c>
      <c r="C784" s="1" t="s">
        <v>675</v>
      </c>
      <c r="D784">
        <v>14.6</v>
      </c>
      <c r="E784">
        <v>21</v>
      </c>
      <c r="F784">
        <v>6.9</v>
      </c>
      <c r="G784">
        <v>7.9</v>
      </c>
      <c r="H784">
        <v>6.7</v>
      </c>
      <c r="I784">
        <v>7.5</v>
      </c>
      <c r="J784">
        <v>33</v>
      </c>
      <c r="K784">
        <v>53</v>
      </c>
      <c r="L784">
        <v>1.2</v>
      </c>
      <c r="M784">
        <v>1.8</v>
      </c>
      <c r="N784">
        <v>0.32</v>
      </c>
      <c r="O784">
        <v>0.52</v>
      </c>
      <c r="P784">
        <v>4</v>
      </c>
      <c r="Q784">
        <v>17</v>
      </c>
      <c r="R784">
        <v>110</v>
      </c>
      <c r="S784">
        <v>240</v>
      </c>
      <c r="T784">
        <v>2</v>
      </c>
      <c r="U784">
        <v>4</v>
      </c>
      <c r="V784">
        <f>River_data[[#This Row],[Dissolved Oxygen Min]]*River_data[[#This Row],[Dissolved Oxygen Max]]/2</f>
        <v>27.255000000000003</v>
      </c>
      <c r="W784">
        <f>River_data[[#This Row],[BOD Min]]*River_data[[#This Row],[BOD Max]]/2</f>
        <v>1.08</v>
      </c>
      <c r="X784">
        <f>AVERAGE(River_data[[#This Row],[pH Max]]-River_data[[#This Row],[pH Min]])</f>
        <v>0.79999999999999982</v>
      </c>
    </row>
    <row r="785" spans="1:24" x14ac:dyDescent="0.3">
      <c r="A785">
        <v>3374</v>
      </c>
      <c r="B785" s="1" t="s">
        <v>803</v>
      </c>
      <c r="C785" s="1" t="s">
        <v>675</v>
      </c>
      <c r="D785">
        <v>14</v>
      </c>
      <c r="E785">
        <v>20</v>
      </c>
      <c r="F785">
        <v>6.8</v>
      </c>
      <c r="G785">
        <v>8.9</v>
      </c>
      <c r="H785">
        <v>6.5</v>
      </c>
      <c r="I785">
        <v>6.8</v>
      </c>
      <c r="J785">
        <v>62</v>
      </c>
      <c r="K785">
        <v>89</v>
      </c>
      <c r="L785">
        <v>1</v>
      </c>
      <c r="M785">
        <v>1.8</v>
      </c>
      <c r="N785">
        <v>0.32</v>
      </c>
      <c r="O785">
        <v>0.47</v>
      </c>
      <c r="P785">
        <v>2</v>
      </c>
      <c r="Q785">
        <v>21</v>
      </c>
      <c r="R785">
        <v>120</v>
      </c>
      <c r="S785">
        <v>170</v>
      </c>
      <c r="T785">
        <v>2</v>
      </c>
      <c r="U785">
        <v>4</v>
      </c>
      <c r="V785">
        <f>River_data[[#This Row],[Dissolved Oxygen Min]]*River_data[[#This Row],[Dissolved Oxygen Max]]/2</f>
        <v>30.26</v>
      </c>
      <c r="W785">
        <f>River_data[[#This Row],[BOD Min]]*River_data[[#This Row],[BOD Max]]/2</f>
        <v>0.9</v>
      </c>
      <c r="X785">
        <f>AVERAGE(River_data[[#This Row],[pH Max]]-River_data[[#This Row],[pH Min]])</f>
        <v>0.29999999999999982</v>
      </c>
    </row>
    <row r="786" spans="1:24" x14ac:dyDescent="0.3">
      <c r="A786">
        <v>3099</v>
      </c>
      <c r="B786" s="1" t="s">
        <v>804</v>
      </c>
      <c r="C786" s="1" t="s">
        <v>647</v>
      </c>
      <c r="D786">
        <v>15</v>
      </c>
      <c r="E786">
        <v>28.5</v>
      </c>
      <c r="F786">
        <v>0.7</v>
      </c>
      <c r="G786">
        <v>9.3000000000000007</v>
      </c>
      <c r="H786">
        <v>7.4</v>
      </c>
      <c r="I786">
        <v>8.1</v>
      </c>
      <c r="J786">
        <v>102</v>
      </c>
      <c r="K786">
        <v>286</v>
      </c>
      <c r="L786">
        <v>1</v>
      </c>
      <c r="M786">
        <v>1</v>
      </c>
      <c r="N786">
        <v>0</v>
      </c>
      <c r="O786">
        <v>0</v>
      </c>
      <c r="V786">
        <f>River_data[[#This Row],[Dissolved Oxygen Min]]*River_data[[#This Row],[Dissolved Oxygen Max]]/2</f>
        <v>3.2549999999999999</v>
      </c>
      <c r="W786">
        <f>River_data[[#This Row],[BOD Min]]*River_data[[#This Row],[BOD Max]]/2</f>
        <v>0.5</v>
      </c>
      <c r="X786">
        <f>AVERAGE(River_data[[#This Row],[pH Max]]-River_data[[#This Row],[pH Min]])</f>
        <v>0.69999999999999929</v>
      </c>
    </row>
    <row r="787" spans="1:24" x14ac:dyDescent="0.3">
      <c r="A787">
        <v>3797</v>
      </c>
      <c r="B787" s="1" t="s">
        <v>805</v>
      </c>
      <c r="C787" s="1" t="s">
        <v>567</v>
      </c>
      <c r="D787">
        <v>19</v>
      </c>
      <c r="E787">
        <v>34</v>
      </c>
      <c r="F787">
        <v>5.2</v>
      </c>
      <c r="G787">
        <v>5.6</v>
      </c>
      <c r="H787">
        <v>6.8</v>
      </c>
      <c r="I787">
        <v>7.6</v>
      </c>
      <c r="J787">
        <v>132</v>
      </c>
      <c r="K787">
        <v>146</v>
      </c>
      <c r="L787">
        <v>2</v>
      </c>
      <c r="M787">
        <v>2.7</v>
      </c>
      <c r="N787">
        <v>0.6</v>
      </c>
      <c r="O787">
        <v>1.6</v>
      </c>
      <c r="P787">
        <v>600</v>
      </c>
      <c r="Q787">
        <v>910</v>
      </c>
      <c r="R787">
        <v>1100</v>
      </c>
      <c r="S787">
        <v>2100</v>
      </c>
      <c r="T787">
        <v>210</v>
      </c>
      <c r="U787">
        <v>290</v>
      </c>
      <c r="V787">
        <f>River_data[[#This Row],[Dissolved Oxygen Min]]*River_data[[#This Row],[Dissolved Oxygen Max]]/2</f>
        <v>14.559999999999999</v>
      </c>
      <c r="W787">
        <f>River_data[[#This Row],[BOD Min]]*River_data[[#This Row],[BOD Max]]/2</f>
        <v>2.7</v>
      </c>
      <c r="X787">
        <f>AVERAGE(River_data[[#This Row],[pH Max]]-River_data[[#This Row],[pH Min]])</f>
        <v>0.79999999999999982</v>
      </c>
    </row>
    <row r="788" spans="1:24" x14ac:dyDescent="0.3">
      <c r="A788">
        <v>2060</v>
      </c>
      <c r="B788" s="1" t="s">
        <v>806</v>
      </c>
      <c r="C788" s="1" t="s">
        <v>567</v>
      </c>
      <c r="D788">
        <v>19</v>
      </c>
      <c r="E788">
        <v>32</v>
      </c>
      <c r="F788">
        <v>5.0999999999999996</v>
      </c>
      <c r="G788">
        <v>5.7</v>
      </c>
      <c r="H788">
        <v>6.9</v>
      </c>
      <c r="I788">
        <v>7.7</v>
      </c>
      <c r="J788">
        <v>132</v>
      </c>
      <c r="K788">
        <v>168</v>
      </c>
      <c r="L788">
        <v>1.9</v>
      </c>
      <c r="M788">
        <v>2.7</v>
      </c>
      <c r="N788">
        <v>0.6</v>
      </c>
      <c r="O788">
        <v>2.2000000000000002</v>
      </c>
      <c r="P788">
        <v>600</v>
      </c>
      <c r="Q788">
        <v>730</v>
      </c>
      <c r="R788">
        <v>1100</v>
      </c>
      <c r="S788">
        <v>1500</v>
      </c>
      <c r="T788">
        <v>210</v>
      </c>
      <c r="U788">
        <v>240</v>
      </c>
      <c r="V788">
        <f>River_data[[#This Row],[Dissolved Oxygen Min]]*River_data[[#This Row],[Dissolved Oxygen Max]]/2</f>
        <v>14.535</v>
      </c>
      <c r="W788">
        <f>River_data[[#This Row],[BOD Min]]*River_data[[#This Row],[BOD Max]]/2</f>
        <v>2.5649999999999999</v>
      </c>
      <c r="X788">
        <f>AVERAGE(River_data[[#This Row],[pH Max]]-River_data[[#This Row],[pH Min]])</f>
        <v>0.79999999999999982</v>
      </c>
    </row>
    <row r="789" spans="1:24" x14ac:dyDescent="0.3">
      <c r="A789">
        <v>1803</v>
      </c>
      <c r="B789" s="1" t="s">
        <v>807</v>
      </c>
      <c r="C789" s="1" t="s">
        <v>756</v>
      </c>
      <c r="D789">
        <v>12</v>
      </c>
      <c r="E789">
        <v>21</v>
      </c>
      <c r="F789">
        <v>7.3</v>
      </c>
      <c r="G789">
        <v>8.4</v>
      </c>
      <c r="H789">
        <v>6.8</v>
      </c>
      <c r="I789">
        <v>7.5</v>
      </c>
      <c r="J789">
        <v>112</v>
      </c>
      <c r="K789">
        <v>172</v>
      </c>
      <c r="L789">
        <v>1.9</v>
      </c>
      <c r="M789">
        <v>2.5</v>
      </c>
      <c r="N789">
        <v>1.9</v>
      </c>
      <c r="O789">
        <v>4.5999999999999996</v>
      </c>
      <c r="P789">
        <v>22</v>
      </c>
      <c r="Q789">
        <v>97</v>
      </c>
      <c r="R789">
        <v>27</v>
      </c>
      <c r="S789">
        <v>155</v>
      </c>
      <c r="V789">
        <f>River_data[[#This Row],[Dissolved Oxygen Min]]*River_data[[#This Row],[Dissolved Oxygen Max]]/2</f>
        <v>30.66</v>
      </c>
      <c r="W789">
        <f>River_data[[#This Row],[BOD Min]]*River_data[[#This Row],[BOD Max]]/2</f>
        <v>2.375</v>
      </c>
      <c r="X789">
        <f>AVERAGE(River_data[[#This Row],[pH Max]]-River_data[[#This Row],[pH Min]])</f>
        <v>0.70000000000000018</v>
      </c>
    </row>
    <row r="790" spans="1:24" x14ac:dyDescent="0.3">
      <c r="A790">
        <v>1804</v>
      </c>
      <c r="B790" s="1" t="s">
        <v>808</v>
      </c>
      <c r="C790" s="1" t="s">
        <v>756</v>
      </c>
      <c r="D790">
        <v>13</v>
      </c>
      <c r="E790">
        <v>23</v>
      </c>
      <c r="F790">
        <v>7.8</v>
      </c>
      <c r="G790">
        <v>8.5</v>
      </c>
      <c r="H790">
        <v>6.7</v>
      </c>
      <c r="I790">
        <v>7.3</v>
      </c>
      <c r="J790">
        <v>121</v>
      </c>
      <c r="K790">
        <v>178</v>
      </c>
      <c r="L790">
        <v>2.1</v>
      </c>
      <c r="M790">
        <v>22</v>
      </c>
      <c r="N790">
        <v>2</v>
      </c>
      <c r="O790">
        <v>23</v>
      </c>
      <c r="P790">
        <v>38</v>
      </c>
      <c r="Q790">
        <v>93</v>
      </c>
      <c r="R790">
        <v>68</v>
      </c>
      <c r="S790">
        <v>196</v>
      </c>
      <c r="V790">
        <f>River_data[[#This Row],[Dissolved Oxygen Min]]*River_data[[#This Row],[Dissolved Oxygen Max]]/2</f>
        <v>33.15</v>
      </c>
      <c r="W790">
        <f>River_data[[#This Row],[BOD Min]]*River_data[[#This Row],[BOD Max]]/2</f>
        <v>23.1</v>
      </c>
      <c r="X790">
        <f>AVERAGE(River_data[[#This Row],[pH Max]]-River_data[[#This Row],[pH Min]])</f>
        <v>0.59999999999999964</v>
      </c>
    </row>
    <row r="791" spans="1:24" x14ac:dyDescent="0.3">
      <c r="A791">
        <v>2894</v>
      </c>
      <c r="B791" s="1" t="s">
        <v>809</v>
      </c>
      <c r="C791" s="1" t="s">
        <v>571</v>
      </c>
      <c r="D791">
        <v>19.600000000000001</v>
      </c>
      <c r="E791">
        <v>30.6</v>
      </c>
      <c r="F791">
        <v>6.9</v>
      </c>
      <c r="G791">
        <v>8.1999999999999993</v>
      </c>
      <c r="H791">
        <v>7.1</v>
      </c>
      <c r="I791">
        <v>8.1999999999999993</v>
      </c>
      <c r="J791">
        <v>79</v>
      </c>
      <c r="K791">
        <v>490</v>
      </c>
      <c r="L791">
        <v>1</v>
      </c>
      <c r="M791">
        <v>1.4</v>
      </c>
      <c r="N791">
        <v>0.5</v>
      </c>
      <c r="O791">
        <v>1.5</v>
      </c>
      <c r="V791">
        <f>River_data[[#This Row],[Dissolved Oxygen Min]]*River_data[[#This Row],[Dissolved Oxygen Max]]/2</f>
        <v>28.29</v>
      </c>
      <c r="W791">
        <f>River_data[[#This Row],[BOD Min]]*River_data[[#This Row],[BOD Max]]/2</f>
        <v>0.7</v>
      </c>
      <c r="X791">
        <f>AVERAGE(River_data[[#This Row],[pH Max]]-River_data[[#This Row],[pH Min]])</f>
        <v>1.0999999999999996</v>
      </c>
    </row>
    <row r="792" spans="1:24" x14ac:dyDescent="0.3">
      <c r="A792">
        <v>2895</v>
      </c>
      <c r="B792" s="1" t="s">
        <v>810</v>
      </c>
      <c r="C792" s="1" t="s">
        <v>571</v>
      </c>
      <c r="D792">
        <v>19.5</v>
      </c>
      <c r="E792">
        <v>30</v>
      </c>
      <c r="F792">
        <v>7</v>
      </c>
      <c r="G792">
        <v>8.3000000000000007</v>
      </c>
      <c r="H792">
        <v>7.4</v>
      </c>
      <c r="I792">
        <v>8.4</v>
      </c>
      <c r="J792">
        <v>85</v>
      </c>
      <c r="K792">
        <v>520</v>
      </c>
      <c r="L792">
        <v>1</v>
      </c>
      <c r="M792">
        <v>1.5</v>
      </c>
      <c r="N792">
        <v>0.4</v>
      </c>
      <c r="O792">
        <v>1.3</v>
      </c>
      <c r="V792">
        <f>River_data[[#This Row],[Dissolved Oxygen Min]]*River_data[[#This Row],[Dissolved Oxygen Max]]/2</f>
        <v>29.050000000000004</v>
      </c>
      <c r="W792">
        <f>River_data[[#This Row],[BOD Min]]*River_data[[#This Row],[BOD Max]]/2</f>
        <v>0.75</v>
      </c>
      <c r="X792">
        <f>AVERAGE(River_data[[#This Row],[pH Max]]-River_data[[#This Row],[pH Min]])</f>
        <v>1</v>
      </c>
    </row>
    <row r="793" spans="1:24" x14ac:dyDescent="0.3">
      <c r="A793">
        <v>3100</v>
      </c>
      <c r="B793" s="1" t="s">
        <v>811</v>
      </c>
      <c r="C793" s="1" t="s">
        <v>647</v>
      </c>
      <c r="D793">
        <v>19.600000000000001</v>
      </c>
      <c r="E793">
        <v>27.3</v>
      </c>
      <c r="F793">
        <v>7.4</v>
      </c>
      <c r="G793">
        <v>9.4</v>
      </c>
      <c r="H793">
        <v>7.4</v>
      </c>
      <c r="I793">
        <v>8.1</v>
      </c>
      <c r="J793">
        <v>78</v>
      </c>
      <c r="K793">
        <v>476</v>
      </c>
      <c r="L793">
        <v>1</v>
      </c>
      <c r="M793">
        <v>1</v>
      </c>
      <c r="N793">
        <v>0</v>
      </c>
      <c r="O793">
        <v>0</v>
      </c>
      <c r="V793">
        <f>River_data[[#This Row],[Dissolved Oxygen Min]]*River_data[[#This Row],[Dissolved Oxygen Max]]/2</f>
        <v>34.78</v>
      </c>
      <c r="W793">
        <f>River_data[[#This Row],[BOD Min]]*River_data[[#This Row],[BOD Max]]/2</f>
        <v>0.5</v>
      </c>
      <c r="X793">
        <f>AVERAGE(River_data[[#This Row],[pH Max]]-River_data[[#This Row],[pH Min]])</f>
        <v>0.69999999999999929</v>
      </c>
    </row>
    <row r="794" spans="1:24" x14ac:dyDescent="0.3">
      <c r="A794">
        <v>3109</v>
      </c>
      <c r="B794" s="1" t="s">
        <v>812</v>
      </c>
      <c r="C794" s="1" t="s">
        <v>647</v>
      </c>
      <c r="D794">
        <v>19</v>
      </c>
      <c r="E794">
        <v>26.9</v>
      </c>
      <c r="F794">
        <v>6.6</v>
      </c>
      <c r="G794">
        <v>8.6999999999999993</v>
      </c>
      <c r="H794">
        <v>7.6</v>
      </c>
      <c r="I794">
        <v>8.4</v>
      </c>
      <c r="J794">
        <v>83</v>
      </c>
      <c r="K794">
        <v>313</v>
      </c>
      <c r="L794">
        <v>1</v>
      </c>
      <c r="M794">
        <v>2.2000000000000002</v>
      </c>
      <c r="N794">
        <v>0</v>
      </c>
      <c r="O794">
        <v>0</v>
      </c>
      <c r="V794">
        <f>River_data[[#This Row],[Dissolved Oxygen Min]]*River_data[[#This Row],[Dissolved Oxygen Max]]/2</f>
        <v>28.709999999999997</v>
      </c>
      <c r="W794">
        <f>River_data[[#This Row],[BOD Min]]*River_data[[#This Row],[BOD Max]]/2</f>
        <v>1.1000000000000001</v>
      </c>
      <c r="X794">
        <f>AVERAGE(River_data[[#This Row],[pH Max]]-River_data[[#This Row],[pH Min]])</f>
        <v>0.80000000000000071</v>
      </c>
    </row>
    <row r="795" spans="1:24" x14ac:dyDescent="0.3">
      <c r="A795">
        <v>3103</v>
      </c>
      <c r="B795" s="1" t="s">
        <v>813</v>
      </c>
      <c r="C795" s="1" t="s">
        <v>647</v>
      </c>
      <c r="D795">
        <v>21.6</v>
      </c>
      <c r="E795">
        <v>34.200000000000003</v>
      </c>
      <c r="F795">
        <v>6</v>
      </c>
      <c r="G795">
        <v>9.1999999999999993</v>
      </c>
      <c r="H795">
        <v>7.1</v>
      </c>
      <c r="I795">
        <v>7.9</v>
      </c>
      <c r="J795">
        <v>67</v>
      </c>
      <c r="K795">
        <v>193</v>
      </c>
      <c r="L795">
        <v>1</v>
      </c>
      <c r="M795">
        <v>2.8</v>
      </c>
      <c r="N795">
        <v>0</v>
      </c>
      <c r="O795">
        <v>0</v>
      </c>
      <c r="V795">
        <f>River_data[[#This Row],[Dissolved Oxygen Min]]*River_data[[#This Row],[Dissolved Oxygen Max]]/2</f>
        <v>27.599999999999998</v>
      </c>
      <c r="W795">
        <f>River_data[[#This Row],[BOD Min]]*River_data[[#This Row],[BOD Max]]/2</f>
        <v>1.4</v>
      </c>
      <c r="X795">
        <f>AVERAGE(River_data[[#This Row],[pH Max]]-River_data[[#This Row],[pH Min]])</f>
        <v>0.80000000000000071</v>
      </c>
    </row>
    <row r="796" spans="1:24" x14ac:dyDescent="0.3">
      <c r="A796">
        <v>2065</v>
      </c>
      <c r="B796" s="1" t="s">
        <v>814</v>
      </c>
      <c r="C796" s="1" t="s">
        <v>567</v>
      </c>
      <c r="D796">
        <v>22</v>
      </c>
      <c r="E796">
        <v>33</v>
      </c>
      <c r="F796">
        <v>5.8</v>
      </c>
      <c r="G796">
        <v>8.1</v>
      </c>
      <c r="H796">
        <v>7</v>
      </c>
      <c r="I796">
        <v>8</v>
      </c>
      <c r="J796">
        <v>142</v>
      </c>
      <c r="K796">
        <v>230</v>
      </c>
      <c r="L796">
        <v>2</v>
      </c>
      <c r="M796">
        <v>2.8</v>
      </c>
      <c r="N796">
        <v>0.6</v>
      </c>
      <c r="O796">
        <v>1.8</v>
      </c>
      <c r="P796">
        <v>610</v>
      </c>
      <c r="Q796">
        <v>1500</v>
      </c>
      <c r="R796">
        <v>1100</v>
      </c>
      <c r="S796">
        <v>2100</v>
      </c>
      <c r="T796">
        <v>210</v>
      </c>
      <c r="U796">
        <v>490</v>
      </c>
      <c r="V796">
        <f>River_data[[#This Row],[Dissolved Oxygen Min]]*River_data[[#This Row],[Dissolved Oxygen Max]]/2</f>
        <v>23.49</v>
      </c>
      <c r="W796">
        <f>River_data[[#This Row],[BOD Min]]*River_data[[#This Row],[BOD Max]]/2</f>
        <v>2.8</v>
      </c>
      <c r="X796">
        <f>AVERAGE(River_data[[#This Row],[pH Max]]-River_data[[#This Row],[pH Min]])</f>
        <v>1</v>
      </c>
    </row>
    <row r="797" spans="1:24" x14ac:dyDescent="0.3">
      <c r="A797">
        <v>2235</v>
      </c>
      <c r="B797" s="1" t="s">
        <v>815</v>
      </c>
      <c r="C797" s="1" t="s">
        <v>567</v>
      </c>
      <c r="D797">
        <v>16</v>
      </c>
      <c r="E797">
        <v>28</v>
      </c>
      <c r="F797">
        <v>5</v>
      </c>
      <c r="G797">
        <v>6.2</v>
      </c>
      <c r="H797">
        <v>6.8</v>
      </c>
      <c r="I797">
        <v>7.2</v>
      </c>
      <c r="J797">
        <v>102</v>
      </c>
      <c r="K797">
        <v>144</v>
      </c>
      <c r="L797">
        <v>2.2000000000000002</v>
      </c>
      <c r="M797">
        <v>2.7</v>
      </c>
      <c r="N797">
        <v>0.8</v>
      </c>
      <c r="O797">
        <v>1.7</v>
      </c>
      <c r="P797">
        <v>620</v>
      </c>
      <c r="Q797">
        <v>940</v>
      </c>
      <c r="R797">
        <v>1300</v>
      </c>
      <c r="S797">
        <v>2100</v>
      </c>
      <c r="T797">
        <v>210</v>
      </c>
      <c r="U797">
        <v>290</v>
      </c>
      <c r="V797">
        <f>River_data[[#This Row],[Dissolved Oxygen Min]]*River_data[[#This Row],[Dissolved Oxygen Max]]/2</f>
        <v>15.5</v>
      </c>
      <c r="W797">
        <f>River_data[[#This Row],[BOD Min]]*River_data[[#This Row],[BOD Max]]/2</f>
        <v>2.9700000000000006</v>
      </c>
      <c r="X797">
        <f>AVERAGE(River_data[[#This Row],[pH Max]]-River_data[[#This Row],[pH Min]])</f>
        <v>0.40000000000000036</v>
      </c>
    </row>
    <row r="798" spans="1:24" x14ac:dyDescent="0.3">
      <c r="A798">
        <v>1531</v>
      </c>
      <c r="B798" s="1" t="s">
        <v>816</v>
      </c>
      <c r="C798" s="1" t="s">
        <v>567</v>
      </c>
      <c r="D798">
        <v>19</v>
      </c>
      <c r="E798">
        <v>30</v>
      </c>
      <c r="F798">
        <v>3.8</v>
      </c>
      <c r="G798">
        <v>5.4</v>
      </c>
      <c r="H798">
        <v>6.9</v>
      </c>
      <c r="I798">
        <v>7.4</v>
      </c>
      <c r="J798">
        <v>148</v>
      </c>
      <c r="K798">
        <v>242</v>
      </c>
      <c r="L798">
        <v>3</v>
      </c>
      <c r="M798">
        <v>3.3</v>
      </c>
      <c r="N798">
        <v>0.9</v>
      </c>
      <c r="O798">
        <v>2</v>
      </c>
      <c r="P798">
        <v>360</v>
      </c>
      <c r="Q798">
        <v>940</v>
      </c>
      <c r="R798">
        <v>1100</v>
      </c>
      <c r="S798">
        <v>2000</v>
      </c>
      <c r="T798">
        <v>120</v>
      </c>
      <c r="U798">
        <v>290</v>
      </c>
      <c r="V798">
        <f>River_data[[#This Row],[Dissolved Oxygen Min]]*River_data[[#This Row],[Dissolved Oxygen Max]]/2</f>
        <v>10.26</v>
      </c>
      <c r="W798">
        <f>River_data[[#This Row],[BOD Min]]*River_data[[#This Row],[BOD Max]]/2</f>
        <v>4.9499999999999993</v>
      </c>
      <c r="X798">
        <f>AVERAGE(River_data[[#This Row],[pH Max]]-River_data[[#This Row],[pH Min]])</f>
        <v>0.5</v>
      </c>
    </row>
    <row r="799" spans="1:24" x14ac:dyDescent="0.3">
      <c r="A799">
        <v>1929</v>
      </c>
      <c r="B799" s="1" t="s">
        <v>817</v>
      </c>
      <c r="C799" s="1" t="s">
        <v>571</v>
      </c>
      <c r="D799">
        <v>17.2</v>
      </c>
      <c r="E799">
        <v>31.4</v>
      </c>
      <c r="F799">
        <v>6.6</v>
      </c>
      <c r="G799">
        <v>8</v>
      </c>
      <c r="H799">
        <v>6.5</v>
      </c>
      <c r="I799">
        <v>8.9</v>
      </c>
      <c r="J799">
        <v>85</v>
      </c>
      <c r="K799">
        <v>232</v>
      </c>
      <c r="L799">
        <v>1.2</v>
      </c>
      <c r="M799">
        <v>1.8</v>
      </c>
      <c r="N799">
        <v>0.4</v>
      </c>
      <c r="O799">
        <v>1.8</v>
      </c>
      <c r="V799">
        <f>River_data[[#This Row],[Dissolved Oxygen Min]]*River_data[[#This Row],[Dissolved Oxygen Max]]/2</f>
        <v>26.4</v>
      </c>
      <c r="W799">
        <f>River_data[[#This Row],[BOD Min]]*River_data[[#This Row],[BOD Max]]/2</f>
        <v>1.08</v>
      </c>
      <c r="X799">
        <f>AVERAGE(River_data[[#This Row],[pH Max]]-River_data[[#This Row],[pH Min]])</f>
        <v>2.4000000000000004</v>
      </c>
    </row>
    <row r="800" spans="1:24" x14ac:dyDescent="0.3">
      <c r="A800">
        <v>1930</v>
      </c>
      <c r="B800" s="1" t="s">
        <v>818</v>
      </c>
      <c r="C800" s="1" t="s">
        <v>571</v>
      </c>
      <c r="D800">
        <v>20.399999999999999</v>
      </c>
      <c r="E800">
        <v>32.200000000000003</v>
      </c>
      <c r="F800">
        <v>6.1</v>
      </c>
      <c r="G800">
        <v>8.6</v>
      </c>
      <c r="H800">
        <v>6.6</v>
      </c>
      <c r="I800">
        <v>8.6</v>
      </c>
      <c r="J800">
        <v>95</v>
      </c>
      <c r="K800">
        <v>760</v>
      </c>
      <c r="L800">
        <v>1.4</v>
      </c>
      <c r="M800">
        <v>2</v>
      </c>
      <c r="N800">
        <v>0.5</v>
      </c>
      <c r="O800">
        <v>2.1</v>
      </c>
      <c r="V800">
        <f>River_data[[#This Row],[Dissolved Oxygen Min]]*River_data[[#This Row],[Dissolved Oxygen Max]]/2</f>
        <v>26.229999999999997</v>
      </c>
      <c r="W800">
        <f>River_data[[#This Row],[BOD Min]]*River_data[[#This Row],[BOD Max]]/2</f>
        <v>1.4</v>
      </c>
      <c r="X800">
        <f>AVERAGE(River_data[[#This Row],[pH Max]]-River_data[[#This Row],[pH Min]])</f>
        <v>2</v>
      </c>
    </row>
    <row r="801" spans="1:24" x14ac:dyDescent="0.3">
      <c r="A801">
        <v>1232</v>
      </c>
      <c r="B801" s="1" t="s">
        <v>819</v>
      </c>
      <c r="C801" s="1" t="s">
        <v>359</v>
      </c>
      <c r="D801">
        <v>24</v>
      </c>
      <c r="E801">
        <v>30</v>
      </c>
      <c r="F801">
        <v>4.8</v>
      </c>
      <c r="G801">
        <v>5.9</v>
      </c>
      <c r="H801">
        <v>7.2</v>
      </c>
      <c r="I801">
        <v>7.9</v>
      </c>
      <c r="J801">
        <v>367</v>
      </c>
      <c r="K801">
        <v>797</v>
      </c>
      <c r="L801">
        <v>1.7</v>
      </c>
      <c r="M801">
        <v>2.8</v>
      </c>
      <c r="N801">
        <v>1.22</v>
      </c>
      <c r="O801">
        <v>2.82</v>
      </c>
      <c r="P801">
        <v>70</v>
      </c>
      <c r="Q801">
        <v>120</v>
      </c>
      <c r="R801">
        <v>110</v>
      </c>
      <c r="S801">
        <v>170</v>
      </c>
      <c r="T801">
        <v>21</v>
      </c>
      <c r="U801">
        <v>34</v>
      </c>
      <c r="V801">
        <f>River_data[[#This Row],[Dissolved Oxygen Min]]*River_data[[#This Row],[Dissolved Oxygen Max]]/2</f>
        <v>14.16</v>
      </c>
      <c r="W801">
        <f>River_data[[#This Row],[BOD Min]]*River_data[[#This Row],[BOD Max]]/2</f>
        <v>2.38</v>
      </c>
      <c r="X801">
        <f>AVERAGE(River_data[[#This Row],[pH Max]]-River_data[[#This Row],[pH Min]])</f>
        <v>0.70000000000000018</v>
      </c>
    </row>
    <row r="802" spans="1:24" x14ac:dyDescent="0.3">
      <c r="A802">
        <v>30061</v>
      </c>
      <c r="B802" s="1" t="s">
        <v>820</v>
      </c>
      <c r="C802" s="1" t="s">
        <v>359</v>
      </c>
      <c r="D802">
        <v>21</v>
      </c>
      <c r="E802">
        <v>30</v>
      </c>
      <c r="F802">
        <v>8.1</v>
      </c>
      <c r="G802">
        <v>9.5</v>
      </c>
      <c r="H802">
        <v>7.1</v>
      </c>
      <c r="I802">
        <v>8.1999999999999993</v>
      </c>
      <c r="J802">
        <v>182</v>
      </c>
      <c r="K802">
        <v>351</v>
      </c>
      <c r="L802">
        <v>2</v>
      </c>
      <c r="M802">
        <v>2.5</v>
      </c>
      <c r="N802">
        <v>0.32</v>
      </c>
      <c r="O802">
        <v>0.5</v>
      </c>
      <c r="P802">
        <v>2</v>
      </c>
      <c r="Q802">
        <v>10</v>
      </c>
      <c r="R802">
        <v>63</v>
      </c>
      <c r="S802">
        <v>170</v>
      </c>
      <c r="T802">
        <v>2</v>
      </c>
      <c r="U802">
        <v>2</v>
      </c>
      <c r="V802">
        <f>River_data[[#This Row],[Dissolved Oxygen Min]]*River_data[[#This Row],[Dissolved Oxygen Max]]/2</f>
        <v>38.475000000000001</v>
      </c>
      <c r="W802">
        <f>River_data[[#This Row],[BOD Min]]*River_data[[#This Row],[BOD Max]]/2</f>
        <v>2.5</v>
      </c>
      <c r="X802">
        <f>AVERAGE(River_data[[#This Row],[pH Max]]-River_data[[#This Row],[pH Min]])</f>
        <v>1.0999999999999996</v>
      </c>
    </row>
    <row r="803" spans="1:24" x14ac:dyDescent="0.3">
      <c r="A803">
        <v>4</v>
      </c>
      <c r="B803" s="1" t="s">
        <v>821</v>
      </c>
      <c r="C803" s="1" t="s">
        <v>822</v>
      </c>
      <c r="D803">
        <v>25</v>
      </c>
      <c r="E803">
        <v>32</v>
      </c>
      <c r="F803">
        <v>7.5</v>
      </c>
      <c r="G803">
        <v>8.1999999999999993</v>
      </c>
      <c r="H803">
        <v>7.9</v>
      </c>
      <c r="I803">
        <v>8.5</v>
      </c>
      <c r="J803">
        <v>263</v>
      </c>
      <c r="K803">
        <v>480</v>
      </c>
      <c r="L803">
        <v>1</v>
      </c>
      <c r="M803">
        <v>1</v>
      </c>
      <c r="N803">
        <v>0.52</v>
      </c>
      <c r="O803">
        <v>0.86</v>
      </c>
      <c r="P803">
        <v>7</v>
      </c>
      <c r="Q803">
        <v>240</v>
      </c>
      <c r="R803">
        <v>22</v>
      </c>
      <c r="S803">
        <v>500</v>
      </c>
      <c r="T803">
        <v>2</v>
      </c>
      <c r="U803">
        <v>2</v>
      </c>
      <c r="V803">
        <f>River_data[[#This Row],[Dissolved Oxygen Min]]*River_data[[#This Row],[Dissolved Oxygen Max]]/2</f>
        <v>30.749999999999996</v>
      </c>
      <c r="W803">
        <f>River_data[[#This Row],[BOD Min]]*River_data[[#This Row],[BOD Max]]/2</f>
        <v>0.5</v>
      </c>
      <c r="X803">
        <f>AVERAGE(River_data[[#This Row],[pH Max]]-River_data[[#This Row],[pH Min]])</f>
        <v>0.59999999999999964</v>
      </c>
    </row>
    <row r="804" spans="1:24" x14ac:dyDescent="0.3">
      <c r="A804">
        <v>5</v>
      </c>
      <c r="B804" s="1" t="s">
        <v>823</v>
      </c>
      <c r="C804" s="1" t="s">
        <v>822</v>
      </c>
      <c r="D804">
        <v>24</v>
      </c>
      <c r="E804">
        <v>33</v>
      </c>
      <c r="F804">
        <v>7.5</v>
      </c>
      <c r="G804">
        <v>8.5</v>
      </c>
      <c r="H804">
        <v>7.8</v>
      </c>
      <c r="I804">
        <v>8.5</v>
      </c>
      <c r="J804">
        <v>320</v>
      </c>
      <c r="K804">
        <v>595</v>
      </c>
      <c r="L804">
        <v>1</v>
      </c>
      <c r="M804">
        <v>1</v>
      </c>
      <c r="N804">
        <v>0.72</v>
      </c>
      <c r="O804">
        <v>1.1399999999999999</v>
      </c>
      <c r="P804">
        <v>2</v>
      </c>
      <c r="Q804">
        <v>14</v>
      </c>
      <c r="R804">
        <v>21</v>
      </c>
      <c r="S804">
        <v>50</v>
      </c>
      <c r="V804">
        <f>River_data[[#This Row],[Dissolved Oxygen Min]]*River_data[[#This Row],[Dissolved Oxygen Max]]/2</f>
        <v>31.875</v>
      </c>
      <c r="W804">
        <f>River_data[[#This Row],[BOD Min]]*River_data[[#This Row],[BOD Max]]/2</f>
        <v>0.5</v>
      </c>
      <c r="X804">
        <f>AVERAGE(River_data[[#This Row],[pH Max]]-River_data[[#This Row],[pH Min]])</f>
        <v>0.70000000000000018</v>
      </c>
    </row>
    <row r="805" spans="1:24" x14ac:dyDescent="0.3">
      <c r="A805">
        <v>1229</v>
      </c>
      <c r="B805" s="1" t="s">
        <v>824</v>
      </c>
      <c r="C805" s="1" t="s">
        <v>822</v>
      </c>
      <c r="D805">
        <v>24</v>
      </c>
      <c r="E805">
        <v>29</v>
      </c>
      <c r="F805">
        <v>7.5</v>
      </c>
      <c r="G805">
        <v>8.1999999999999993</v>
      </c>
      <c r="H805">
        <v>7.9</v>
      </c>
      <c r="I805">
        <v>8.5</v>
      </c>
      <c r="J805">
        <v>281</v>
      </c>
      <c r="K805">
        <v>476</v>
      </c>
      <c r="L805">
        <v>1</v>
      </c>
      <c r="M805">
        <v>1</v>
      </c>
      <c r="N805">
        <v>0.32</v>
      </c>
      <c r="O805">
        <v>0.75</v>
      </c>
      <c r="P805">
        <v>2</v>
      </c>
      <c r="Q805">
        <v>11</v>
      </c>
      <c r="R805">
        <v>4</v>
      </c>
      <c r="S805">
        <v>33</v>
      </c>
      <c r="V805">
        <f>River_data[[#This Row],[Dissolved Oxygen Min]]*River_data[[#This Row],[Dissolved Oxygen Max]]/2</f>
        <v>30.749999999999996</v>
      </c>
      <c r="W805">
        <f>River_data[[#This Row],[BOD Min]]*River_data[[#This Row],[BOD Max]]/2</f>
        <v>0.5</v>
      </c>
      <c r="X805">
        <f>AVERAGE(River_data[[#This Row],[pH Max]]-River_data[[#This Row],[pH Min]])</f>
        <v>0.59999999999999964</v>
      </c>
    </row>
    <row r="806" spans="1:24" x14ac:dyDescent="0.3">
      <c r="A806">
        <v>1230</v>
      </c>
      <c r="B806" s="1" t="s">
        <v>825</v>
      </c>
      <c r="C806" s="1" t="s">
        <v>822</v>
      </c>
      <c r="D806">
        <v>24</v>
      </c>
      <c r="E806">
        <v>29</v>
      </c>
      <c r="F806">
        <v>7.4</v>
      </c>
      <c r="G806">
        <v>8.1999999999999993</v>
      </c>
      <c r="H806">
        <v>7.9</v>
      </c>
      <c r="I806">
        <v>8.5</v>
      </c>
      <c r="J806">
        <v>261</v>
      </c>
      <c r="K806">
        <v>469</v>
      </c>
      <c r="L806">
        <v>1</v>
      </c>
      <c r="M806">
        <v>1</v>
      </c>
      <c r="N806">
        <v>0.54</v>
      </c>
      <c r="O806">
        <v>0.82</v>
      </c>
      <c r="P806">
        <v>2</v>
      </c>
      <c r="Q806">
        <v>7</v>
      </c>
      <c r="R806">
        <v>13</v>
      </c>
      <c r="S806">
        <v>21</v>
      </c>
      <c r="V806">
        <f>River_data[[#This Row],[Dissolved Oxygen Min]]*River_data[[#This Row],[Dissolved Oxygen Max]]/2</f>
        <v>30.34</v>
      </c>
      <c r="W806">
        <f>River_data[[#This Row],[BOD Min]]*River_data[[#This Row],[BOD Max]]/2</f>
        <v>0.5</v>
      </c>
      <c r="X806">
        <f>AVERAGE(River_data[[#This Row],[pH Max]]-River_data[[#This Row],[pH Min]])</f>
        <v>0.59999999999999964</v>
      </c>
    </row>
    <row r="807" spans="1:24" x14ac:dyDescent="0.3">
      <c r="A807">
        <v>1231</v>
      </c>
      <c r="B807" s="1" t="s">
        <v>826</v>
      </c>
      <c r="C807" s="1" t="s">
        <v>822</v>
      </c>
      <c r="D807">
        <v>24</v>
      </c>
      <c r="E807">
        <v>29.5</v>
      </c>
      <c r="F807">
        <v>7.5</v>
      </c>
      <c r="G807">
        <v>8.1999999999999993</v>
      </c>
      <c r="H807">
        <v>7.9</v>
      </c>
      <c r="I807">
        <v>8.5</v>
      </c>
      <c r="J807">
        <v>278</v>
      </c>
      <c r="K807">
        <v>465</v>
      </c>
      <c r="L807">
        <v>1</v>
      </c>
      <c r="M807">
        <v>1</v>
      </c>
      <c r="N807">
        <v>0.94</v>
      </c>
      <c r="O807">
        <v>1.25</v>
      </c>
      <c r="P807">
        <v>2</v>
      </c>
      <c r="Q807">
        <v>11</v>
      </c>
      <c r="R807">
        <v>14</v>
      </c>
      <c r="S807">
        <v>50</v>
      </c>
      <c r="V807">
        <f>River_data[[#This Row],[Dissolved Oxygen Min]]*River_data[[#This Row],[Dissolved Oxygen Max]]/2</f>
        <v>30.749999999999996</v>
      </c>
      <c r="W807">
        <f>River_data[[#This Row],[BOD Min]]*River_data[[#This Row],[BOD Max]]/2</f>
        <v>0.5</v>
      </c>
      <c r="X807">
        <f>AVERAGE(River_data[[#This Row],[pH Max]]-River_data[[#This Row],[pH Min]])</f>
        <v>0.59999999999999964</v>
      </c>
    </row>
    <row r="808" spans="1:24" x14ac:dyDescent="0.3">
      <c r="A808">
        <v>1863</v>
      </c>
      <c r="B808" s="1" t="s">
        <v>827</v>
      </c>
      <c r="C808" s="1" t="s">
        <v>822</v>
      </c>
      <c r="D808">
        <v>24</v>
      </c>
      <c r="E808">
        <v>33</v>
      </c>
      <c r="F808">
        <v>7.5</v>
      </c>
      <c r="G808">
        <v>8.1999999999999993</v>
      </c>
      <c r="H808">
        <v>7.6</v>
      </c>
      <c r="I808">
        <v>8.5</v>
      </c>
      <c r="J808">
        <v>312</v>
      </c>
      <c r="K808">
        <v>663</v>
      </c>
      <c r="L808">
        <v>1</v>
      </c>
      <c r="M808">
        <v>1</v>
      </c>
      <c r="N808">
        <v>0.44</v>
      </c>
      <c r="O808">
        <v>1.06</v>
      </c>
      <c r="P808">
        <v>4</v>
      </c>
      <c r="Q808">
        <v>17</v>
      </c>
      <c r="R808">
        <v>22</v>
      </c>
      <c r="S808">
        <v>70</v>
      </c>
      <c r="V808">
        <f>River_data[[#This Row],[Dissolved Oxygen Min]]*River_data[[#This Row],[Dissolved Oxygen Max]]/2</f>
        <v>30.749999999999996</v>
      </c>
      <c r="W808">
        <f>River_data[[#This Row],[BOD Min]]*River_data[[#This Row],[BOD Max]]/2</f>
        <v>0.5</v>
      </c>
      <c r="X808">
        <f>AVERAGE(River_data[[#This Row],[pH Max]]-River_data[[#This Row],[pH Min]])</f>
        <v>0.90000000000000036</v>
      </c>
    </row>
    <row r="809" spans="1:24" x14ac:dyDescent="0.3">
      <c r="A809">
        <v>1864</v>
      </c>
      <c r="B809" s="1" t="s">
        <v>828</v>
      </c>
      <c r="C809" s="1" t="s">
        <v>822</v>
      </c>
      <c r="D809">
        <v>27</v>
      </c>
      <c r="E809">
        <v>32</v>
      </c>
      <c r="F809">
        <v>6.7</v>
      </c>
      <c r="G809">
        <v>8.1999999999999993</v>
      </c>
      <c r="H809">
        <v>8.4</v>
      </c>
      <c r="I809">
        <v>8.6999999999999993</v>
      </c>
      <c r="J809">
        <v>326</v>
      </c>
      <c r="K809">
        <v>1440</v>
      </c>
      <c r="L809">
        <v>1</v>
      </c>
      <c r="M809">
        <v>1.2</v>
      </c>
      <c r="N809">
        <v>0.32</v>
      </c>
      <c r="O809">
        <v>1.24</v>
      </c>
      <c r="P809">
        <v>14</v>
      </c>
      <c r="Q809">
        <v>80</v>
      </c>
      <c r="R809">
        <v>63</v>
      </c>
      <c r="S809">
        <v>350</v>
      </c>
      <c r="V809">
        <f>River_data[[#This Row],[Dissolved Oxygen Min]]*River_data[[#This Row],[Dissolved Oxygen Max]]/2</f>
        <v>27.47</v>
      </c>
      <c r="W809">
        <f>River_data[[#This Row],[BOD Min]]*River_data[[#This Row],[BOD Max]]/2</f>
        <v>0.6</v>
      </c>
      <c r="X809">
        <f>AVERAGE(River_data[[#This Row],[pH Max]]-River_data[[#This Row],[pH Min]])</f>
        <v>0.29999999999999893</v>
      </c>
    </row>
    <row r="810" spans="1:24" x14ac:dyDescent="0.3">
      <c r="A810">
        <v>3206</v>
      </c>
      <c r="B810" s="1" t="s">
        <v>829</v>
      </c>
      <c r="C810" s="1" t="s">
        <v>822</v>
      </c>
      <c r="D810">
        <v>22</v>
      </c>
      <c r="E810">
        <v>32</v>
      </c>
      <c r="F810">
        <v>7.4</v>
      </c>
      <c r="G810">
        <v>8</v>
      </c>
      <c r="H810">
        <v>8</v>
      </c>
      <c r="I810">
        <v>8.6</v>
      </c>
      <c r="J810">
        <v>318</v>
      </c>
      <c r="K810">
        <v>1550</v>
      </c>
      <c r="L810">
        <v>1</v>
      </c>
      <c r="M810">
        <v>1</v>
      </c>
      <c r="N810">
        <v>1.02</v>
      </c>
      <c r="O810">
        <v>1.31</v>
      </c>
      <c r="P810">
        <v>4</v>
      </c>
      <c r="Q810">
        <v>30</v>
      </c>
      <c r="R810">
        <v>17</v>
      </c>
      <c r="S810">
        <v>70</v>
      </c>
      <c r="V810">
        <f>River_data[[#This Row],[Dissolved Oxygen Min]]*River_data[[#This Row],[Dissolved Oxygen Max]]/2</f>
        <v>29.6</v>
      </c>
      <c r="W810">
        <f>River_data[[#This Row],[BOD Min]]*River_data[[#This Row],[BOD Max]]/2</f>
        <v>0.5</v>
      </c>
      <c r="X810">
        <f>AVERAGE(River_data[[#This Row],[pH Max]]-River_data[[#This Row],[pH Min]])</f>
        <v>0.59999999999999964</v>
      </c>
    </row>
    <row r="811" spans="1:24" x14ac:dyDescent="0.3">
      <c r="A811">
        <v>4415</v>
      </c>
      <c r="B811" s="1" t="s">
        <v>830</v>
      </c>
      <c r="C811" s="1" t="s">
        <v>822</v>
      </c>
      <c r="D811">
        <v>22</v>
      </c>
      <c r="E811">
        <v>30</v>
      </c>
      <c r="F811">
        <v>7.5</v>
      </c>
      <c r="G811">
        <v>8.5</v>
      </c>
      <c r="H811">
        <v>8.1</v>
      </c>
      <c r="I811">
        <v>8.5</v>
      </c>
      <c r="J811">
        <v>307</v>
      </c>
      <c r="K811">
        <v>554</v>
      </c>
      <c r="L811">
        <v>1</v>
      </c>
      <c r="M811">
        <v>1</v>
      </c>
      <c r="N811">
        <v>0.82</v>
      </c>
      <c r="O811">
        <v>1.36</v>
      </c>
      <c r="P811">
        <v>4</v>
      </c>
      <c r="Q811">
        <v>30</v>
      </c>
      <c r="R811">
        <v>21</v>
      </c>
      <c r="S811">
        <v>70</v>
      </c>
      <c r="V811">
        <f>River_data[[#This Row],[Dissolved Oxygen Min]]*River_data[[#This Row],[Dissolved Oxygen Max]]/2</f>
        <v>31.875</v>
      </c>
      <c r="W811">
        <f>River_data[[#This Row],[BOD Min]]*River_data[[#This Row],[BOD Max]]/2</f>
        <v>0.5</v>
      </c>
      <c r="X811">
        <f>AVERAGE(River_data[[#This Row],[pH Max]]-River_data[[#This Row],[pH Min]])</f>
        <v>0.40000000000000036</v>
      </c>
    </row>
    <row r="812" spans="1:24" x14ac:dyDescent="0.3">
      <c r="A812">
        <v>30050</v>
      </c>
      <c r="B812" s="1" t="s">
        <v>831</v>
      </c>
      <c r="C812" s="1" t="s">
        <v>822</v>
      </c>
      <c r="D812">
        <v>29</v>
      </c>
      <c r="E812">
        <v>29</v>
      </c>
      <c r="F812">
        <v>4.9000000000000004</v>
      </c>
      <c r="G812">
        <v>4.9000000000000004</v>
      </c>
      <c r="H812">
        <v>7.9</v>
      </c>
      <c r="I812">
        <v>7.9</v>
      </c>
      <c r="J812">
        <v>400</v>
      </c>
      <c r="K812">
        <v>400</v>
      </c>
      <c r="L812">
        <v>1.3</v>
      </c>
      <c r="M812">
        <v>1.3</v>
      </c>
      <c r="N812">
        <v>0.32</v>
      </c>
      <c r="O812">
        <v>0.32</v>
      </c>
      <c r="P812">
        <v>170</v>
      </c>
      <c r="Q812">
        <v>170</v>
      </c>
      <c r="R812">
        <v>340</v>
      </c>
      <c r="S812">
        <v>340</v>
      </c>
      <c r="V812">
        <f>River_data[[#This Row],[Dissolved Oxygen Min]]*River_data[[#This Row],[Dissolved Oxygen Max]]/2</f>
        <v>12.005000000000003</v>
      </c>
      <c r="W812">
        <f>River_data[[#This Row],[BOD Min]]*River_data[[#This Row],[BOD Max]]/2</f>
        <v>0.84500000000000008</v>
      </c>
      <c r="X812">
        <f>AVERAGE(River_data[[#This Row],[pH Max]]-River_data[[#This Row],[pH Min]])</f>
        <v>0</v>
      </c>
    </row>
    <row r="813" spans="1:24" x14ac:dyDescent="0.3">
      <c r="A813">
        <v>1233</v>
      </c>
      <c r="B813" s="1" t="s">
        <v>832</v>
      </c>
      <c r="C813" s="1" t="s">
        <v>352</v>
      </c>
      <c r="D813">
        <v>20</v>
      </c>
      <c r="E813">
        <v>22</v>
      </c>
      <c r="F813">
        <v>7</v>
      </c>
      <c r="G813">
        <v>7.8</v>
      </c>
      <c r="H813">
        <v>7.1</v>
      </c>
      <c r="I813">
        <v>8.4</v>
      </c>
      <c r="J813">
        <v>274</v>
      </c>
      <c r="K813">
        <v>603</v>
      </c>
      <c r="L813">
        <v>1</v>
      </c>
      <c r="M813">
        <v>1.4</v>
      </c>
      <c r="N813">
        <v>0.8</v>
      </c>
      <c r="O813">
        <v>1.59</v>
      </c>
      <c r="P813">
        <v>2</v>
      </c>
      <c r="Q813">
        <v>2</v>
      </c>
      <c r="R813">
        <v>40</v>
      </c>
      <c r="S813">
        <v>49</v>
      </c>
      <c r="V813">
        <f>River_data[[#This Row],[Dissolved Oxygen Min]]*River_data[[#This Row],[Dissolved Oxygen Max]]/2</f>
        <v>27.3</v>
      </c>
      <c r="W813">
        <f>River_data[[#This Row],[BOD Min]]*River_data[[#This Row],[BOD Max]]/2</f>
        <v>0.7</v>
      </c>
      <c r="X813">
        <f>AVERAGE(River_data[[#This Row],[pH Max]]-River_data[[#This Row],[pH Min]])</f>
        <v>1.3000000000000007</v>
      </c>
    </row>
    <row r="814" spans="1:24" x14ac:dyDescent="0.3">
      <c r="A814">
        <v>3318</v>
      </c>
      <c r="B814" s="1" t="s">
        <v>833</v>
      </c>
      <c r="C814" s="1" t="s">
        <v>352</v>
      </c>
      <c r="D814">
        <v>21</v>
      </c>
      <c r="E814">
        <v>29</v>
      </c>
      <c r="F814">
        <v>7</v>
      </c>
      <c r="G814">
        <v>7.5</v>
      </c>
      <c r="H814">
        <v>7.6</v>
      </c>
      <c r="I814">
        <v>7.9</v>
      </c>
      <c r="J814">
        <v>270</v>
      </c>
      <c r="K814">
        <v>390</v>
      </c>
      <c r="L814">
        <v>1.6</v>
      </c>
      <c r="M814">
        <v>2</v>
      </c>
      <c r="N814">
        <v>0.32</v>
      </c>
      <c r="O814">
        <v>1.01</v>
      </c>
      <c r="P814">
        <v>2</v>
      </c>
      <c r="Q814">
        <v>2</v>
      </c>
      <c r="R814">
        <v>46</v>
      </c>
      <c r="S814">
        <v>48</v>
      </c>
      <c r="T814">
        <v>2</v>
      </c>
      <c r="U814">
        <v>2</v>
      </c>
      <c r="V814">
        <f>River_data[[#This Row],[Dissolved Oxygen Min]]*River_data[[#This Row],[Dissolved Oxygen Max]]/2</f>
        <v>26.25</v>
      </c>
      <c r="W814">
        <f>River_data[[#This Row],[BOD Min]]*River_data[[#This Row],[BOD Max]]/2</f>
        <v>1.6</v>
      </c>
      <c r="X814">
        <f>AVERAGE(River_data[[#This Row],[pH Max]]-River_data[[#This Row],[pH Min]])</f>
        <v>0.30000000000000071</v>
      </c>
    </row>
    <row r="815" spans="1:24" x14ac:dyDescent="0.3">
      <c r="A815">
        <v>4608</v>
      </c>
      <c r="B815" s="1" t="s">
        <v>834</v>
      </c>
      <c r="C815" s="1" t="s">
        <v>352</v>
      </c>
      <c r="D815">
        <v>20</v>
      </c>
      <c r="E815">
        <v>29</v>
      </c>
      <c r="F815">
        <v>7.2</v>
      </c>
      <c r="G815">
        <v>7.6</v>
      </c>
      <c r="H815">
        <v>7.5</v>
      </c>
      <c r="I815">
        <v>8.5</v>
      </c>
      <c r="J815">
        <v>224</v>
      </c>
      <c r="K815">
        <v>476</v>
      </c>
      <c r="L815">
        <v>1.6</v>
      </c>
      <c r="M815">
        <v>2</v>
      </c>
      <c r="N815">
        <v>0.32</v>
      </c>
      <c r="O815">
        <v>0.75</v>
      </c>
      <c r="P815">
        <v>2</v>
      </c>
      <c r="Q815">
        <v>2</v>
      </c>
      <c r="R815">
        <v>46</v>
      </c>
      <c r="S815">
        <v>49</v>
      </c>
      <c r="T815">
        <v>2</v>
      </c>
      <c r="U815">
        <v>2</v>
      </c>
      <c r="V815">
        <f>River_data[[#This Row],[Dissolved Oxygen Min]]*River_data[[#This Row],[Dissolved Oxygen Max]]/2</f>
        <v>27.36</v>
      </c>
      <c r="W815">
        <f>River_data[[#This Row],[BOD Min]]*River_data[[#This Row],[BOD Max]]/2</f>
        <v>1.6</v>
      </c>
      <c r="X815">
        <f>AVERAGE(River_data[[#This Row],[pH Max]]-River_data[[#This Row],[pH Min]])</f>
        <v>1</v>
      </c>
    </row>
    <row r="816" spans="1:24" x14ac:dyDescent="0.3">
      <c r="A816">
        <v>30058</v>
      </c>
      <c r="B816" s="1" t="s">
        <v>835</v>
      </c>
      <c r="C816" s="1" t="s">
        <v>352</v>
      </c>
      <c r="D816">
        <v>22</v>
      </c>
      <c r="E816">
        <v>26</v>
      </c>
      <c r="F816">
        <v>8.4</v>
      </c>
      <c r="G816">
        <v>8.9</v>
      </c>
      <c r="H816">
        <v>7.4</v>
      </c>
      <c r="I816">
        <v>8.1999999999999993</v>
      </c>
      <c r="J816">
        <v>162</v>
      </c>
      <c r="K816">
        <v>355</v>
      </c>
      <c r="L816">
        <v>2</v>
      </c>
      <c r="M816">
        <v>2.2999999999999998</v>
      </c>
      <c r="N816">
        <v>0.32</v>
      </c>
      <c r="O816">
        <v>0.92</v>
      </c>
      <c r="P816">
        <v>2</v>
      </c>
      <c r="Q816">
        <v>12</v>
      </c>
      <c r="R816">
        <v>130</v>
      </c>
      <c r="S816">
        <v>150</v>
      </c>
      <c r="T816">
        <v>2</v>
      </c>
      <c r="U816">
        <v>2</v>
      </c>
      <c r="V816">
        <f>River_data[[#This Row],[Dissolved Oxygen Min]]*River_data[[#This Row],[Dissolved Oxygen Max]]/2</f>
        <v>37.380000000000003</v>
      </c>
      <c r="W816">
        <f>River_data[[#This Row],[BOD Min]]*River_data[[#This Row],[BOD Max]]/2</f>
        <v>2.2999999999999998</v>
      </c>
      <c r="X816">
        <f>AVERAGE(River_data[[#This Row],[pH Max]]-River_data[[#This Row],[pH Min]])</f>
        <v>0.79999999999999893</v>
      </c>
    </row>
    <row r="817" spans="1:24" x14ac:dyDescent="0.3">
      <c r="A817">
        <v>3848</v>
      </c>
      <c r="B817" s="1" t="s">
        <v>836</v>
      </c>
      <c r="C817" s="1" t="s">
        <v>352</v>
      </c>
      <c r="D817">
        <v>20</v>
      </c>
      <c r="E817">
        <v>22</v>
      </c>
      <c r="F817">
        <v>6.9</v>
      </c>
      <c r="G817">
        <v>7.6</v>
      </c>
      <c r="H817">
        <v>7</v>
      </c>
      <c r="I817">
        <v>8.5</v>
      </c>
      <c r="J817">
        <v>302</v>
      </c>
      <c r="K817">
        <v>445</v>
      </c>
      <c r="L817">
        <v>1</v>
      </c>
      <c r="M817">
        <v>1.8</v>
      </c>
      <c r="N817">
        <v>0.73</v>
      </c>
      <c r="O817">
        <v>1.55</v>
      </c>
      <c r="P817">
        <v>2</v>
      </c>
      <c r="Q817">
        <v>2</v>
      </c>
      <c r="R817">
        <v>2</v>
      </c>
      <c r="S817">
        <v>49</v>
      </c>
      <c r="T817">
        <v>2</v>
      </c>
      <c r="U817">
        <v>2</v>
      </c>
      <c r="V817">
        <f>River_data[[#This Row],[Dissolved Oxygen Min]]*River_data[[#This Row],[Dissolved Oxygen Max]]/2</f>
        <v>26.22</v>
      </c>
      <c r="W817">
        <f>River_data[[#This Row],[BOD Min]]*River_data[[#This Row],[BOD Max]]/2</f>
        <v>0.9</v>
      </c>
      <c r="X817">
        <f>AVERAGE(River_data[[#This Row],[pH Max]]-River_data[[#This Row],[pH Min]])</f>
        <v>1.5</v>
      </c>
    </row>
    <row r="818" spans="1:24" x14ac:dyDescent="0.3">
      <c r="A818">
        <v>1228</v>
      </c>
      <c r="B818" s="1" t="s">
        <v>837</v>
      </c>
      <c r="C818" s="1" t="s">
        <v>822</v>
      </c>
      <c r="D818">
        <v>24</v>
      </c>
      <c r="E818">
        <v>29</v>
      </c>
      <c r="F818">
        <v>7.4</v>
      </c>
      <c r="G818">
        <v>8.1999999999999993</v>
      </c>
      <c r="H818">
        <v>8.1</v>
      </c>
      <c r="I818">
        <v>8.5</v>
      </c>
      <c r="J818">
        <v>295</v>
      </c>
      <c r="K818">
        <v>572</v>
      </c>
      <c r="L818">
        <v>1</v>
      </c>
      <c r="M818">
        <v>1</v>
      </c>
      <c r="N818">
        <v>0.32</v>
      </c>
      <c r="O818">
        <v>0.44</v>
      </c>
      <c r="P818">
        <v>2</v>
      </c>
      <c r="Q818">
        <v>14</v>
      </c>
      <c r="R818">
        <v>11</v>
      </c>
      <c r="S818">
        <v>70</v>
      </c>
      <c r="T818">
        <v>2</v>
      </c>
      <c r="U818">
        <v>2</v>
      </c>
      <c r="V818">
        <f>River_data[[#This Row],[Dissolved Oxygen Min]]*River_data[[#This Row],[Dissolved Oxygen Max]]/2</f>
        <v>30.34</v>
      </c>
      <c r="W818">
        <f>River_data[[#This Row],[BOD Min]]*River_data[[#This Row],[BOD Max]]/2</f>
        <v>0.5</v>
      </c>
      <c r="X818">
        <f>AVERAGE(River_data[[#This Row],[pH Max]]-River_data[[#This Row],[pH Min]])</f>
        <v>0.40000000000000036</v>
      </c>
    </row>
    <row r="819" spans="1:24" x14ac:dyDescent="0.3">
      <c r="A819">
        <v>2104</v>
      </c>
      <c r="B819" s="1" t="s">
        <v>838</v>
      </c>
      <c r="C819" s="1" t="s">
        <v>352</v>
      </c>
      <c r="D819">
        <v>22</v>
      </c>
      <c r="E819">
        <v>28</v>
      </c>
      <c r="F819">
        <v>7.1</v>
      </c>
      <c r="G819">
        <v>7.5</v>
      </c>
      <c r="H819">
        <v>6.9</v>
      </c>
      <c r="I819">
        <v>8.1999999999999993</v>
      </c>
      <c r="J819">
        <v>260</v>
      </c>
      <c r="K819">
        <v>868</v>
      </c>
      <c r="L819">
        <v>1.8</v>
      </c>
      <c r="M819">
        <v>2.1</v>
      </c>
      <c r="N819">
        <v>0.32</v>
      </c>
      <c r="O819">
        <v>2.96</v>
      </c>
      <c r="P819">
        <v>2</v>
      </c>
      <c r="Q819">
        <v>2</v>
      </c>
      <c r="R819">
        <v>41</v>
      </c>
      <c r="S819">
        <v>49</v>
      </c>
      <c r="T819">
        <v>2</v>
      </c>
      <c r="U819">
        <v>2</v>
      </c>
      <c r="V819">
        <f>River_data[[#This Row],[Dissolved Oxygen Min]]*River_data[[#This Row],[Dissolved Oxygen Max]]/2</f>
        <v>26.625</v>
      </c>
      <c r="W819">
        <f>River_data[[#This Row],[BOD Min]]*River_data[[#This Row],[BOD Max]]/2</f>
        <v>1.8900000000000001</v>
      </c>
      <c r="X819">
        <f>AVERAGE(River_data[[#This Row],[pH Max]]-River_data[[#This Row],[pH Min]])</f>
        <v>1.2999999999999989</v>
      </c>
    </row>
    <row r="820" spans="1:24" x14ac:dyDescent="0.3">
      <c r="A820">
        <v>2102</v>
      </c>
      <c r="B820" s="1" t="s">
        <v>839</v>
      </c>
      <c r="C820" s="1" t="s">
        <v>352</v>
      </c>
      <c r="D820">
        <v>24</v>
      </c>
      <c r="E820">
        <v>28</v>
      </c>
      <c r="F820">
        <v>7.4</v>
      </c>
      <c r="G820">
        <v>7.7</v>
      </c>
      <c r="H820">
        <v>7.4</v>
      </c>
      <c r="I820">
        <v>8.1</v>
      </c>
      <c r="J820">
        <v>266</v>
      </c>
      <c r="K820">
        <v>637</v>
      </c>
      <c r="L820">
        <v>2</v>
      </c>
      <c r="M820">
        <v>2</v>
      </c>
      <c r="N820">
        <v>0.32</v>
      </c>
      <c r="O820">
        <v>0.93</v>
      </c>
      <c r="P820">
        <v>2</v>
      </c>
      <c r="Q820">
        <v>2</v>
      </c>
      <c r="R820">
        <v>48</v>
      </c>
      <c r="S820">
        <v>49</v>
      </c>
      <c r="T820">
        <v>2</v>
      </c>
      <c r="U820">
        <v>2</v>
      </c>
      <c r="V820">
        <f>River_data[[#This Row],[Dissolved Oxygen Min]]*River_data[[#This Row],[Dissolved Oxygen Max]]/2</f>
        <v>28.490000000000002</v>
      </c>
      <c r="W820">
        <f>River_data[[#This Row],[BOD Min]]*River_data[[#This Row],[BOD Max]]/2</f>
        <v>2</v>
      </c>
      <c r="X820">
        <f>AVERAGE(River_data[[#This Row],[pH Max]]-River_data[[#This Row],[pH Min]])</f>
        <v>0.69999999999999929</v>
      </c>
    </row>
    <row r="821" spans="1:24" x14ac:dyDescent="0.3">
      <c r="A821">
        <v>1227</v>
      </c>
      <c r="B821" s="1" t="s">
        <v>840</v>
      </c>
      <c r="C821" s="1" t="s">
        <v>822</v>
      </c>
      <c r="D821">
        <v>24</v>
      </c>
      <c r="E821">
        <v>30</v>
      </c>
      <c r="F821">
        <v>7.4</v>
      </c>
      <c r="G821">
        <v>8.1999999999999993</v>
      </c>
      <c r="H821">
        <v>8</v>
      </c>
      <c r="I821">
        <v>8.5</v>
      </c>
      <c r="J821">
        <v>231</v>
      </c>
      <c r="K821">
        <v>477</v>
      </c>
      <c r="L821">
        <v>1</v>
      </c>
      <c r="M821">
        <v>1</v>
      </c>
      <c r="N821">
        <v>0.32</v>
      </c>
      <c r="O821">
        <v>0.38</v>
      </c>
      <c r="P821">
        <v>2</v>
      </c>
      <c r="Q821">
        <v>9</v>
      </c>
      <c r="R821">
        <v>11</v>
      </c>
      <c r="S821">
        <v>50</v>
      </c>
      <c r="V821">
        <f>River_data[[#This Row],[Dissolved Oxygen Min]]*River_data[[#This Row],[Dissolved Oxygen Max]]/2</f>
        <v>30.34</v>
      </c>
      <c r="W821">
        <f>River_data[[#This Row],[BOD Min]]*River_data[[#This Row],[BOD Max]]/2</f>
        <v>0.5</v>
      </c>
      <c r="X821">
        <f>AVERAGE(River_data[[#This Row],[pH Max]]-River_data[[#This Row],[pH Min]])</f>
        <v>0.5</v>
      </c>
    </row>
    <row r="822" spans="1:24" x14ac:dyDescent="0.3">
      <c r="A822">
        <v>2105</v>
      </c>
      <c r="B822" s="1" t="s">
        <v>841</v>
      </c>
      <c r="C822" s="1" t="s">
        <v>352</v>
      </c>
      <c r="D822">
        <v>23</v>
      </c>
      <c r="E822">
        <v>28</v>
      </c>
      <c r="F822">
        <v>6.7</v>
      </c>
      <c r="G822">
        <v>7.5</v>
      </c>
      <c r="H822">
        <v>7.3</v>
      </c>
      <c r="I822">
        <v>7.9</v>
      </c>
      <c r="J822">
        <v>252</v>
      </c>
      <c r="K822">
        <v>450</v>
      </c>
      <c r="L822">
        <v>1.6</v>
      </c>
      <c r="M822">
        <v>2</v>
      </c>
      <c r="N822">
        <v>0.32</v>
      </c>
      <c r="O822">
        <v>0.9</v>
      </c>
      <c r="P822">
        <v>2</v>
      </c>
      <c r="Q822">
        <v>2</v>
      </c>
      <c r="R822">
        <v>47</v>
      </c>
      <c r="S822">
        <v>49</v>
      </c>
      <c r="T822">
        <v>2</v>
      </c>
      <c r="U822">
        <v>2</v>
      </c>
      <c r="V822">
        <f>River_data[[#This Row],[Dissolved Oxygen Min]]*River_data[[#This Row],[Dissolved Oxygen Max]]/2</f>
        <v>25.125</v>
      </c>
      <c r="W822">
        <f>River_data[[#This Row],[BOD Min]]*River_data[[#This Row],[BOD Max]]/2</f>
        <v>1.6</v>
      </c>
      <c r="X822">
        <f>AVERAGE(River_data[[#This Row],[pH Max]]-River_data[[#This Row],[pH Min]])</f>
        <v>0.60000000000000053</v>
      </c>
    </row>
    <row r="823" spans="1:24" x14ac:dyDescent="0.3">
      <c r="A823">
        <v>2103</v>
      </c>
      <c r="B823" s="1" t="s">
        <v>842</v>
      </c>
      <c r="C823" s="1" t="s">
        <v>352</v>
      </c>
      <c r="D823">
        <v>20</v>
      </c>
      <c r="E823">
        <v>29</v>
      </c>
      <c r="F823">
        <v>7</v>
      </c>
      <c r="G823">
        <v>7.6</v>
      </c>
      <c r="H823">
        <v>7.4</v>
      </c>
      <c r="I823">
        <v>7.7</v>
      </c>
      <c r="J823">
        <v>130</v>
      </c>
      <c r="K823">
        <v>375</v>
      </c>
      <c r="L823">
        <v>1.4</v>
      </c>
      <c r="M823">
        <v>2</v>
      </c>
      <c r="N823">
        <v>0.32</v>
      </c>
      <c r="O823">
        <v>0.98</v>
      </c>
      <c r="P823">
        <v>2</v>
      </c>
      <c r="Q823">
        <v>2</v>
      </c>
      <c r="R823">
        <v>46</v>
      </c>
      <c r="S823">
        <v>49</v>
      </c>
      <c r="T823">
        <v>2</v>
      </c>
      <c r="U823">
        <v>2</v>
      </c>
      <c r="V823">
        <f>River_data[[#This Row],[Dissolved Oxygen Min]]*River_data[[#This Row],[Dissolved Oxygen Max]]/2</f>
        <v>26.599999999999998</v>
      </c>
      <c r="W823">
        <f>River_data[[#This Row],[BOD Min]]*River_data[[#This Row],[BOD Max]]/2</f>
        <v>1.4</v>
      </c>
      <c r="X823">
        <f>AVERAGE(River_data[[#This Row],[pH Max]]-River_data[[#This Row],[pH Min]])</f>
        <v>0.29999999999999982</v>
      </c>
    </row>
    <row r="824" spans="1:24" x14ac:dyDescent="0.3">
      <c r="A824">
        <v>5476</v>
      </c>
      <c r="B824" s="1" t="s">
        <v>843</v>
      </c>
      <c r="C824" s="1" t="s">
        <v>359</v>
      </c>
      <c r="D824">
        <v>27</v>
      </c>
      <c r="E824">
        <v>29</v>
      </c>
      <c r="F824">
        <v>4</v>
      </c>
      <c r="G824">
        <v>5.4</v>
      </c>
      <c r="H824">
        <v>7.4</v>
      </c>
      <c r="I824">
        <v>7.6</v>
      </c>
      <c r="J824">
        <v>280</v>
      </c>
      <c r="K824">
        <v>542</v>
      </c>
      <c r="L824">
        <v>2.1</v>
      </c>
      <c r="M824">
        <v>2.6</v>
      </c>
      <c r="N824">
        <v>5.23</v>
      </c>
      <c r="O824">
        <v>8.52</v>
      </c>
      <c r="P824">
        <v>80</v>
      </c>
      <c r="Q824">
        <v>110</v>
      </c>
      <c r="R824">
        <v>140</v>
      </c>
      <c r="S824">
        <v>180</v>
      </c>
      <c r="T824">
        <v>17</v>
      </c>
      <c r="U824">
        <v>26</v>
      </c>
      <c r="V824">
        <f>River_data[[#This Row],[Dissolved Oxygen Min]]*River_data[[#This Row],[Dissolved Oxygen Max]]/2</f>
        <v>10.8</v>
      </c>
      <c r="W824">
        <f>River_data[[#This Row],[BOD Min]]*River_data[[#This Row],[BOD Max]]/2</f>
        <v>2.7300000000000004</v>
      </c>
      <c r="X824">
        <f>AVERAGE(River_data[[#This Row],[pH Max]]-River_data[[#This Row],[pH Min]])</f>
        <v>0.19999999999999929</v>
      </c>
    </row>
    <row r="825" spans="1:24" x14ac:dyDescent="0.3">
      <c r="A825">
        <v>4620</v>
      </c>
      <c r="B825" s="1" t="s">
        <v>844</v>
      </c>
      <c r="C825" s="1" t="s">
        <v>352</v>
      </c>
      <c r="D825">
        <v>20</v>
      </c>
      <c r="E825">
        <v>21.5</v>
      </c>
      <c r="F825">
        <v>6.9</v>
      </c>
      <c r="G825">
        <v>7.7</v>
      </c>
      <c r="H825">
        <v>7.5</v>
      </c>
      <c r="I825">
        <v>8.3000000000000007</v>
      </c>
      <c r="J825">
        <v>300</v>
      </c>
      <c r="K825">
        <v>539</v>
      </c>
      <c r="L825">
        <v>1</v>
      </c>
      <c r="M825">
        <v>1.2</v>
      </c>
      <c r="N825">
        <v>0.54</v>
      </c>
      <c r="O825">
        <v>1.69</v>
      </c>
      <c r="P825">
        <v>2</v>
      </c>
      <c r="Q825">
        <v>2</v>
      </c>
      <c r="R825">
        <v>34</v>
      </c>
      <c r="S825">
        <v>49</v>
      </c>
      <c r="T825">
        <v>2</v>
      </c>
      <c r="U825">
        <v>2</v>
      </c>
      <c r="V825">
        <f>River_data[[#This Row],[Dissolved Oxygen Min]]*River_data[[#This Row],[Dissolved Oxygen Max]]/2</f>
        <v>26.565000000000001</v>
      </c>
      <c r="W825">
        <f>River_data[[#This Row],[BOD Min]]*River_data[[#This Row],[BOD Max]]/2</f>
        <v>0.6</v>
      </c>
      <c r="X825">
        <f>AVERAGE(River_data[[#This Row],[pH Max]]-River_data[[#This Row],[pH Min]])</f>
        <v>0.80000000000000071</v>
      </c>
    </row>
    <row r="826" spans="1:24" x14ac:dyDescent="0.3">
      <c r="A826">
        <v>1221</v>
      </c>
      <c r="B826" s="1" t="s">
        <v>845</v>
      </c>
      <c r="C826" s="1" t="s">
        <v>822</v>
      </c>
      <c r="D826">
        <v>25</v>
      </c>
      <c r="E826">
        <v>27</v>
      </c>
      <c r="F826">
        <v>5</v>
      </c>
      <c r="G826">
        <v>7.6</v>
      </c>
      <c r="H826">
        <v>7.2</v>
      </c>
      <c r="I826">
        <v>8.1999999999999993</v>
      </c>
      <c r="J826">
        <v>380</v>
      </c>
      <c r="K826">
        <v>765</v>
      </c>
      <c r="L826">
        <v>1</v>
      </c>
      <c r="M826">
        <v>1.3</v>
      </c>
      <c r="N826">
        <v>0.32</v>
      </c>
      <c r="O826">
        <v>1.03</v>
      </c>
      <c r="P826">
        <v>2</v>
      </c>
      <c r="Q826">
        <v>12</v>
      </c>
      <c r="R826">
        <v>6</v>
      </c>
      <c r="S826">
        <v>70</v>
      </c>
      <c r="T826">
        <v>2</v>
      </c>
      <c r="U826">
        <v>2</v>
      </c>
      <c r="V826">
        <f>River_data[[#This Row],[Dissolved Oxygen Min]]*River_data[[#This Row],[Dissolved Oxygen Max]]/2</f>
        <v>19</v>
      </c>
      <c r="W826">
        <f>River_data[[#This Row],[BOD Min]]*River_data[[#This Row],[BOD Max]]/2</f>
        <v>0.65</v>
      </c>
      <c r="X826">
        <f>AVERAGE(River_data[[#This Row],[pH Max]]-River_data[[#This Row],[pH Min]])</f>
        <v>0.99999999999999911</v>
      </c>
    </row>
    <row r="827" spans="1:24" x14ac:dyDescent="0.3">
      <c r="A827">
        <v>1223</v>
      </c>
      <c r="B827" s="1" t="s">
        <v>846</v>
      </c>
      <c r="C827" s="1" t="s">
        <v>822</v>
      </c>
      <c r="D827">
        <v>20</v>
      </c>
      <c r="E827">
        <v>32</v>
      </c>
      <c r="F827">
        <v>0.3</v>
      </c>
      <c r="G827">
        <v>5.0999999999999996</v>
      </c>
      <c r="H827">
        <v>7.4</v>
      </c>
      <c r="I827">
        <v>8.4</v>
      </c>
      <c r="J827">
        <v>680</v>
      </c>
      <c r="K827">
        <v>2513</v>
      </c>
      <c r="L827">
        <v>7</v>
      </c>
      <c r="M827">
        <v>27</v>
      </c>
      <c r="N827">
        <v>0.33</v>
      </c>
      <c r="O827">
        <v>2.27</v>
      </c>
      <c r="P827">
        <v>1600</v>
      </c>
      <c r="Q827">
        <v>1600</v>
      </c>
      <c r="R827">
        <v>1600</v>
      </c>
      <c r="S827">
        <v>1600</v>
      </c>
      <c r="V827">
        <f>River_data[[#This Row],[Dissolved Oxygen Min]]*River_data[[#This Row],[Dissolved Oxygen Max]]/2</f>
        <v>0.7649999999999999</v>
      </c>
      <c r="W827">
        <f>River_data[[#This Row],[BOD Min]]*River_data[[#This Row],[BOD Max]]/2</f>
        <v>94.5</v>
      </c>
      <c r="X827">
        <f>AVERAGE(River_data[[#This Row],[pH Max]]-River_data[[#This Row],[pH Min]])</f>
        <v>1</v>
      </c>
    </row>
    <row r="828" spans="1:24" x14ac:dyDescent="0.3">
      <c r="A828">
        <v>1409</v>
      </c>
      <c r="B828" s="1" t="s">
        <v>847</v>
      </c>
      <c r="C828" s="1" t="s">
        <v>822</v>
      </c>
      <c r="D828">
        <v>27</v>
      </c>
      <c r="E828">
        <v>30</v>
      </c>
      <c r="F828">
        <v>2.7</v>
      </c>
      <c r="G828">
        <v>6.8</v>
      </c>
      <c r="H828">
        <v>7</v>
      </c>
      <c r="I828">
        <v>8.3000000000000007</v>
      </c>
      <c r="J828">
        <v>302</v>
      </c>
      <c r="K828">
        <v>590</v>
      </c>
      <c r="L828">
        <v>1</v>
      </c>
      <c r="M828">
        <v>4.0999999999999996</v>
      </c>
      <c r="N828">
        <v>0.4</v>
      </c>
      <c r="O828">
        <v>1.36</v>
      </c>
      <c r="P828">
        <v>21</v>
      </c>
      <c r="Q828">
        <v>170</v>
      </c>
      <c r="R828">
        <v>110</v>
      </c>
      <c r="S828">
        <v>540</v>
      </c>
      <c r="V828">
        <f>River_data[[#This Row],[Dissolved Oxygen Min]]*River_data[[#This Row],[Dissolved Oxygen Max]]/2</f>
        <v>9.18</v>
      </c>
      <c r="W828">
        <f>River_data[[#This Row],[BOD Min]]*River_data[[#This Row],[BOD Max]]/2</f>
        <v>2.0499999999999998</v>
      </c>
      <c r="X828">
        <f>AVERAGE(River_data[[#This Row],[pH Max]]-River_data[[#This Row],[pH Min]])</f>
        <v>1.3000000000000007</v>
      </c>
    </row>
    <row r="829" spans="1:24" x14ac:dyDescent="0.3">
      <c r="A829">
        <v>1866</v>
      </c>
      <c r="B829" s="1" t="s">
        <v>848</v>
      </c>
      <c r="C829" s="1" t="s">
        <v>822</v>
      </c>
      <c r="D829">
        <v>26</v>
      </c>
      <c r="E829">
        <v>30</v>
      </c>
      <c r="F829">
        <v>4.2</v>
      </c>
      <c r="G829">
        <v>7.6</v>
      </c>
      <c r="H829">
        <v>7.4</v>
      </c>
      <c r="I829">
        <v>8.1999999999999993</v>
      </c>
      <c r="J829">
        <v>278</v>
      </c>
      <c r="K829">
        <v>402</v>
      </c>
      <c r="L829">
        <v>1</v>
      </c>
      <c r="M829">
        <v>1.8</v>
      </c>
      <c r="N829">
        <v>0.41</v>
      </c>
      <c r="O829">
        <v>1.61</v>
      </c>
      <c r="P829">
        <v>2</v>
      </c>
      <c r="Q829">
        <v>33</v>
      </c>
      <c r="R829">
        <v>17</v>
      </c>
      <c r="S829">
        <v>170</v>
      </c>
      <c r="V829">
        <f>River_data[[#This Row],[Dissolved Oxygen Min]]*River_data[[#This Row],[Dissolved Oxygen Max]]/2</f>
        <v>15.959999999999999</v>
      </c>
      <c r="W829">
        <f>River_data[[#This Row],[BOD Min]]*River_data[[#This Row],[BOD Max]]/2</f>
        <v>0.9</v>
      </c>
      <c r="X829">
        <f>AVERAGE(River_data[[#This Row],[pH Max]]-River_data[[#This Row],[pH Min]])</f>
        <v>0.79999999999999893</v>
      </c>
    </row>
    <row r="830" spans="1:24" x14ac:dyDescent="0.3">
      <c r="A830">
        <v>1</v>
      </c>
      <c r="B830" s="1" t="s">
        <v>849</v>
      </c>
      <c r="C830" s="1" t="s">
        <v>822</v>
      </c>
      <c r="D830">
        <v>28</v>
      </c>
      <c r="E830">
        <v>28</v>
      </c>
      <c r="F830">
        <v>2.8</v>
      </c>
      <c r="G830">
        <v>2.8</v>
      </c>
      <c r="H830">
        <v>7.9</v>
      </c>
      <c r="I830">
        <v>7.9</v>
      </c>
      <c r="J830">
        <v>560</v>
      </c>
      <c r="K830">
        <v>560</v>
      </c>
      <c r="L830">
        <v>5</v>
      </c>
      <c r="M830">
        <v>5</v>
      </c>
      <c r="N830">
        <v>2.4</v>
      </c>
      <c r="O830">
        <v>2.4</v>
      </c>
      <c r="P830">
        <v>1600</v>
      </c>
      <c r="Q830">
        <v>1600</v>
      </c>
      <c r="R830">
        <v>1600</v>
      </c>
      <c r="S830">
        <v>1600</v>
      </c>
      <c r="T830">
        <v>1600</v>
      </c>
      <c r="U830">
        <v>1600</v>
      </c>
      <c r="V830">
        <f>River_data[[#This Row],[Dissolved Oxygen Min]]*River_data[[#This Row],[Dissolved Oxygen Max]]/2</f>
        <v>3.9199999999999995</v>
      </c>
      <c r="W830">
        <f>River_data[[#This Row],[BOD Min]]*River_data[[#This Row],[BOD Max]]/2</f>
        <v>12.5</v>
      </c>
      <c r="X830">
        <f>AVERAGE(River_data[[#This Row],[pH Max]]-River_data[[#This Row],[pH Min]])</f>
        <v>0</v>
      </c>
    </row>
    <row r="831" spans="1:24" x14ac:dyDescent="0.3">
      <c r="A831">
        <v>2</v>
      </c>
      <c r="B831" s="1" t="s">
        <v>850</v>
      </c>
      <c r="C831" s="1" t="s">
        <v>822</v>
      </c>
      <c r="D831">
        <v>27</v>
      </c>
      <c r="E831">
        <v>30</v>
      </c>
      <c r="F831">
        <v>0.3</v>
      </c>
      <c r="G831">
        <v>1.2</v>
      </c>
      <c r="H831">
        <v>7.1</v>
      </c>
      <c r="I831">
        <v>8</v>
      </c>
      <c r="J831">
        <v>697</v>
      </c>
      <c r="K831">
        <v>2741</v>
      </c>
      <c r="L831">
        <v>12</v>
      </c>
      <c r="M831">
        <v>105</v>
      </c>
      <c r="N831">
        <v>0.4</v>
      </c>
      <c r="O831">
        <v>24.85</v>
      </c>
      <c r="P831">
        <v>1600</v>
      </c>
      <c r="Q831">
        <v>1600</v>
      </c>
      <c r="R831">
        <v>1600</v>
      </c>
      <c r="S831">
        <v>1600</v>
      </c>
      <c r="T831">
        <v>1600</v>
      </c>
      <c r="U831">
        <v>1600</v>
      </c>
      <c r="V831">
        <f>River_data[[#This Row],[Dissolved Oxygen Min]]*River_data[[#This Row],[Dissolved Oxygen Max]]/2</f>
        <v>0.18</v>
      </c>
      <c r="W831">
        <f>River_data[[#This Row],[BOD Min]]*River_data[[#This Row],[BOD Max]]/2</f>
        <v>630</v>
      </c>
      <c r="X831">
        <f>AVERAGE(River_data[[#This Row],[pH Max]]-River_data[[#This Row],[pH Min]])</f>
        <v>0.90000000000000036</v>
      </c>
    </row>
    <row r="832" spans="1:24" x14ac:dyDescent="0.3">
      <c r="A832">
        <v>1408</v>
      </c>
      <c r="B832" s="1" t="s">
        <v>851</v>
      </c>
      <c r="C832" s="1" t="s">
        <v>822</v>
      </c>
      <c r="D832">
        <v>28</v>
      </c>
      <c r="E832">
        <v>32</v>
      </c>
      <c r="F832">
        <v>0.3</v>
      </c>
      <c r="G832">
        <v>4.8</v>
      </c>
      <c r="H832">
        <v>7.2</v>
      </c>
      <c r="I832">
        <v>8</v>
      </c>
      <c r="J832">
        <v>889</v>
      </c>
      <c r="K832">
        <v>6274</v>
      </c>
      <c r="L832">
        <v>8</v>
      </c>
      <c r="M832">
        <v>31</v>
      </c>
      <c r="N832">
        <v>0</v>
      </c>
      <c r="O832">
        <v>1.06</v>
      </c>
      <c r="P832">
        <v>160</v>
      </c>
      <c r="Q832">
        <v>1600</v>
      </c>
      <c r="R832">
        <v>1600</v>
      </c>
      <c r="S832">
        <v>1600</v>
      </c>
      <c r="T832">
        <v>1600</v>
      </c>
      <c r="U832">
        <v>1600</v>
      </c>
      <c r="V832">
        <f>River_data[[#This Row],[Dissolved Oxygen Min]]*River_data[[#This Row],[Dissolved Oxygen Max]]/2</f>
        <v>0.72</v>
      </c>
      <c r="W832">
        <f>River_data[[#This Row],[BOD Min]]*River_data[[#This Row],[BOD Max]]/2</f>
        <v>124</v>
      </c>
      <c r="X832">
        <f>AVERAGE(River_data[[#This Row],[pH Max]]-River_data[[#This Row],[pH Min]])</f>
        <v>0.79999999999999982</v>
      </c>
    </row>
    <row r="833" spans="1:24" x14ac:dyDescent="0.3">
      <c r="A833">
        <v>2075</v>
      </c>
      <c r="B833" s="1" t="s">
        <v>852</v>
      </c>
      <c r="C833" s="1" t="s">
        <v>822</v>
      </c>
      <c r="D833">
        <v>25</v>
      </c>
      <c r="E833">
        <v>30</v>
      </c>
      <c r="F833">
        <v>5.4</v>
      </c>
      <c r="G833">
        <v>7.3</v>
      </c>
      <c r="H833">
        <v>7.7</v>
      </c>
      <c r="I833">
        <v>8.3000000000000007</v>
      </c>
      <c r="J833">
        <v>384</v>
      </c>
      <c r="K833">
        <v>560</v>
      </c>
      <c r="L833">
        <v>1</v>
      </c>
      <c r="M833">
        <v>1.7</v>
      </c>
      <c r="N833">
        <v>0.32</v>
      </c>
      <c r="O833">
        <v>1.56</v>
      </c>
      <c r="P833">
        <v>2</v>
      </c>
      <c r="Q833">
        <v>6</v>
      </c>
      <c r="R833">
        <v>2</v>
      </c>
      <c r="S833">
        <v>47</v>
      </c>
      <c r="T833">
        <v>2</v>
      </c>
      <c r="U833">
        <v>2</v>
      </c>
      <c r="V833">
        <f>River_data[[#This Row],[Dissolved Oxygen Min]]*River_data[[#This Row],[Dissolved Oxygen Max]]/2</f>
        <v>19.71</v>
      </c>
      <c r="W833">
        <f>River_data[[#This Row],[BOD Min]]*River_data[[#This Row],[BOD Max]]/2</f>
        <v>0.85</v>
      </c>
      <c r="X833">
        <f>AVERAGE(River_data[[#This Row],[pH Max]]-River_data[[#This Row],[pH Min]])</f>
        <v>0.60000000000000053</v>
      </c>
    </row>
    <row r="834" spans="1:24" x14ac:dyDescent="0.3">
      <c r="A834">
        <v>10014</v>
      </c>
      <c r="B834" s="1" t="s">
        <v>853</v>
      </c>
      <c r="C834" s="1" t="s">
        <v>822</v>
      </c>
      <c r="D834">
        <v>26</v>
      </c>
      <c r="E834">
        <v>30</v>
      </c>
      <c r="F834">
        <v>4.2</v>
      </c>
      <c r="G834">
        <v>7.6</v>
      </c>
      <c r="H834">
        <v>7.4</v>
      </c>
      <c r="I834">
        <v>8.1999999999999993</v>
      </c>
      <c r="J834">
        <v>278</v>
      </c>
      <c r="K834">
        <v>402</v>
      </c>
      <c r="L834">
        <v>1</v>
      </c>
      <c r="M834">
        <v>1.8</v>
      </c>
      <c r="N834">
        <v>0.41</v>
      </c>
      <c r="O834">
        <v>0.94</v>
      </c>
      <c r="P834">
        <v>2</v>
      </c>
      <c r="Q834">
        <v>33</v>
      </c>
      <c r="R834">
        <v>17</v>
      </c>
      <c r="S834">
        <v>170</v>
      </c>
      <c r="T834">
        <v>2</v>
      </c>
      <c r="U834">
        <v>2</v>
      </c>
      <c r="V834">
        <f>River_data[[#This Row],[Dissolved Oxygen Min]]*River_data[[#This Row],[Dissolved Oxygen Max]]/2</f>
        <v>15.959999999999999</v>
      </c>
      <c r="W834">
        <f>River_data[[#This Row],[BOD Min]]*River_data[[#This Row],[BOD Max]]/2</f>
        <v>0.9</v>
      </c>
      <c r="X834">
        <f>AVERAGE(River_data[[#This Row],[pH Max]]-River_data[[#This Row],[pH Min]])</f>
        <v>0.79999999999999893</v>
      </c>
    </row>
    <row r="835" spans="1:24" x14ac:dyDescent="0.3">
      <c r="A835">
        <v>10015</v>
      </c>
      <c r="B835" s="1" t="s">
        <v>854</v>
      </c>
      <c r="C835" s="1" t="s">
        <v>822</v>
      </c>
      <c r="D835">
        <v>28</v>
      </c>
      <c r="E835">
        <v>32</v>
      </c>
      <c r="F835">
        <v>0.3</v>
      </c>
      <c r="G835">
        <v>4.8</v>
      </c>
      <c r="H835">
        <v>7.2</v>
      </c>
      <c r="I835">
        <v>8</v>
      </c>
      <c r="J835">
        <v>889</v>
      </c>
      <c r="K835">
        <v>3060</v>
      </c>
      <c r="L835">
        <v>8</v>
      </c>
      <c r="M835">
        <v>31</v>
      </c>
      <c r="N835">
        <v>0.33</v>
      </c>
      <c r="O835">
        <v>1.08</v>
      </c>
      <c r="P835">
        <v>1600</v>
      </c>
      <c r="Q835">
        <v>1600</v>
      </c>
      <c r="R835">
        <v>1600</v>
      </c>
      <c r="S835">
        <v>1600</v>
      </c>
      <c r="V835">
        <f>River_data[[#This Row],[Dissolved Oxygen Min]]*River_data[[#This Row],[Dissolved Oxygen Max]]/2</f>
        <v>0.72</v>
      </c>
      <c r="W835">
        <f>River_data[[#This Row],[BOD Min]]*River_data[[#This Row],[BOD Max]]/2</f>
        <v>124</v>
      </c>
      <c r="X835">
        <f>AVERAGE(River_data[[#This Row],[pH Max]]-River_data[[#This Row],[pH Min]])</f>
        <v>0.79999999999999982</v>
      </c>
    </row>
    <row r="836" spans="1:24" x14ac:dyDescent="0.3">
      <c r="A836">
        <v>30042</v>
      </c>
      <c r="B836" s="1" t="s">
        <v>855</v>
      </c>
      <c r="C836" s="1" t="s">
        <v>822</v>
      </c>
      <c r="D836">
        <v>24</v>
      </c>
      <c r="E836">
        <v>24</v>
      </c>
      <c r="F836">
        <v>9.6</v>
      </c>
      <c r="G836">
        <v>9.6</v>
      </c>
      <c r="H836">
        <v>8</v>
      </c>
      <c r="I836">
        <v>8</v>
      </c>
      <c r="J836">
        <v>607</v>
      </c>
      <c r="K836">
        <v>607</v>
      </c>
      <c r="L836">
        <v>2.5</v>
      </c>
      <c r="M836">
        <v>2.5</v>
      </c>
      <c r="N836">
        <v>0.32</v>
      </c>
      <c r="O836">
        <v>0.32</v>
      </c>
      <c r="P836">
        <v>110</v>
      </c>
      <c r="Q836">
        <v>110</v>
      </c>
      <c r="R836">
        <v>330</v>
      </c>
      <c r="S836">
        <v>330</v>
      </c>
      <c r="V836">
        <f>River_data[[#This Row],[Dissolved Oxygen Min]]*River_data[[#This Row],[Dissolved Oxygen Max]]/2</f>
        <v>46.08</v>
      </c>
      <c r="W836">
        <f>River_data[[#This Row],[BOD Min]]*River_data[[#This Row],[BOD Max]]/2</f>
        <v>3.125</v>
      </c>
      <c r="X836">
        <f>AVERAGE(River_data[[#This Row],[pH Max]]-River_data[[#This Row],[pH Min]])</f>
        <v>0</v>
      </c>
    </row>
    <row r="837" spans="1:24" x14ac:dyDescent="0.3">
      <c r="A837">
        <v>1482</v>
      </c>
      <c r="B837" s="1" t="s">
        <v>856</v>
      </c>
      <c r="C837" s="1" t="s">
        <v>822</v>
      </c>
      <c r="D837">
        <v>27</v>
      </c>
      <c r="E837">
        <v>32</v>
      </c>
      <c r="F837">
        <v>4.0999999999999996</v>
      </c>
      <c r="G837">
        <v>7.2</v>
      </c>
      <c r="H837">
        <v>7.5</v>
      </c>
      <c r="I837">
        <v>8.4</v>
      </c>
      <c r="J837">
        <v>346</v>
      </c>
      <c r="K837">
        <v>590</v>
      </c>
      <c r="L837">
        <v>1</v>
      </c>
      <c r="M837">
        <v>2</v>
      </c>
      <c r="N837">
        <v>0.46</v>
      </c>
      <c r="O837">
        <v>1.21</v>
      </c>
      <c r="P837">
        <v>2</v>
      </c>
      <c r="Q837">
        <v>12</v>
      </c>
      <c r="R837">
        <v>13</v>
      </c>
      <c r="S837">
        <v>70</v>
      </c>
      <c r="V837">
        <f>River_data[[#This Row],[Dissolved Oxygen Min]]*River_data[[#This Row],[Dissolved Oxygen Max]]/2</f>
        <v>14.76</v>
      </c>
      <c r="W837">
        <f>River_data[[#This Row],[BOD Min]]*River_data[[#This Row],[BOD Max]]/2</f>
        <v>1</v>
      </c>
      <c r="X837">
        <f>AVERAGE(River_data[[#This Row],[pH Max]]-River_data[[#This Row],[pH Min]])</f>
        <v>0.90000000000000036</v>
      </c>
    </row>
    <row r="838" spans="1:24" x14ac:dyDescent="0.3">
      <c r="A838">
        <v>1407</v>
      </c>
      <c r="B838" s="1" t="s">
        <v>857</v>
      </c>
      <c r="C838" s="1" t="s">
        <v>822</v>
      </c>
      <c r="D838">
        <v>27</v>
      </c>
      <c r="E838">
        <v>32</v>
      </c>
      <c r="F838">
        <v>5.0999999999999996</v>
      </c>
      <c r="G838">
        <v>7</v>
      </c>
      <c r="H838">
        <v>7.4</v>
      </c>
      <c r="I838">
        <v>8.5</v>
      </c>
      <c r="J838">
        <v>363</v>
      </c>
      <c r="K838">
        <v>560</v>
      </c>
      <c r="L838">
        <v>1</v>
      </c>
      <c r="M838">
        <v>1.8</v>
      </c>
      <c r="N838">
        <v>0.39</v>
      </c>
      <c r="O838">
        <v>1.66</v>
      </c>
      <c r="P838">
        <v>2</v>
      </c>
      <c r="Q838">
        <v>4</v>
      </c>
      <c r="R838">
        <v>21</v>
      </c>
      <c r="S838">
        <v>33</v>
      </c>
      <c r="V838">
        <f>River_data[[#This Row],[Dissolved Oxygen Min]]*River_data[[#This Row],[Dissolved Oxygen Max]]/2</f>
        <v>17.849999999999998</v>
      </c>
      <c r="W838">
        <f>River_data[[#This Row],[BOD Min]]*River_data[[#This Row],[BOD Max]]/2</f>
        <v>0.9</v>
      </c>
      <c r="X838">
        <f>AVERAGE(River_data[[#This Row],[pH Max]]-River_data[[#This Row],[pH Min]])</f>
        <v>1.0999999999999996</v>
      </c>
    </row>
    <row r="839" spans="1:24" x14ac:dyDescent="0.3">
      <c r="A839">
        <v>1222</v>
      </c>
      <c r="B839" s="1" t="s">
        <v>858</v>
      </c>
      <c r="C839" s="1" t="s">
        <v>822</v>
      </c>
      <c r="D839">
        <v>28</v>
      </c>
      <c r="E839">
        <v>35</v>
      </c>
      <c r="F839">
        <v>4.5</v>
      </c>
      <c r="G839">
        <v>7.2</v>
      </c>
      <c r="H839">
        <v>7.7</v>
      </c>
      <c r="I839">
        <v>8.5</v>
      </c>
      <c r="J839">
        <v>460</v>
      </c>
      <c r="K839">
        <v>2616</v>
      </c>
      <c r="L839">
        <v>1</v>
      </c>
      <c r="M839">
        <v>2.7</v>
      </c>
      <c r="N839">
        <v>1.1200000000000001</v>
      </c>
      <c r="O839">
        <v>7.94</v>
      </c>
      <c r="P839">
        <v>50</v>
      </c>
      <c r="Q839">
        <v>1600</v>
      </c>
      <c r="R839">
        <v>300</v>
      </c>
      <c r="S839">
        <v>1600</v>
      </c>
      <c r="T839">
        <v>2</v>
      </c>
      <c r="U839">
        <v>540</v>
      </c>
      <c r="V839">
        <f>River_data[[#This Row],[Dissolved Oxygen Min]]*River_data[[#This Row],[Dissolved Oxygen Max]]/2</f>
        <v>16.2</v>
      </c>
      <c r="W839">
        <f>River_data[[#This Row],[BOD Min]]*River_data[[#This Row],[BOD Max]]/2</f>
        <v>1.35</v>
      </c>
      <c r="X839">
        <f>AVERAGE(River_data[[#This Row],[pH Max]]-River_data[[#This Row],[pH Min]])</f>
        <v>0.79999999999999982</v>
      </c>
    </row>
    <row r="840" spans="1:24" x14ac:dyDescent="0.3">
      <c r="A840">
        <v>1437</v>
      </c>
      <c r="B840" s="1" t="s">
        <v>859</v>
      </c>
      <c r="C840" s="1" t="s">
        <v>822</v>
      </c>
      <c r="D840">
        <v>28</v>
      </c>
      <c r="E840">
        <v>30</v>
      </c>
      <c r="F840">
        <v>0.3</v>
      </c>
      <c r="G840">
        <v>1.5</v>
      </c>
      <c r="H840">
        <v>7.2</v>
      </c>
      <c r="I840">
        <v>7.5</v>
      </c>
      <c r="J840">
        <v>1112</v>
      </c>
      <c r="K840">
        <v>2558</v>
      </c>
      <c r="L840">
        <v>11</v>
      </c>
      <c r="M840">
        <v>68</v>
      </c>
      <c r="N840">
        <v>0.33</v>
      </c>
      <c r="O840">
        <v>1.05</v>
      </c>
      <c r="P840">
        <v>1600</v>
      </c>
      <c r="Q840">
        <v>1600</v>
      </c>
      <c r="R840">
        <v>1600</v>
      </c>
      <c r="S840">
        <v>1600</v>
      </c>
      <c r="T840">
        <v>1600</v>
      </c>
      <c r="U840">
        <v>1600</v>
      </c>
      <c r="V840">
        <f>River_data[[#This Row],[Dissolved Oxygen Min]]*River_data[[#This Row],[Dissolved Oxygen Max]]/2</f>
        <v>0.22499999999999998</v>
      </c>
      <c r="W840">
        <f>River_data[[#This Row],[BOD Min]]*River_data[[#This Row],[BOD Max]]/2</f>
        <v>374</v>
      </c>
      <c r="X840">
        <f>AVERAGE(River_data[[#This Row],[pH Max]]-River_data[[#This Row],[pH Min]])</f>
        <v>0.29999999999999982</v>
      </c>
    </row>
    <row r="841" spans="1:24" x14ac:dyDescent="0.3">
      <c r="A841">
        <v>3321</v>
      </c>
      <c r="B841" s="1" t="s">
        <v>860</v>
      </c>
      <c r="C841" s="1" t="s">
        <v>352</v>
      </c>
      <c r="D841">
        <v>23.5</v>
      </c>
      <c r="E841">
        <v>30.2</v>
      </c>
      <c r="F841">
        <v>6.6</v>
      </c>
      <c r="G841">
        <v>8.6999999999999993</v>
      </c>
      <c r="H841">
        <v>7.1</v>
      </c>
      <c r="I841">
        <v>8.3000000000000007</v>
      </c>
      <c r="J841">
        <v>186</v>
      </c>
      <c r="K841">
        <v>705</v>
      </c>
      <c r="L841">
        <v>1</v>
      </c>
      <c r="M841">
        <v>1.8</v>
      </c>
      <c r="N841">
        <v>0.32</v>
      </c>
      <c r="O841">
        <v>0.57999999999999996</v>
      </c>
      <c r="P841">
        <v>2</v>
      </c>
      <c r="Q841">
        <v>2</v>
      </c>
      <c r="R841">
        <v>27</v>
      </c>
      <c r="S841">
        <v>94</v>
      </c>
      <c r="T841">
        <v>2</v>
      </c>
      <c r="U841">
        <v>2</v>
      </c>
      <c r="V841">
        <f>River_data[[#This Row],[Dissolved Oxygen Min]]*River_data[[#This Row],[Dissolved Oxygen Max]]/2</f>
        <v>28.709999999999997</v>
      </c>
      <c r="W841">
        <f>River_data[[#This Row],[BOD Min]]*River_data[[#This Row],[BOD Max]]/2</f>
        <v>0.9</v>
      </c>
      <c r="X841">
        <f>AVERAGE(River_data[[#This Row],[pH Max]]-River_data[[#This Row],[pH Min]])</f>
        <v>1.2000000000000011</v>
      </c>
    </row>
    <row r="842" spans="1:24" x14ac:dyDescent="0.3">
      <c r="A842">
        <v>1242</v>
      </c>
      <c r="B842" s="1" t="s">
        <v>861</v>
      </c>
      <c r="C842" s="1" t="s">
        <v>352</v>
      </c>
      <c r="D842">
        <v>22.6</v>
      </c>
      <c r="E842">
        <v>30.2</v>
      </c>
      <c r="F842">
        <v>6.5</v>
      </c>
      <c r="G842">
        <v>6.8</v>
      </c>
      <c r="H842">
        <v>6.6</v>
      </c>
      <c r="I842">
        <v>7.9</v>
      </c>
      <c r="J842">
        <v>165</v>
      </c>
      <c r="K842">
        <v>1864</v>
      </c>
      <c r="L842">
        <v>1</v>
      </c>
      <c r="M842">
        <v>1.9</v>
      </c>
      <c r="N842">
        <v>0.32</v>
      </c>
      <c r="O842">
        <v>0.34</v>
      </c>
      <c r="P842">
        <v>2</v>
      </c>
      <c r="Q842">
        <v>2</v>
      </c>
      <c r="R842">
        <v>2</v>
      </c>
      <c r="S842">
        <v>20</v>
      </c>
      <c r="T842">
        <v>2</v>
      </c>
      <c r="U842">
        <v>2</v>
      </c>
      <c r="V842">
        <f>River_data[[#This Row],[Dissolved Oxygen Min]]*River_data[[#This Row],[Dissolved Oxygen Max]]/2</f>
        <v>22.099999999999998</v>
      </c>
      <c r="W842">
        <f>River_data[[#This Row],[BOD Min]]*River_data[[#This Row],[BOD Max]]/2</f>
        <v>0.95</v>
      </c>
      <c r="X842">
        <f>AVERAGE(River_data[[#This Row],[pH Max]]-River_data[[#This Row],[pH Min]])</f>
        <v>1.3000000000000007</v>
      </c>
    </row>
    <row r="843" spans="1:24" x14ac:dyDescent="0.3">
      <c r="A843">
        <v>4578</v>
      </c>
      <c r="B843" s="1" t="s">
        <v>862</v>
      </c>
      <c r="C843" s="1" t="s">
        <v>352</v>
      </c>
      <c r="D843">
        <v>22.8</v>
      </c>
      <c r="E843">
        <v>30.2</v>
      </c>
      <c r="F843">
        <v>6.6</v>
      </c>
      <c r="G843">
        <v>8.1</v>
      </c>
      <c r="H843">
        <v>6.9</v>
      </c>
      <c r="I843">
        <v>8</v>
      </c>
      <c r="J843">
        <v>173</v>
      </c>
      <c r="K843">
        <v>2756</v>
      </c>
      <c r="L843">
        <v>1.6</v>
      </c>
      <c r="M843">
        <v>2.2999999999999998</v>
      </c>
      <c r="N843">
        <v>0.32</v>
      </c>
      <c r="O843">
        <v>0.48</v>
      </c>
      <c r="P843">
        <v>2</v>
      </c>
      <c r="Q843">
        <v>2</v>
      </c>
      <c r="R843">
        <v>41</v>
      </c>
      <c r="S843">
        <v>110</v>
      </c>
      <c r="T843">
        <v>2</v>
      </c>
      <c r="U843">
        <v>2</v>
      </c>
      <c r="V843">
        <f>River_data[[#This Row],[Dissolved Oxygen Min]]*River_data[[#This Row],[Dissolved Oxygen Max]]/2</f>
        <v>26.729999999999997</v>
      </c>
      <c r="W843">
        <f>River_data[[#This Row],[BOD Min]]*River_data[[#This Row],[BOD Max]]/2</f>
        <v>1.8399999999999999</v>
      </c>
      <c r="X843">
        <f>AVERAGE(River_data[[#This Row],[pH Max]]-River_data[[#This Row],[pH Min]])</f>
        <v>1.0999999999999996</v>
      </c>
    </row>
    <row r="844" spans="1:24" x14ac:dyDescent="0.3">
      <c r="A844">
        <v>1241</v>
      </c>
      <c r="B844" s="1" t="s">
        <v>863</v>
      </c>
      <c r="C844" s="1" t="s">
        <v>352</v>
      </c>
      <c r="D844">
        <v>21.2</v>
      </c>
      <c r="E844">
        <v>24.6</v>
      </c>
      <c r="F844">
        <v>7</v>
      </c>
      <c r="G844">
        <v>7.8</v>
      </c>
      <c r="H844">
        <v>7.3</v>
      </c>
      <c r="I844">
        <v>7.9</v>
      </c>
      <c r="J844">
        <v>250</v>
      </c>
      <c r="K844">
        <v>611</v>
      </c>
      <c r="L844">
        <v>1.2</v>
      </c>
      <c r="M844">
        <v>2</v>
      </c>
      <c r="N844">
        <v>0.16</v>
      </c>
      <c r="O844">
        <v>1.44</v>
      </c>
      <c r="P844">
        <v>2</v>
      </c>
      <c r="Q844">
        <v>6</v>
      </c>
      <c r="R844">
        <v>17</v>
      </c>
      <c r="S844">
        <v>48</v>
      </c>
      <c r="V844">
        <f>River_data[[#This Row],[Dissolved Oxygen Min]]*River_data[[#This Row],[Dissolved Oxygen Max]]/2</f>
        <v>27.3</v>
      </c>
      <c r="W844">
        <f>River_data[[#This Row],[BOD Min]]*River_data[[#This Row],[BOD Max]]/2</f>
        <v>1.2</v>
      </c>
      <c r="X844">
        <f>AVERAGE(River_data[[#This Row],[pH Max]]-River_data[[#This Row],[pH Min]])</f>
        <v>0.60000000000000053</v>
      </c>
    </row>
    <row r="845" spans="1:24" x14ac:dyDescent="0.3">
      <c r="A845">
        <v>1240</v>
      </c>
      <c r="B845" s="1" t="s">
        <v>864</v>
      </c>
      <c r="C845" s="1" t="s">
        <v>352</v>
      </c>
      <c r="D845">
        <v>20.9</v>
      </c>
      <c r="E845">
        <v>24.6</v>
      </c>
      <c r="F845">
        <v>7</v>
      </c>
      <c r="G845">
        <v>8.3000000000000007</v>
      </c>
      <c r="H845">
        <v>7.2</v>
      </c>
      <c r="I845">
        <v>7.9</v>
      </c>
      <c r="J845">
        <v>233</v>
      </c>
      <c r="K845">
        <v>711</v>
      </c>
      <c r="L845">
        <v>1.1000000000000001</v>
      </c>
      <c r="M845">
        <v>2</v>
      </c>
      <c r="N845">
        <v>0.14000000000000001</v>
      </c>
      <c r="O845">
        <v>1.4</v>
      </c>
      <c r="P845">
        <v>2</v>
      </c>
      <c r="Q845">
        <v>3</v>
      </c>
      <c r="R845">
        <v>10</v>
      </c>
      <c r="S845">
        <v>43</v>
      </c>
      <c r="V845">
        <f>River_data[[#This Row],[Dissolved Oxygen Min]]*River_data[[#This Row],[Dissolved Oxygen Max]]/2</f>
        <v>29.050000000000004</v>
      </c>
      <c r="W845">
        <f>River_data[[#This Row],[BOD Min]]*River_data[[#This Row],[BOD Max]]/2</f>
        <v>1.1000000000000001</v>
      </c>
      <c r="X845">
        <f>AVERAGE(River_data[[#This Row],[pH Max]]-River_data[[#This Row],[pH Min]])</f>
        <v>0.70000000000000018</v>
      </c>
    </row>
    <row r="846" spans="1:24" x14ac:dyDescent="0.3">
      <c r="A846">
        <v>2106</v>
      </c>
      <c r="B846" s="1" t="s">
        <v>865</v>
      </c>
      <c r="C846" s="1" t="s">
        <v>352</v>
      </c>
      <c r="D846">
        <v>22</v>
      </c>
      <c r="E846">
        <v>27</v>
      </c>
      <c r="F846">
        <v>6.6</v>
      </c>
      <c r="G846">
        <v>7.6</v>
      </c>
      <c r="H846">
        <v>7.6</v>
      </c>
      <c r="I846">
        <v>7.8</v>
      </c>
      <c r="J846">
        <v>198</v>
      </c>
      <c r="K846">
        <v>394</v>
      </c>
      <c r="L846">
        <v>1.2</v>
      </c>
      <c r="M846">
        <v>2</v>
      </c>
      <c r="N846">
        <v>0.32</v>
      </c>
      <c r="O846">
        <v>0.65</v>
      </c>
      <c r="P846">
        <v>2</v>
      </c>
      <c r="Q846">
        <v>2</v>
      </c>
      <c r="R846">
        <v>43</v>
      </c>
      <c r="S846">
        <v>48</v>
      </c>
      <c r="T846">
        <v>2</v>
      </c>
      <c r="U846">
        <v>2</v>
      </c>
      <c r="V846">
        <f>River_data[[#This Row],[Dissolved Oxygen Min]]*River_data[[#This Row],[Dissolved Oxygen Max]]/2</f>
        <v>25.08</v>
      </c>
      <c r="W846">
        <f>River_data[[#This Row],[BOD Min]]*River_data[[#This Row],[BOD Max]]/2</f>
        <v>1.2</v>
      </c>
      <c r="X846">
        <f>AVERAGE(River_data[[#This Row],[pH Max]]-River_data[[#This Row],[pH Min]])</f>
        <v>0.20000000000000018</v>
      </c>
    </row>
    <row r="847" spans="1:24" x14ac:dyDescent="0.3">
      <c r="A847">
        <v>4595</v>
      </c>
      <c r="B847" s="1" t="s">
        <v>866</v>
      </c>
      <c r="C847" s="1" t="s">
        <v>352</v>
      </c>
      <c r="D847">
        <v>22</v>
      </c>
      <c r="E847">
        <v>28</v>
      </c>
      <c r="F847">
        <v>6.5</v>
      </c>
      <c r="G847">
        <v>7.7</v>
      </c>
      <c r="H847">
        <v>7.2</v>
      </c>
      <c r="I847">
        <v>7.8</v>
      </c>
      <c r="J847">
        <v>212</v>
      </c>
      <c r="K847">
        <v>430</v>
      </c>
      <c r="L847">
        <v>2</v>
      </c>
      <c r="M847">
        <v>2</v>
      </c>
      <c r="N847">
        <v>0.54</v>
      </c>
      <c r="O847">
        <v>0.73</v>
      </c>
      <c r="P847">
        <v>2</v>
      </c>
      <c r="Q847">
        <v>2</v>
      </c>
      <c r="R847">
        <v>47</v>
      </c>
      <c r="S847">
        <v>49</v>
      </c>
      <c r="T847">
        <v>2</v>
      </c>
      <c r="U847">
        <v>2</v>
      </c>
      <c r="V847">
        <f>River_data[[#This Row],[Dissolved Oxygen Min]]*River_data[[#This Row],[Dissolved Oxygen Max]]/2</f>
        <v>25.025000000000002</v>
      </c>
      <c r="W847">
        <f>River_data[[#This Row],[BOD Min]]*River_data[[#This Row],[BOD Max]]/2</f>
        <v>2</v>
      </c>
      <c r="X847">
        <f>AVERAGE(River_data[[#This Row],[pH Max]]-River_data[[#This Row],[pH Min]])</f>
        <v>0.59999999999999964</v>
      </c>
    </row>
    <row r="848" spans="1:24" x14ac:dyDescent="0.3">
      <c r="A848">
        <v>45</v>
      </c>
      <c r="B848" s="1" t="s">
        <v>867</v>
      </c>
      <c r="C848" s="1" t="s">
        <v>352</v>
      </c>
      <c r="D848">
        <v>19.5</v>
      </c>
      <c r="E848">
        <v>21.5</v>
      </c>
      <c r="F848">
        <v>7.2</v>
      </c>
      <c r="G848">
        <v>8</v>
      </c>
      <c r="H848">
        <v>7.7</v>
      </c>
      <c r="I848">
        <v>8.5</v>
      </c>
      <c r="J848">
        <v>212</v>
      </c>
      <c r="K848">
        <v>332</v>
      </c>
      <c r="L848">
        <v>1</v>
      </c>
      <c r="M848">
        <v>1.1000000000000001</v>
      </c>
      <c r="N848">
        <v>0.83</v>
      </c>
      <c r="O848">
        <v>790.02</v>
      </c>
      <c r="P848">
        <v>2</v>
      </c>
      <c r="Q848">
        <v>2</v>
      </c>
      <c r="R848">
        <v>34</v>
      </c>
      <c r="S848">
        <v>49</v>
      </c>
      <c r="T848">
        <v>2</v>
      </c>
      <c r="U848">
        <v>2</v>
      </c>
      <c r="V848">
        <f>River_data[[#This Row],[Dissolved Oxygen Min]]*River_data[[#This Row],[Dissolved Oxygen Max]]/2</f>
        <v>28.8</v>
      </c>
      <c r="W848">
        <f>River_data[[#This Row],[BOD Min]]*River_data[[#This Row],[BOD Max]]/2</f>
        <v>0.55000000000000004</v>
      </c>
      <c r="X848">
        <f>AVERAGE(River_data[[#This Row],[pH Max]]-River_data[[#This Row],[pH Min]])</f>
        <v>0.79999999999999982</v>
      </c>
    </row>
    <row r="849" spans="1:24" x14ac:dyDescent="0.3">
      <c r="A849">
        <v>1239</v>
      </c>
      <c r="B849" s="1" t="s">
        <v>868</v>
      </c>
      <c r="C849" s="1" t="s">
        <v>352</v>
      </c>
      <c r="D849">
        <v>19</v>
      </c>
      <c r="E849">
        <v>22</v>
      </c>
      <c r="F849">
        <v>7.2</v>
      </c>
      <c r="G849">
        <v>7.8</v>
      </c>
      <c r="H849">
        <v>7.8</v>
      </c>
      <c r="I849">
        <v>8.5</v>
      </c>
      <c r="J849">
        <v>246</v>
      </c>
      <c r="K849">
        <v>346</v>
      </c>
      <c r="L849">
        <v>1</v>
      </c>
      <c r="M849">
        <v>1.2</v>
      </c>
      <c r="N849">
        <v>0.82</v>
      </c>
      <c r="O849">
        <v>1.2</v>
      </c>
      <c r="P849">
        <v>2</v>
      </c>
      <c r="Q849">
        <v>2</v>
      </c>
      <c r="R849">
        <v>38</v>
      </c>
      <c r="S849">
        <v>48</v>
      </c>
      <c r="V849">
        <f>River_data[[#This Row],[Dissolved Oxygen Min]]*River_data[[#This Row],[Dissolved Oxygen Max]]/2</f>
        <v>28.08</v>
      </c>
      <c r="W849">
        <f>River_data[[#This Row],[BOD Min]]*River_data[[#This Row],[BOD Max]]/2</f>
        <v>0.6</v>
      </c>
      <c r="X849">
        <f>AVERAGE(River_data[[#This Row],[pH Max]]-River_data[[#This Row],[pH Min]])</f>
        <v>0.70000000000000018</v>
      </c>
    </row>
    <row r="850" spans="1:24" x14ac:dyDescent="0.3">
      <c r="A850">
        <v>1431</v>
      </c>
      <c r="B850" s="1" t="s">
        <v>869</v>
      </c>
      <c r="C850" s="1" t="s">
        <v>352</v>
      </c>
      <c r="D850">
        <v>19.5</v>
      </c>
      <c r="E850">
        <v>21.5</v>
      </c>
      <c r="F850">
        <v>7</v>
      </c>
      <c r="G850">
        <v>7.9</v>
      </c>
      <c r="H850">
        <v>7.3</v>
      </c>
      <c r="I850">
        <v>8.5</v>
      </c>
      <c r="J850">
        <v>211</v>
      </c>
      <c r="K850">
        <v>318</v>
      </c>
      <c r="L850">
        <v>1</v>
      </c>
      <c r="M850">
        <v>1.2</v>
      </c>
      <c r="N850">
        <v>0.02</v>
      </c>
      <c r="O850">
        <v>1.1200000000000001</v>
      </c>
      <c r="P850">
        <v>2</v>
      </c>
      <c r="Q850">
        <v>2</v>
      </c>
      <c r="R850">
        <v>39</v>
      </c>
      <c r="S850">
        <v>49</v>
      </c>
      <c r="T850">
        <v>2</v>
      </c>
      <c r="U850">
        <v>2</v>
      </c>
      <c r="V850">
        <f>River_data[[#This Row],[Dissolved Oxygen Min]]*River_data[[#This Row],[Dissolved Oxygen Max]]/2</f>
        <v>27.650000000000002</v>
      </c>
      <c r="W850">
        <f>River_data[[#This Row],[BOD Min]]*River_data[[#This Row],[BOD Max]]/2</f>
        <v>0.6</v>
      </c>
      <c r="X850">
        <f>AVERAGE(River_data[[#This Row],[pH Max]]-River_data[[#This Row],[pH Min]])</f>
        <v>1.2000000000000002</v>
      </c>
    </row>
    <row r="851" spans="1:24" x14ac:dyDescent="0.3">
      <c r="A851">
        <v>1234</v>
      </c>
      <c r="B851" s="1" t="s">
        <v>870</v>
      </c>
      <c r="C851" s="1" t="s">
        <v>352</v>
      </c>
      <c r="D851">
        <v>14</v>
      </c>
      <c r="E851">
        <v>26</v>
      </c>
      <c r="F851">
        <v>5.8</v>
      </c>
      <c r="G851">
        <v>11</v>
      </c>
      <c r="H851">
        <v>7.3</v>
      </c>
      <c r="I851">
        <v>8.5</v>
      </c>
      <c r="J851">
        <v>188</v>
      </c>
      <c r="K851">
        <v>362</v>
      </c>
      <c r="L851">
        <v>1</v>
      </c>
      <c r="M851">
        <v>2.4</v>
      </c>
      <c r="N851">
        <v>1.4</v>
      </c>
      <c r="O851">
        <v>5.97</v>
      </c>
      <c r="P851">
        <v>2</v>
      </c>
      <c r="Q851">
        <v>34</v>
      </c>
      <c r="R851">
        <v>130</v>
      </c>
      <c r="S851">
        <v>280</v>
      </c>
      <c r="T851">
        <v>2</v>
      </c>
      <c r="U851">
        <v>2</v>
      </c>
      <c r="V851">
        <f>River_data[[#This Row],[Dissolved Oxygen Min]]*River_data[[#This Row],[Dissolved Oxygen Max]]/2</f>
        <v>31.9</v>
      </c>
      <c r="W851">
        <f>River_data[[#This Row],[BOD Min]]*River_data[[#This Row],[BOD Max]]/2</f>
        <v>1.2</v>
      </c>
      <c r="X851">
        <f>AVERAGE(River_data[[#This Row],[pH Max]]-River_data[[#This Row],[pH Min]])</f>
        <v>1.2000000000000002</v>
      </c>
    </row>
    <row r="852" spans="1:24" x14ac:dyDescent="0.3">
      <c r="A852">
        <v>2112</v>
      </c>
      <c r="B852" s="1" t="s">
        <v>871</v>
      </c>
      <c r="C852" s="1" t="s">
        <v>352</v>
      </c>
      <c r="D852">
        <v>19.5</v>
      </c>
      <c r="E852">
        <v>21.5</v>
      </c>
      <c r="F852">
        <v>7.2</v>
      </c>
      <c r="G852">
        <v>7.9</v>
      </c>
      <c r="H852">
        <v>7.4</v>
      </c>
      <c r="I852">
        <v>8.5</v>
      </c>
      <c r="J852">
        <v>243</v>
      </c>
      <c r="K852">
        <v>328</v>
      </c>
      <c r="L852">
        <v>1</v>
      </c>
      <c r="M852">
        <v>1.4</v>
      </c>
      <c r="N852">
        <v>0.83</v>
      </c>
      <c r="O852">
        <v>1.27</v>
      </c>
      <c r="P852">
        <v>2</v>
      </c>
      <c r="Q852">
        <v>2</v>
      </c>
      <c r="R852">
        <v>33</v>
      </c>
      <c r="S852">
        <v>49</v>
      </c>
      <c r="V852">
        <f>River_data[[#This Row],[Dissolved Oxygen Min]]*River_data[[#This Row],[Dissolved Oxygen Max]]/2</f>
        <v>28.44</v>
      </c>
      <c r="W852">
        <f>River_data[[#This Row],[BOD Min]]*River_data[[#This Row],[BOD Max]]/2</f>
        <v>0.7</v>
      </c>
      <c r="X852">
        <f>AVERAGE(River_data[[#This Row],[pH Max]]-River_data[[#This Row],[pH Min]])</f>
        <v>1.0999999999999996</v>
      </c>
    </row>
    <row r="853" spans="1:24" x14ac:dyDescent="0.3">
      <c r="A853">
        <v>44</v>
      </c>
      <c r="B853" s="1" t="s">
        <v>872</v>
      </c>
      <c r="C853" s="1" t="s">
        <v>352</v>
      </c>
      <c r="D853">
        <v>17</v>
      </c>
      <c r="E853">
        <v>31</v>
      </c>
      <c r="F853">
        <v>7.2</v>
      </c>
      <c r="G853">
        <v>8.5</v>
      </c>
      <c r="H853">
        <v>7.2</v>
      </c>
      <c r="I853">
        <v>8.1999999999999993</v>
      </c>
      <c r="J853">
        <v>198</v>
      </c>
      <c r="K853">
        <v>311</v>
      </c>
      <c r="L853">
        <v>1.3</v>
      </c>
      <c r="M853">
        <v>2.1</v>
      </c>
      <c r="N853">
        <v>0.39</v>
      </c>
      <c r="O853">
        <v>1.93</v>
      </c>
      <c r="P853">
        <v>13</v>
      </c>
      <c r="Q853">
        <v>170</v>
      </c>
      <c r="R853">
        <v>150</v>
      </c>
      <c r="S853">
        <v>430</v>
      </c>
      <c r="T853">
        <v>2</v>
      </c>
      <c r="U853">
        <v>2</v>
      </c>
      <c r="V853">
        <f>River_data[[#This Row],[Dissolved Oxygen Min]]*River_data[[#This Row],[Dissolved Oxygen Max]]/2</f>
        <v>30.6</v>
      </c>
      <c r="W853">
        <f>River_data[[#This Row],[BOD Min]]*River_data[[#This Row],[BOD Max]]/2</f>
        <v>1.3650000000000002</v>
      </c>
      <c r="X853">
        <f>AVERAGE(River_data[[#This Row],[pH Max]]-River_data[[#This Row],[pH Min]])</f>
        <v>0.99999999999999911</v>
      </c>
    </row>
    <row r="854" spans="1:24" x14ac:dyDescent="0.3">
      <c r="A854">
        <v>1235</v>
      </c>
      <c r="B854" s="1" t="s">
        <v>873</v>
      </c>
      <c r="C854" s="1" t="s">
        <v>352</v>
      </c>
      <c r="D854">
        <v>12</v>
      </c>
      <c r="E854">
        <v>30</v>
      </c>
      <c r="F854">
        <v>7.4</v>
      </c>
      <c r="G854">
        <v>8.5</v>
      </c>
      <c r="H854">
        <v>7.4</v>
      </c>
      <c r="I854">
        <v>8.1</v>
      </c>
      <c r="J854">
        <v>187</v>
      </c>
      <c r="K854">
        <v>315</v>
      </c>
      <c r="L854">
        <v>1.1000000000000001</v>
      </c>
      <c r="M854">
        <v>1.9</v>
      </c>
      <c r="N854">
        <v>0.55000000000000004</v>
      </c>
      <c r="O854">
        <v>2.9</v>
      </c>
      <c r="P854">
        <v>22</v>
      </c>
      <c r="Q854">
        <v>94</v>
      </c>
      <c r="R854">
        <v>170</v>
      </c>
      <c r="S854">
        <v>430</v>
      </c>
      <c r="T854">
        <v>2</v>
      </c>
      <c r="U854">
        <v>2</v>
      </c>
      <c r="V854">
        <f>River_data[[#This Row],[Dissolved Oxygen Min]]*River_data[[#This Row],[Dissolved Oxygen Max]]/2</f>
        <v>31.450000000000003</v>
      </c>
      <c r="W854">
        <f>River_data[[#This Row],[BOD Min]]*River_data[[#This Row],[BOD Max]]/2</f>
        <v>1.0449999999999999</v>
      </c>
      <c r="X854">
        <f>AVERAGE(River_data[[#This Row],[pH Max]]-River_data[[#This Row],[pH Min]])</f>
        <v>0.69999999999999929</v>
      </c>
    </row>
    <row r="855" spans="1:24" x14ac:dyDescent="0.3">
      <c r="A855">
        <v>2113</v>
      </c>
      <c r="B855" s="1" t="s">
        <v>874</v>
      </c>
      <c r="C855" s="1" t="s">
        <v>352</v>
      </c>
      <c r="D855">
        <v>20</v>
      </c>
      <c r="E855">
        <v>21.5</v>
      </c>
      <c r="F855">
        <v>7.1</v>
      </c>
      <c r="G855">
        <v>7.8</v>
      </c>
      <c r="H855">
        <v>7.5</v>
      </c>
      <c r="I855">
        <v>8.5</v>
      </c>
      <c r="J855">
        <v>194</v>
      </c>
      <c r="K855">
        <v>298</v>
      </c>
      <c r="L855">
        <v>1</v>
      </c>
      <c r="M855">
        <v>1.1000000000000001</v>
      </c>
      <c r="N855">
        <v>0.7</v>
      </c>
      <c r="O855">
        <v>1.08</v>
      </c>
      <c r="P855">
        <v>2</v>
      </c>
      <c r="Q855">
        <v>2</v>
      </c>
      <c r="R855">
        <v>31</v>
      </c>
      <c r="S855">
        <v>41</v>
      </c>
      <c r="V855">
        <f>River_data[[#This Row],[Dissolved Oxygen Min]]*River_data[[#This Row],[Dissolved Oxygen Max]]/2</f>
        <v>27.689999999999998</v>
      </c>
      <c r="W855">
        <f>River_data[[#This Row],[BOD Min]]*River_data[[#This Row],[BOD Max]]/2</f>
        <v>0.55000000000000004</v>
      </c>
      <c r="X855">
        <f>AVERAGE(River_data[[#This Row],[pH Max]]-River_data[[#This Row],[pH Min]])</f>
        <v>1</v>
      </c>
    </row>
    <row r="856" spans="1:24" x14ac:dyDescent="0.3">
      <c r="A856">
        <v>1430</v>
      </c>
      <c r="B856" s="1" t="s">
        <v>875</v>
      </c>
      <c r="C856" s="1" t="s">
        <v>352</v>
      </c>
      <c r="D856">
        <v>19.5</v>
      </c>
      <c r="E856">
        <v>21.5</v>
      </c>
      <c r="F856">
        <v>7</v>
      </c>
      <c r="G856">
        <v>7.8</v>
      </c>
      <c r="H856">
        <v>7.7</v>
      </c>
      <c r="I856">
        <v>8.4</v>
      </c>
      <c r="J856">
        <v>222</v>
      </c>
      <c r="K856">
        <v>313</v>
      </c>
      <c r="L856">
        <v>1</v>
      </c>
      <c r="M856">
        <v>1.1000000000000001</v>
      </c>
      <c r="N856">
        <v>0.7</v>
      </c>
      <c r="O856">
        <v>1.22</v>
      </c>
      <c r="P856">
        <v>2</v>
      </c>
      <c r="Q856">
        <v>2</v>
      </c>
      <c r="R856">
        <v>32</v>
      </c>
      <c r="S856">
        <v>47</v>
      </c>
      <c r="V856">
        <f>River_data[[#This Row],[Dissolved Oxygen Min]]*River_data[[#This Row],[Dissolved Oxygen Max]]/2</f>
        <v>27.3</v>
      </c>
      <c r="W856">
        <f>River_data[[#This Row],[BOD Min]]*River_data[[#This Row],[BOD Max]]/2</f>
        <v>0.55000000000000004</v>
      </c>
      <c r="X856">
        <f>AVERAGE(River_data[[#This Row],[pH Max]]-River_data[[#This Row],[pH Min]])</f>
        <v>0.70000000000000018</v>
      </c>
    </row>
    <row r="857" spans="1:24" x14ac:dyDescent="0.3">
      <c r="A857">
        <v>3322</v>
      </c>
      <c r="B857" s="1" t="s">
        <v>876</v>
      </c>
      <c r="C857" s="1" t="s">
        <v>352</v>
      </c>
      <c r="D857">
        <v>21.3</v>
      </c>
      <c r="E857">
        <v>24.5</v>
      </c>
      <c r="F857">
        <v>6</v>
      </c>
      <c r="G857">
        <v>8</v>
      </c>
      <c r="H857">
        <v>7.1</v>
      </c>
      <c r="I857">
        <v>7.8</v>
      </c>
      <c r="J857">
        <v>250</v>
      </c>
      <c r="K857">
        <v>546</v>
      </c>
      <c r="L857">
        <v>1</v>
      </c>
      <c r="M857">
        <v>2</v>
      </c>
      <c r="N857">
        <v>0.13</v>
      </c>
      <c r="O857">
        <v>1.4</v>
      </c>
      <c r="P857">
        <v>2</v>
      </c>
      <c r="Q857">
        <v>6</v>
      </c>
      <c r="R857">
        <v>17</v>
      </c>
      <c r="S857">
        <v>63</v>
      </c>
      <c r="V857">
        <f>River_data[[#This Row],[Dissolved Oxygen Min]]*River_data[[#This Row],[Dissolved Oxygen Max]]/2</f>
        <v>24</v>
      </c>
      <c r="W857">
        <f>River_data[[#This Row],[BOD Min]]*River_data[[#This Row],[BOD Max]]/2</f>
        <v>1</v>
      </c>
      <c r="X857">
        <f>AVERAGE(River_data[[#This Row],[pH Max]]-River_data[[#This Row],[pH Min]])</f>
        <v>0.70000000000000018</v>
      </c>
    </row>
    <row r="858" spans="1:24" x14ac:dyDescent="0.3">
      <c r="A858">
        <v>2099</v>
      </c>
      <c r="B858" s="1" t="s">
        <v>877</v>
      </c>
      <c r="C858" s="1" t="s">
        <v>352</v>
      </c>
      <c r="D858">
        <v>21</v>
      </c>
      <c r="E858">
        <v>23.4</v>
      </c>
      <c r="F858">
        <v>7.2</v>
      </c>
      <c r="G858">
        <v>7.8</v>
      </c>
      <c r="H858">
        <v>7.3</v>
      </c>
      <c r="I858">
        <v>7.9</v>
      </c>
      <c r="J858">
        <v>230</v>
      </c>
      <c r="K858">
        <v>382</v>
      </c>
      <c r="L858">
        <v>1.2</v>
      </c>
      <c r="M858">
        <v>1.6</v>
      </c>
      <c r="N858">
        <v>0.16</v>
      </c>
      <c r="O858">
        <v>0.8</v>
      </c>
      <c r="P858">
        <v>2</v>
      </c>
      <c r="Q858">
        <v>2</v>
      </c>
      <c r="R858">
        <v>31</v>
      </c>
      <c r="S858">
        <v>49</v>
      </c>
      <c r="V858">
        <f>River_data[[#This Row],[Dissolved Oxygen Min]]*River_data[[#This Row],[Dissolved Oxygen Max]]/2</f>
        <v>28.08</v>
      </c>
      <c r="W858">
        <f>River_data[[#This Row],[BOD Min]]*River_data[[#This Row],[BOD Max]]/2</f>
        <v>0.96</v>
      </c>
      <c r="X858">
        <f>AVERAGE(River_data[[#This Row],[pH Max]]-River_data[[#This Row],[pH Min]])</f>
        <v>0.60000000000000053</v>
      </c>
    </row>
    <row r="859" spans="1:24" x14ac:dyDescent="0.3">
      <c r="A859">
        <v>3323</v>
      </c>
      <c r="B859" s="1" t="s">
        <v>878</v>
      </c>
      <c r="C859" s="1" t="s">
        <v>352</v>
      </c>
      <c r="D859">
        <v>21.2</v>
      </c>
      <c r="E859">
        <v>25.4</v>
      </c>
      <c r="F859">
        <v>7</v>
      </c>
      <c r="G859">
        <v>7.8</v>
      </c>
      <c r="H859">
        <v>7.1</v>
      </c>
      <c r="I859">
        <v>8</v>
      </c>
      <c r="J859">
        <v>256</v>
      </c>
      <c r="K859">
        <v>642</v>
      </c>
      <c r="L859">
        <v>1.3</v>
      </c>
      <c r="M859">
        <v>1.9</v>
      </c>
      <c r="N859">
        <v>0.14000000000000001</v>
      </c>
      <c r="O859">
        <v>1.6</v>
      </c>
      <c r="P859">
        <v>2</v>
      </c>
      <c r="Q859">
        <v>14</v>
      </c>
      <c r="R859">
        <v>17</v>
      </c>
      <c r="S859">
        <v>70</v>
      </c>
      <c r="V859">
        <f>River_data[[#This Row],[Dissolved Oxygen Min]]*River_data[[#This Row],[Dissolved Oxygen Max]]/2</f>
        <v>27.3</v>
      </c>
      <c r="W859">
        <f>River_data[[#This Row],[BOD Min]]*River_data[[#This Row],[BOD Max]]/2</f>
        <v>1.2349999999999999</v>
      </c>
      <c r="X859">
        <f>AVERAGE(River_data[[#This Row],[pH Max]]-River_data[[#This Row],[pH Min]])</f>
        <v>0.90000000000000036</v>
      </c>
    </row>
    <row r="860" spans="1:24" x14ac:dyDescent="0.3">
      <c r="A860">
        <v>3324</v>
      </c>
      <c r="B860" s="1" t="s">
        <v>879</v>
      </c>
      <c r="C860" s="1" t="s">
        <v>352</v>
      </c>
      <c r="D860">
        <v>20.5</v>
      </c>
      <c r="E860">
        <v>24.2</v>
      </c>
      <c r="F860">
        <v>7.2</v>
      </c>
      <c r="G860">
        <v>8</v>
      </c>
      <c r="H860">
        <v>7.2</v>
      </c>
      <c r="I860">
        <v>8.1</v>
      </c>
      <c r="J860">
        <v>224</v>
      </c>
      <c r="K860">
        <v>716</v>
      </c>
      <c r="L860">
        <v>1</v>
      </c>
      <c r="M860">
        <v>2</v>
      </c>
      <c r="N860">
        <v>0.3</v>
      </c>
      <c r="O860">
        <v>1.44</v>
      </c>
      <c r="P860">
        <v>2</v>
      </c>
      <c r="Q860">
        <v>9</v>
      </c>
      <c r="R860">
        <v>11</v>
      </c>
      <c r="S860">
        <v>41</v>
      </c>
      <c r="V860">
        <f>River_data[[#This Row],[Dissolved Oxygen Min]]*River_data[[#This Row],[Dissolved Oxygen Max]]/2</f>
        <v>28.8</v>
      </c>
      <c r="W860">
        <f>River_data[[#This Row],[BOD Min]]*River_data[[#This Row],[BOD Max]]/2</f>
        <v>1</v>
      </c>
      <c r="X860">
        <f>AVERAGE(River_data[[#This Row],[pH Max]]-River_data[[#This Row],[pH Min]])</f>
        <v>0.89999999999999947</v>
      </c>
    </row>
    <row r="861" spans="1:24" x14ac:dyDescent="0.3">
      <c r="A861">
        <v>3325</v>
      </c>
      <c r="B861" s="1" t="s">
        <v>880</v>
      </c>
      <c r="C861" s="1" t="s">
        <v>352</v>
      </c>
      <c r="D861">
        <v>20.6</v>
      </c>
      <c r="E861">
        <v>24.1</v>
      </c>
      <c r="F861">
        <v>6.7</v>
      </c>
      <c r="G861">
        <v>7.9</v>
      </c>
      <c r="H861">
        <v>7.4</v>
      </c>
      <c r="I861">
        <v>8.1</v>
      </c>
      <c r="J861">
        <v>242</v>
      </c>
      <c r="K861">
        <v>719</v>
      </c>
      <c r="L861">
        <v>1.4</v>
      </c>
      <c r="M861">
        <v>2</v>
      </c>
      <c r="N861">
        <v>0.1</v>
      </c>
      <c r="O861">
        <v>2.2599999999999998</v>
      </c>
      <c r="P861">
        <v>2</v>
      </c>
      <c r="Q861">
        <v>4</v>
      </c>
      <c r="R861">
        <v>14</v>
      </c>
      <c r="S861">
        <v>70</v>
      </c>
      <c r="V861">
        <f>River_data[[#This Row],[Dissolved Oxygen Min]]*River_data[[#This Row],[Dissolved Oxygen Max]]/2</f>
        <v>26.465000000000003</v>
      </c>
      <c r="W861">
        <f>River_data[[#This Row],[BOD Min]]*River_data[[#This Row],[BOD Max]]/2</f>
        <v>1.4</v>
      </c>
      <c r="X861">
        <f>AVERAGE(River_data[[#This Row],[pH Max]]-River_data[[#This Row],[pH Min]])</f>
        <v>0.69999999999999929</v>
      </c>
    </row>
    <row r="862" spans="1:24" x14ac:dyDescent="0.3">
      <c r="A862">
        <v>2118</v>
      </c>
      <c r="B862" s="1" t="s">
        <v>881</v>
      </c>
      <c r="C862" s="1" t="s">
        <v>352</v>
      </c>
      <c r="D862">
        <v>22.6</v>
      </c>
      <c r="E862">
        <v>30.4</v>
      </c>
      <c r="F862">
        <v>6.5</v>
      </c>
      <c r="G862">
        <v>7.7</v>
      </c>
      <c r="H862">
        <v>7.1</v>
      </c>
      <c r="I862">
        <v>8</v>
      </c>
      <c r="J862">
        <v>167</v>
      </c>
      <c r="K862">
        <v>2524</v>
      </c>
      <c r="L862">
        <v>1.2</v>
      </c>
      <c r="M862">
        <v>2.2000000000000002</v>
      </c>
      <c r="N862">
        <v>0.32</v>
      </c>
      <c r="O862">
        <v>0.45</v>
      </c>
      <c r="P862">
        <v>2</v>
      </c>
      <c r="Q862">
        <v>2</v>
      </c>
      <c r="R862">
        <v>41</v>
      </c>
      <c r="S862">
        <v>94</v>
      </c>
      <c r="T862">
        <v>2</v>
      </c>
      <c r="U862">
        <v>2</v>
      </c>
      <c r="V862">
        <f>River_data[[#This Row],[Dissolved Oxygen Min]]*River_data[[#This Row],[Dissolved Oxygen Max]]/2</f>
        <v>25.025000000000002</v>
      </c>
      <c r="W862">
        <f>River_data[[#This Row],[BOD Min]]*River_data[[#This Row],[BOD Max]]/2</f>
        <v>1.32</v>
      </c>
      <c r="X862">
        <f>AVERAGE(River_data[[#This Row],[pH Max]]-River_data[[#This Row],[pH Min]])</f>
        <v>0.90000000000000036</v>
      </c>
    </row>
    <row r="863" spans="1:24" x14ac:dyDescent="0.3">
      <c r="A863">
        <v>2123</v>
      </c>
      <c r="B863" s="1" t="s">
        <v>882</v>
      </c>
      <c r="C863" s="1" t="s">
        <v>352</v>
      </c>
      <c r="D863">
        <v>17</v>
      </c>
      <c r="E863">
        <v>31</v>
      </c>
      <c r="F863">
        <v>7.1</v>
      </c>
      <c r="G863">
        <v>8.6</v>
      </c>
      <c r="H863">
        <v>7.3</v>
      </c>
      <c r="I863">
        <v>8.1</v>
      </c>
      <c r="J863">
        <v>184</v>
      </c>
      <c r="K863">
        <v>312</v>
      </c>
      <c r="L863">
        <v>1.1000000000000001</v>
      </c>
      <c r="M863">
        <v>1.8</v>
      </c>
      <c r="N863">
        <v>0.44</v>
      </c>
      <c r="O863">
        <v>2.2000000000000002</v>
      </c>
      <c r="P863">
        <v>2</v>
      </c>
      <c r="Q863">
        <v>46</v>
      </c>
      <c r="R863">
        <v>110</v>
      </c>
      <c r="S863">
        <v>280</v>
      </c>
      <c r="T863">
        <v>2</v>
      </c>
      <c r="U863">
        <v>2</v>
      </c>
      <c r="V863">
        <f>River_data[[#This Row],[Dissolved Oxygen Min]]*River_data[[#This Row],[Dissolved Oxygen Max]]/2</f>
        <v>30.529999999999998</v>
      </c>
      <c r="W863">
        <f>River_data[[#This Row],[BOD Min]]*River_data[[#This Row],[BOD Max]]/2</f>
        <v>0.9900000000000001</v>
      </c>
      <c r="X863">
        <f>AVERAGE(River_data[[#This Row],[pH Max]]-River_data[[#This Row],[pH Min]])</f>
        <v>0.79999999999999982</v>
      </c>
    </row>
    <row r="864" spans="1:24" x14ac:dyDescent="0.3">
      <c r="A864">
        <v>3847</v>
      </c>
      <c r="B864" s="1" t="s">
        <v>883</v>
      </c>
      <c r="C864" s="1" t="s">
        <v>352</v>
      </c>
      <c r="D864">
        <v>19.5</v>
      </c>
      <c r="E864">
        <v>22</v>
      </c>
      <c r="F864">
        <v>7.3</v>
      </c>
      <c r="G864">
        <v>7.8</v>
      </c>
      <c r="H864">
        <v>7.7</v>
      </c>
      <c r="I864">
        <v>8.4</v>
      </c>
      <c r="J864">
        <v>210</v>
      </c>
      <c r="K864">
        <v>315</v>
      </c>
      <c r="L864">
        <v>1</v>
      </c>
      <c r="M864">
        <v>1.1000000000000001</v>
      </c>
      <c r="N864">
        <v>0.02</v>
      </c>
      <c r="O864">
        <v>1.05</v>
      </c>
      <c r="P864">
        <v>2</v>
      </c>
      <c r="Q864">
        <v>2</v>
      </c>
      <c r="R864">
        <v>33</v>
      </c>
      <c r="S864">
        <v>41</v>
      </c>
      <c r="V864">
        <f>River_data[[#This Row],[Dissolved Oxygen Min]]*River_data[[#This Row],[Dissolved Oxygen Max]]/2</f>
        <v>28.47</v>
      </c>
      <c r="W864">
        <f>River_data[[#This Row],[BOD Min]]*River_data[[#This Row],[BOD Max]]/2</f>
        <v>0.55000000000000004</v>
      </c>
      <c r="X864">
        <f>AVERAGE(River_data[[#This Row],[pH Max]]-River_data[[#This Row],[pH Min]])</f>
        <v>0.70000000000000018</v>
      </c>
    </row>
    <row r="865" spans="1:24" x14ac:dyDescent="0.3">
      <c r="A865">
        <v>4577</v>
      </c>
      <c r="B865" s="1" t="s">
        <v>884</v>
      </c>
      <c r="C865" s="1" t="s">
        <v>352</v>
      </c>
      <c r="D865">
        <v>23</v>
      </c>
      <c r="E865">
        <v>30.5</v>
      </c>
      <c r="F865">
        <v>6.7</v>
      </c>
      <c r="G865">
        <v>8.1999999999999993</v>
      </c>
      <c r="H865">
        <v>7.2</v>
      </c>
      <c r="I865">
        <v>8.1</v>
      </c>
      <c r="J865">
        <v>187</v>
      </c>
      <c r="K865">
        <v>926</v>
      </c>
      <c r="L865">
        <v>1</v>
      </c>
      <c r="M865">
        <v>1.8</v>
      </c>
      <c r="N865">
        <v>0.32</v>
      </c>
      <c r="O865">
        <v>1.2</v>
      </c>
      <c r="P865">
        <v>2</v>
      </c>
      <c r="Q865">
        <v>8</v>
      </c>
      <c r="R865">
        <v>27</v>
      </c>
      <c r="S865">
        <v>84</v>
      </c>
      <c r="T865">
        <v>2</v>
      </c>
      <c r="U865">
        <v>2</v>
      </c>
      <c r="V865">
        <f>River_data[[#This Row],[Dissolved Oxygen Min]]*River_data[[#This Row],[Dissolved Oxygen Max]]/2</f>
        <v>27.47</v>
      </c>
      <c r="W865">
        <f>River_data[[#This Row],[BOD Min]]*River_data[[#This Row],[BOD Max]]/2</f>
        <v>0.9</v>
      </c>
      <c r="X865">
        <f>AVERAGE(River_data[[#This Row],[pH Max]]-River_data[[#This Row],[pH Min]])</f>
        <v>0.89999999999999947</v>
      </c>
    </row>
    <row r="866" spans="1:24" x14ac:dyDescent="0.3">
      <c r="A866">
        <v>4578</v>
      </c>
      <c r="B866" s="1" t="s">
        <v>862</v>
      </c>
      <c r="C866" s="1" t="s">
        <v>352</v>
      </c>
      <c r="D866">
        <v>22.8</v>
      </c>
      <c r="E866">
        <v>30.2</v>
      </c>
      <c r="F866">
        <v>6.6</v>
      </c>
      <c r="G866">
        <v>8.1</v>
      </c>
      <c r="H866">
        <v>6.9</v>
      </c>
      <c r="I866">
        <v>8</v>
      </c>
      <c r="J866">
        <v>173</v>
      </c>
      <c r="K866">
        <v>2756</v>
      </c>
      <c r="L866">
        <v>1.6</v>
      </c>
      <c r="M866">
        <v>2.2999999999999998</v>
      </c>
      <c r="N866">
        <v>0.32</v>
      </c>
      <c r="O866">
        <v>0.48</v>
      </c>
      <c r="P866">
        <v>2</v>
      </c>
      <c r="Q866">
        <v>2</v>
      </c>
      <c r="R866">
        <v>41</v>
      </c>
      <c r="S866">
        <v>110</v>
      </c>
      <c r="T866">
        <v>2</v>
      </c>
      <c r="U866">
        <v>2</v>
      </c>
      <c r="V866">
        <f>River_data[[#This Row],[Dissolved Oxygen Min]]*River_data[[#This Row],[Dissolved Oxygen Max]]/2</f>
        <v>26.729999999999997</v>
      </c>
      <c r="W866">
        <f>River_data[[#This Row],[BOD Min]]*River_data[[#This Row],[BOD Max]]/2</f>
        <v>1.8399999999999999</v>
      </c>
      <c r="X866">
        <f>AVERAGE(River_data[[#This Row],[pH Max]]-River_data[[#This Row],[pH Min]])</f>
        <v>1.0999999999999996</v>
      </c>
    </row>
    <row r="867" spans="1:24" x14ac:dyDescent="0.3">
      <c r="A867">
        <v>4579</v>
      </c>
      <c r="B867" s="1" t="s">
        <v>885</v>
      </c>
      <c r="C867" s="1" t="s">
        <v>352</v>
      </c>
      <c r="D867">
        <v>23.6</v>
      </c>
      <c r="E867">
        <v>30.4</v>
      </c>
      <c r="F867">
        <v>6.7</v>
      </c>
      <c r="G867">
        <v>8.8000000000000007</v>
      </c>
      <c r="H867">
        <v>7.6</v>
      </c>
      <c r="I867">
        <v>8.1999999999999993</v>
      </c>
      <c r="J867">
        <v>194</v>
      </c>
      <c r="K867">
        <v>911</v>
      </c>
      <c r="L867">
        <v>1.2</v>
      </c>
      <c r="M867">
        <v>2.4</v>
      </c>
      <c r="N867">
        <v>0.36</v>
      </c>
      <c r="O867">
        <v>0.7</v>
      </c>
      <c r="P867">
        <v>2</v>
      </c>
      <c r="Q867">
        <v>4</v>
      </c>
      <c r="R867">
        <v>43</v>
      </c>
      <c r="S867">
        <v>120</v>
      </c>
      <c r="T867">
        <v>2</v>
      </c>
      <c r="U867">
        <v>2</v>
      </c>
      <c r="V867">
        <f>River_data[[#This Row],[Dissolved Oxygen Min]]*River_data[[#This Row],[Dissolved Oxygen Max]]/2</f>
        <v>29.480000000000004</v>
      </c>
      <c r="W867">
        <f>River_data[[#This Row],[BOD Min]]*River_data[[#This Row],[BOD Max]]/2</f>
        <v>1.44</v>
      </c>
      <c r="X867">
        <f>AVERAGE(River_data[[#This Row],[pH Max]]-River_data[[#This Row],[pH Min]])</f>
        <v>0.59999999999999964</v>
      </c>
    </row>
    <row r="868" spans="1:24" x14ac:dyDescent="0.3">
      <c r="A868">
        <v>4580</v>
      </c>
      <c r="B868" s="1" t="s">
        <v>886</v>
      </c>
      <c r="C868" s="1" t="s">
        <v>352</v>
      </c>
      <c r="D868">
        <v>21.1</v>
      </c>
      <c r="E868">
        <v>24.3</v>
      </c>
      <c r="F868">
        <v>6.8</v>
      </c>
      <c r="G868">
        <v>8</v>
      </c>
      <c r="H868">
        <v>7.2</v>
      </c>
      <c r="I868">
        <v>7.9</v>
      </c>
      <c r="J868">
        <v>271</v>
      </c>
      <c r="K868">
        <v>661</v>
      </c>
      <c r="L868">
        <v>1.2</v>
      </c>
      <c r="M868">
        <v>1.9</v>
      </c>
      <c r="N868">
        <v>0.23</v>
      </c>
      <c r="O868">
        <v>1.3</v>
      </c>
      <c r="P868">
        <v>2</v>
      </c>
      <c r="Q868">
        <v>6</v>
      </c>
      <c r="R868">
        <v>17</v>
      </c>
      <c r="S868">
        <v>49</v>
      </c>
      <c r="V868">
        <f>River_data[[#This Row],[Dissolved Oxygen Min]]*River_data[[#This Row],[Dissolved Oxygen Max]]/2</f>
        <v>27.2</v>
      </c>
      <c r="W868">
        <f>River_data[[#This Row],[BOD Min]]*River_data[[#This Row],[BOD Max]]/2</f>
        <v>1.1399999999999999</v>
      </c>
      <c r="X868">
        <f>AVERAGE(River_data[[#This Row],[pH Max]]-River_data[[#This Row],[pH Min]])</f>
        <v>0.70000000000000018</v>
      </c>
    </row>
    <row r="869" spans="1:24" x14ac:dyDescent="0.3">
      <c r="A869">
        <v>4581</v>
      </c>
      <c r="B869" s="1" t="s">
        <v>887</v>
      </c>
      <c r="C869" s="1" t="s">
        <v>352</v>
      </c>
      <c r="D869">
        <v>20.9</v>
      </c>
      <c r="E869">
        <v>25.7</v>
      </c>
      <c r="F869">
        <v>7.1</v>
      </c>
      <c r="G869">
        <v>7.9</v>
      </c>
      <c r="H869">
        <v>7.5</v>
      </c>
      <c r="I869">
        <v>7.9</v>
      </c>
      <c r="J869">
        <v>248</v>
      </c>
      <c r="K869">
        <v>716</v>
      </c>
      <c r="L869">
        <v>1.3</v>
      </c>
      <c r="M869">
        <v>1.8</v>
      </c>
      <c r="N869">
        <v>0.04</v>
      </c>
      <c r="O869">
        <v>1.32</v>
      </c>
      <c r="P869">
        <v>2</v>
      </c>
      <c r="Q869">
        <v>6</v>
      </c>
      <c r="R869">
        <v>17</v>
      </c>
      <c r="S869">
        <v>48</v>
      </c>
      <c r="V869">
        <f>River_data[[#This Row],[Dissolved Oxygen Min]]*River_data[[#This Row],[Dissolved Oxygen Max]]/2</f>
        <v>28.044999999999998</v>
      </c>
      <c r="W869">
        <f>River_data[[#This Row],[BOD Min]]*River_data[[#This Row],[BOD Max]]/2</f>
        <v>1.1700000000000002</v>
      </c>
      <c r="X869">
        <f>AVERAGE(River_data[[#This Row],[pH Max]]-River_data[[#This Row],[pH Min]])</f>
        <v>0.40000000000000036</v>
      </c>
    </row>
    <row r="870" spans="1:24" x14ac:dyDescent="0.3">
      <c r="A870">
        <v>4582</v>
      </c>
      <c r="B870" s="1" t="s">
        <v>888</v>
      </c>
      <c r="C870" s="1" t="s">
        <v>352</v>
      </c>
      <c r="D870">
        <v>21</v>
      </c>
      <c r="E870">
        <v>25.6</v>
      </c>
      <c r="F870">
        <v>7.2</v>
      </c>
      <c r="G870">
        <v>7.8</v>
      </c>
      <c r="H870">
        <v>7.2</v>
      </c>
      <c r="I870">
        <v>8.1</v>
      </c>
      <c r="J870">
        <v>268</v>
      </c>
      <c r="K870">
        <v>711</v>
      </c>
      <c r="L870">
        <v>1.2</v>
      </c>
      <c r="M870">
        <v>1.9</v>
      </c>
      <c r="N870">
        <v>0.06</v>
      </c>
      <c r="O870">
        <v>1.4</v>
      </c>
      <c r="P870">
        <v>2</v>
      </c>
      <c r="Q870">
        <v>10</v>
      </c>
      <c r="R870">
        <v>17</v>
      </c>
      <c r="S870">
        <v>94</v>
      </c>
      <c r="V870">
        <f>River_data[[#This Row],[Dissolved Oxygen Min]]*River_data[[#This Row],[Dissolved Oxygen Max]]/2</f>
        <v>28.08</v>
      </c>
      <c r="W870">
        <f>River_data[[#This Row],[BOD Min]]*River_data[[#This Row],[BOD Max]]/2</f>
        <v>1.1399999999999999</v>
      </c>
      <c r="X870">
        <f>AVERAGE(River_data[[#This Row],[pH Max]]-River_data[[#This Row],[pH Min]])</f>
        <v>0.89999999999999947</v>
      </c>
    </row>
    <row r="871" spans="1:24" x14ac:dyDescent="0.3">
      <c r="A871">
        <v>4583</v>
      </c>
      <c r="B871" s="1" t="s">
        <v>889</v>
      </c>
      <c r="C871" s="1" t="s">
        <v>352</v>
      </c>
      <c r="D871">
        <v>20.6</v>
      </c>
      <c r="E871">
        <v>24.6</v>
      </c>
      <c r="F871">
        <v>6.8</v>
      </c>
      <c r="G871">
        <v>8</v>
      </c>
      <c r="H871">
        <v>7.3</v>
      </c>
      <c r="I871">
        <v>8.1</v>
      </c>
      <c r="J871">
        <v>217</v>
      </c>
      <c r="K871">
        <v>677</v>
      </c>
      <c r="L871">
        <v>1.2</v>
      </c>
      <c r="M871">
        <v>1.9</v>
      </c>
      <c r="N871">
        <v>0.18</v>
      </c>
      <c r="O871">
        <v>2.64</v>
      </c>
      <c r="P871">
        <v>2</v>
      </c>
      <c r="Q871">
        <v>13</v>
      </c>
      <c r="R871">
        <v>17</v>
      </c>
      <c r="S871">
        <v>49</v>
      </c>
      <c r="V871">
        <f>River_data[[#This Row],[Dissolved Oxygen Min]]*River_data[[#This Row],[Dissolved Oxygen Max]]/2</f>
        <v>27.2</v>
      </c>
      <c r="W871">
        <f>River_data[[#This Row],[BOD Min]]*River_data[[#This Row],[BOD Max]]/2</f>
        <v>1.1399999999999999</v>
      </c>
      <c r="X871">
        <f>AVERAGE(River_data[[#This Row],[pH Max]]-River_data[[#This Row],[pH Min]])</f>
        <v>0.79999999999999982</v>
      </c>
    </row>
    <row r="872" spans="1:24" x14ac:dyDescent="0.3">
      <c r="A872">
        <v>4584</v>
      </c>
      <c r="B872" s="1" t="s">
        <v>890</v>
      </c>
      <c r="C872" s="1" t="s">
        <v>352</v>
      </c>
      <c r="D872">
        <v>21</v>
      </c>
      <c r="E872">
        <v>24.7</v>
      </c>
      <c r="F872">
        <v>6.4</v>
      </c>
      <c r="G872">
        <v>7.9</v>
      </c>
      <c r="H872">
        <v>7.1</v>
      </c>
      <c r="I872">
        <v>7.9</v>
      </c>
      <c r="J872">
        <v>235</v>
      </c>
      <c r="K872">
        <v>671</v>
      </c>
      <c r="L872">
        <v>1</v>
      </c>
      <c r="M872">
        <v>2</v>
      </c>
      <c r="N872">
        <v>0.24</v>
      </c>
      <c r="O872">
        <v>1.44</v>
      </c>
      <c r="P872">
        <v>2</v>
      </c>
      <c r="Q872">
        <v>4</v>
      </c>
      <c r="R872">
        <v>10</v>
      </c>
      <c r="S872">
        <v>48</v>
      </c>
      <c r="V872">
        <f>River_data[[#This Row],[Dissolved Oxygen Min]]*River_data[[#This Row],[Dissolved Oxygen Max]]/2</f>
        <v>25.28</v>
      </c>
      <c r="W872">
        <f>River_data[[#This Row],[BOD Min]]*River_data[[#This Row],[BOD Max]]/2</f>
        <v>1</v>
      </c>
      <c r="X872">
        <f>AVERAGE(River_data[[#This Row],[pH Max]]-River_data[[#This Row],[pH Min]])</f>
        <v>0.80000000000000071</v>
      </c>
    </row>
    <row r="873" spans="1:24" x14ac:dyDescent="0.3">
      <c r="A873">
        <v>4585</v>
      </c>
      <c r="B873" s="1" t="s">
        <v>891</v>
      </c>
      <c r="C873" s="1" t="s">
        <v>352</v>
      </c>
      <c r="D873">
        <v>20.8</v>
      </c>
      <c r="E873">
        <v>24.7</v>
      </c>
      <c r="F873">
        <v>6.5</v>
      </c>
      <c r="G873">
        <v>8.1</v>
      </c>
      <c r="H873">
        <v>7.1</v>
      </c>
      <c r="I873">
        <v>8.1</v>
      </c>
      <c r="J873">
        <v>248</v>
      </c>
      <c r="K873">
        <v>716</v>
      </c>
      <c r="L873">
        <v>1.2</v>
      </c>
      <c r="M873">
        <v>2.4</v>
      </c>
      <c r="N873">
        <v>0.16</v>
      </c>
      <c r="O873">
        <v>1.44</v>
      </c>
      <c r="P873">
        <v>2</v>
      </c>
      <c r="Q873">
        <v>4</v>
      </c>
      <c r="R873">
        <v>10</v>
      </c>
      <c r="S873">
        <v>48</v>
      </c>
      <c r="V873">
        <f>River_data[[#This Row],[Dissolved Oxygen Min]]*River_data[[#This Row],[Dissolved Oxygen Max]]/2</f>
        <v>26.324999999999999</v>
      </c>
      <c r="W873">
        <f>River_data[[#This Row],[BOD Min]]*River_data[[#This Row],[BOD Max]]/2</f>
        <v>1.44</v>
      </c>
      <c r="X873">
        <f>AVERAGE(River_data[[#This Row],[pH Max]]-River_data[[#This Row],[pH Min]])</f>
        <v>1</v>
      </c>
    </row>
    <row r="874" spans="1:24" x14ac:dyDescent="0.3">
      <c r="A874">
        <v>4586</v>
      </c>
      <c r="B874" s="1" t="s">
        <v>892</v>
      </c>
      <c r="C874" s="1" t="s">
        <v>352</v>
      </c>
      <c r="D874">
        <v>21.1</v>
      </c>
      <c r="E874">
        <v>24.6</v>
      </c>
      <c r="F874">
        <v>6.7</v>
      </c>
      <c r="G874">
        <v>7.8</v>
      </c>
      <c r="H874">
        <v>7.4</v>
      </c>
      <c r="I874">
        <v>8.1</v>
      </c>
      <c r="J874">
        <v>233</v>
      </c>
      <c r="K874">
        <v>691</v>
      </c>
      <c r="L874">
        <v>1.2</v>
      </c>
      <c r="M874">
        <v>1.9</v>
      </c>
      <c r="N874">
        <v>0.3</v>
      </c>
      <c r="O874">
        <v>2.64</v>
      </c>
      <c r="P874">
        <v>2</v>
      </c>
      <c r="Q874">
        <v>12</v>
      </c>
      <c r="R874">
        <v>17</v>
      </c>
      <c r="S874">
        <v>48</v>
      </c>
      <c r="V874">
        <f>River_data[[#This Row],[Dissolved Oxygen Min]]*River_data[[#This Row],[Dissolved Oxygen Max]]/2</f>
        <v>26.13</v>
      </c>
      <c r="W874">
        <f>River_data[[#This Row],[BOD Min]]*River_data[[#This Row],[BOD Max]]/2</f>
        <v>1.1399999999999999</v>
      </c>
      <c r="X874">
        <f>AVERAGE(River_data[[#This Row],[pH Max]]-River_data[[#This Row],[pH Min]])</f>
        <v>0.69999999999999929</v>
      </c>
    </row>
    <row r="875" spans="1:24" x14ac:dyDescent="0.3">
      <c r="A875">
        <v>4587</v>
      </c>
      <c r="B875" s="1" t="s">
        <v>893</v>
      </c>
      <c r="C875" s="1" t="s">
        <v>352</v>
      </c>
      <c r="D875">
        <v>15</v>
      </c>
      <c r="E875">
        <v>31</v>
      </c>
      <c r="F875">
        <v>7.8</v>
      </c>
      <c r="G875">
        <v>8.6999999999999993</v>
      </c>
      <c r="H875">
        <v>7.3</v>
      </c>
      <c r="I875">
        <v>8.1999999999999993</v>
      </c>
      <c r="J875">
        <v>172</v>
      </c>
      <c r="K875">
        <v>285</v>
      </c>
      <c r="L875">
        <v>1</v>
      </c>
      <c r="M875">
        <v>1.7</v>
      </c>
      <c r="N875">
        <v>0.32</v>
      </c>
      <c r="O875">
        <v>2.46</v>
      </c>
      <c r="P875">
        <v>2</v>
      </c>
      <c r="Q875">
        <v>10</v>
      </c>
      <c r="R875">
        <v>2</v>
      </c>
      <c r="S875">
        <v>150</v>
      </c>
      <c r="T875">
        <v>2</v>
      </c>
      <c r="U875">
        <v>2</v>
      </c>
      <c r="V875">
        <f>River_data[[#This Row],[Dissolved Oxygen Min]]*River_data[[#This Row],[Dissolved Oxygen Max]]/2</f>
        <v>33.93</v>
      </c>
      <c r="W875">
        <f>River_data[[#This Row],[BOD Min]]*River_data[[#This Row],[BOD Max]]/2</f>
        <v>0.85</v>
      </c>
      <c r="X875">
        <f>AVERAGE(River_data[[#This Row],[pH Max]]-River_data[[#This Row],[pH Min]])</f>
        <v>0.89999999999999947</v>
      </c>
    </row>
    <row r="876" spans="1:24" x14ac:dyDescent="0.3">
      <c r="A876">
        <v>4588</v>
      </c>
      <c r="B876" s="1" t="s">
        <v>894</v>
      </c>
      <c r="C876" s="1" t="s">
        <v>352</v>
      </c>
      <c r="D876">
        <v>15</v>
      </c>
      <c r="E876">
        <v>27</v>
      </c>
      <c r="F876">
        <v>6</v>
      </c>
      <c r="G876">
        <v>11.5</v>
      </c>
      <c r="H876">
        <v>7.6</v>
      </c>
      <c r="I876">
        <v>8.4</v>
      </c>
      <c r="J876">
        <v>213</v>
      </c>
      <c r="K876">
        <v>3105</v>
      </c>
      <c r="L876">
        <v>1</v>
      </c>
      <c r="M876">
        <v>1.7</v>
      </c>
      <c r="N876">
        <v>1.25</v>
      </c>
      <c r="O876">
        <v>7.47</v>
      </c>
      <c r="P876">
        <v>6</v>
      </c>
      <c r="Q876">
        <v>26</v>
      </c>
      <c r="R876">
        <v>40</v>
      </c>
      <c r="S876">
        <v>280</v>
      </c>
      <c r="T876">
        <v>2</v>
      </c>
      <c r="U876">
        <v>2</v>
      </c>
      <c r="V876">
        <f>River_data[[#This Row],[Dissolved Oxygen Min]]*River_data[[#This Row],[Dissolved Oxygen Max]]/2</f>
        <v>34.5</v>
      </c>
      <c r="W876">
        <f>River_data[[#This Row],[BOD Min]]*River_data[[#This Row],[BOD Max]]/2</f>
        <v>0.85</v>
      </c>
      <c r="X876">
        <f>AVERAGE(River_data[[#This Row],[pH Max]]-River_data[[#This Row],[pH Min]])</f>
        <v>0.80000000000000071</v>
      </c>
    </row>
    <row r="877" spans="1:24" x14ac:dyDescent="0.3">
      <c r="A877">
        <v>4589</v>
      </c>
      <c r="B877" s="1" t="s">
        <v>895</v>
      </c>
      <c r="C877" s="1" t="s">
        <v>352</v>
      </c>
      <c r="D877">
        <v>15</v>
      </c>
      <c r="E877">
        <v>26</v>
      </c>
      <c r="F877">
        <v>6.2</v>
      </c>
      <c r="G877">
        <v>12.2</v>
      </c>
      <c r="H877">
        <v>7.6</v>
      </c>
      <c r="I877">
        <v>8.4</v>
      </c>
      <c r="J877">
        <v>214</v>
      </c>
      <c r="K877">
        <v>3212</v>
      </c>
      <c r="L877">
        <v>1</v>
      </c>
      <c r="M877">
        <v>2</v>
      </c>
      <c r="N877">
        <v>1.71</v>
      </c>
      <c r="O877">
        <v>6.62</v>
      </c>
      <c r="P877">
        <v>11</v>
      </c>
      <c r="Q877">
        <v>147</v>
      </c>
      <c r="R877">
        <v>140</v>
      </c>
      <c r="S877">
        <v>1301</v>
      </c>
      <c r="T877">
        <v>2</v>
      </c>
      <c r="U877">
        <v>2</v>
      </c>
      <c r="V877">
        <f>River_data[[#This Row],[Dissolved Oxygen Min]]*River_data[[#This Row],[Dissolved Oxygen Max]]/2</f>
        <v>37.82</v>
      </c>
      <c r="W877">
        <f>River_data[[#This Row],[BOD Min]]*River_data[[#This Row],[BOD Max]]/2</f>
        <v>1</v>
      </c>
      <c r="X877">
        <f>AVERAGE(River_data[[#This Row],[pH Max]]-River_data[[#This Row],[pH Min]])</f>
        <v>0.80000000000000071</v>
      </c>
    </row>
    <row r="878" spans="1:24" x14ac:dyDescent="0.3">
      <c r="A878">
        <v>4590</v>
      </c>
      <c r="B878" s="1" t="s">
        <v>896</v>
      </c>
      <c r="C878" s="1" t="s">
        <v>352</v>
      </c>
      <c r="D878">
        <v>14</v>
      </c>
      <c r="E878">
        <v>26</v>
      </c>
      <c r="F878">
        <v>5.8</v>
      </c>
      <c r="G878">
        <v>11</v>
      </c>
      <c r="H878">
        <v>7.4</v>
      </c>
      <c r="I878">
        <v>8.5</v>
      </c>
      <c r="J878">
        <v>184</v>
      </c>
      <c r="K878">
        <v>419</v>
      </c>
      <c r="L878">
        <v>1</v>
      </c>
      <c r="M878">
        <v>2.1</v>
      </c>
      <c r="N878">
        <v>0.96</v>
      </c>
      <c r="O878">
        <v>6.16</v>
      </c>
      <c r="P878">
        <v>2</v>
      </c>
      <c r="Q878">
        <v>48</v>
      </c>
      <c r="R878">
        <v>150</v>
      </c>
      <c r="S878">
        <v>350</v>
      </c>
      <c r="T878">
        <v>2</v>
      </c>
      <c r="U878">
        <v>2</v>
      </c>
      <c r="V878">
        <f>River_data[[#This Row],[Dissolved Oxygen Min]]*River_data[[#This Row],[Dissolved Oxygen Max]]/2</f>
        <v>31.9</v>
      </c>
      <c r="W878">
        <f>River_data[[#This Row],[BOD Min]]*River_data[[#This Row],[BOD Max]]/2</f>
        <v>1.05</v>
      </c>
      <c r="X878">
        <f>AVERAGE(River_data[[#This Row],[pH Max]]-River_data[[#This Row],[pH Min]])</f>
        <v>1.0999999999999996</v>
      </c>
    </row>
    <row r="879" spans="1:24" x14ac:dyDescent="0.3">
      <c r="A879">
        <v>4591</v>
      </c>
      <c r="B879" s="1" t="s">
        <v>897</v>
      </c>
      <c r="C879" s="1" t="s">
        <v>352</v>
      </c>
      <c r="D879">
        <v>16</v>
      </c>
      <c r="E879">
        <v>26</v>
      </c>
      <c r="F879">
        <v>6</v>
      </c>
      <c r="G879">
        <v>14.1</v>
      </c>
      <c r="H879">
        <v>7.6</v>
      </c>
      <c r="I879">
        <v>8.5</v>
      </c>
      <c r="J879">
        <v>190</v>
      </c>
      <c r="K879">
        <v>337</v>
      </c>
      <c r="L879">
        <v>1</v>
      </c>
      <c r="M879">
        <v>1.9</v>
      </c>
      <c r="N879">
        <v>1.44</v>
      </c>
      <c r="O879">
        <v>6.95</v>
      </c>
      <c r="P879">
        <v>2</v>
      </c>
      <c r="Q879">
        <v>39</v>
      </c>
      <c r="R879">
        <v>120</v>
      </c>
      <c r="S879">
        <v>350</v>
      </c>
      <c r="T879">
        <v>2</v>
      </c>
      <c r="U879">
        <v>2</v>
      </c>
      <c r="V879">
        <f>River_data[[#This Row],[Dissolved Oxygen Min]]*River_data[[#This Row],[Dissolved Oxygen Max]]/2</f>
        <v>42.3</v>
      </c>
      <c r="W879">
        <f>River_data[[#This Row],[BOD Min]]*River_data[[#This Row],[BOD Max]]/2</f>
        <v>0.95</v>
      </c>
      <c r="X879">
        <f>AVERAGE(River_data[[#This Row],[pH Max]]-River_data[[#This Row],[pH Min]])</f>
        <v>0.90000000000000036</v>
      </c>
    </row>
    <row r="880" spans="1:24" x14ac:dyDescent="0.3">
      <c r="A880">
        <v>4592</v>
      </c>
      <c r="B880" s="1" t="s">
        <v>898</v>
      </c>
      <c r="C880" s="1" t="s">
        <v>352</v>
      </c>
      <c r="D880">
        <v>16</v>
      </c>
      <c r="E880">
        <v>26</v>
      </c>
      <c r="F880">
        <v>6.2</v>
      </c>
      <c r="G880">
        <v>10.199999999999999</v>
      </c>
      <c r="H880">
        <v>7.5</v>
      </c>
      <c r="I880">
        <v>8.3000000000000007</v>
      </c>
      <c r="J880">
        <v>184</v>
      </c>
      <c r="K880">
        <v>3459</v>
      </c>
      <c r="L880">
        <v>1</v>
      </c>
      <c r="M880">
        <v>1.4</v>
      </c>
      <c r="N880">
        <v>0.71</v>
      </c>
      <c r="O880">
        <v>5.04</v>
      </c>
      <c r="P880">
        <v>2</v>
      </c>
      <c r="Q880">
        <v>178</v>
      </c>
      <c r="R880">
        <v>120</v>
      </c>
      <c r="S880">
        <v>1400</v>
      </c>
      <c r="T880">
        <v>2</v>
      </c>
      <c r="U880">
        <v>2</v>
      </c>
      <c r="V880">
        <f>River_data[[#This Row],[Dissolved Oxygen Min]]*River_data[[#This Row],[Dissolved Oxygen Max]]/2</f>
        <v>31.619999999999997</v>
      </c>
      <c r="W880">
        <f>River_data[[#This Row],[BOD Min]]*River_data[[#This Row],[BOD Max]]/2</f>
        <v>0.7</v>
      </c>
      <c r="X880">
        <f>AVERAGE(River_data[[#This Row],[pH Max]]-River_data[[#This Row],[pH Min]])</f>
        <v>0.80000000000000071</v>
      </c>
    </row>
    <row r="881" spans="1:24" x14ac:dyDescent="0.3">
      <c r="A881">
        <v>4593</v>
      </c>
      <c r="B881" s="1" t="s">
        <v>899</v>
      </c>
      <c r="C881" s="1" t="s">
        <v>352</v>
      </c>
      <c r="D881">
        <v>15</v>
      </c>
      <c r="E881">
        <v>27</v>
      </c>
      <c r="F881">
        <v>6</v>
      </c>
      <c r="G881">
        <v>13.5</v>
      </c>
      <c r="H881">
        <v>7.4</v>
      </c>
      <c r="I881">
        <v>8.5</v>
      </c>
      <c r="J881">
        <v>180</v>
      </c>
      <c r="K881">
        <v>478</v>
      </c>
      <c r="L881">
        <v>1</v>
      </c>
      <c r="M881">
        <v>2</v>
      </c>
      <c r="N881">
        <v>1.1599999999999999</v>
      </c>
      <c r="O881">
        <v>4.92</v>
      </c>
      <c r="P881">
        <v>2</v>
      </c>
      <c r="Q881">
        <v>39</v>
      </c>
      <c r="R881">
        <v>110</v>
      </c>
      <c r="S881">
        <v>350</v>
      </c>
      <c r="T881">
        <v>2</v>
      </c>
      <c r="U881">
        <v>2</v>
      </c>
      <c r="V881">
        <f>River_data[[#This Row],[Dissolved Oxygen Min]]*River_data[[#This Row],[Dissolved Oxygen Max]]/2</f>
        <v>40.5</v>
      </c>
      <c r="W881">
        <f>River_data[[#This Row],[BOD Min]]*River_data[[#This Row],[BOD Max]]/2</f>
        <v>1</v>
      </c>
      <c r="X881">
        <f>AVERAGE(River_data[[#This Row],[pH Max]]-River_data[[#This Row],[pH Min]])</f>
        <v>1.0999999999999996</v>
      </c>
    </row>
    <row r="882" spans="1:24" x14ac:dyDescent="0.3">
      <c r="A882">
        <v>4594</v>
      </c>
      <c r="B882" s="1" t="s">
        <v>900</v>
      </c>
      <c r="C882" s="1" t="s">
        <v>352</v>
      </c>
      <c r="D882">
        <v>22</v>
      </c>
      <c r="E882">
        <v>28</v>
      </c>
      <c r="F882">
        <v>6.7</v>
      </c>
      <c r="G882">
        <v>7.6</v>
      </c>
      <c r="H882">
        <v>7.4</v>
      </c>
      <c r="I882">
        <v>7.9</v>
      </c>
      <c r="J882">
        <v>205</v>
      </c>
      <c r="K882">
        <v>422</v>
      </c>
      <c r="L882">
        <v>1.4</v>
      </c>
      <c r="M882">
        <v>2</v>
      </c>
      <c r="N882">
        <v>0.32</v>
      </c>
      <c r="O882">
        <v>0.83</v>
      </c>
      <c r="P882">
        <v>2</v>
      </c>
      <c r="Q882">
        <v>2</v>
      </c>
      <c r="R882">
        <v>41</v>
      </c>
      <c r="S882">
        <v>49</v>
      </c>
      <c r="T882">
        <v>2</v>
      </c>
      <c r="U882">
        <v>2</v>
      </c>
      <c r="V882">
        <f>River_data[[#This Row],[Dissolved Oxygen Min]]*River_data[[#This Row],[Dissolved Oxygen Max]]/2</f>
        <v>25.46</v>
      </c>
      <c r="W882">
        <f>River_data[[#This Row],[BOD Min]]*River_data[[#This Row],[BOD Max]]/2</f>
        <v>1.4</v>
      </c>
      <c r="X882">
        <f>AVERAGE(River_data[[#This Row],[pH Max]]-River_data[[#This Row],[pH Min]])</f>
        <v>0.5</v>
      </c>
    </row>
    <row r="883" spans="1:24" x14ac:dyDescent="0.3">
      <c r="A883">
        <v>4596</v>
      </c>
      <c r="B883" s="1" t="s">
        <v>901</v>
      </c>
      <c r="C883" s="1" t="s">
        <v>352</v>
      </c>
      <c r="D883">
        <v>20</v>
      </c>
      <c r="E883">
        <v>21.5</v>
      </c>
      <c r="F883">
        <v>7.3</v>
      </c>
      <c r="G883">
        <v>7.8</v>
      </c>
      <c r="H883">
        <v>7.7</v>
      </c>
      <c r="I883">
        <v>8.6</v>
      </c>
      <c r="J883">
        <v>211</v>
      </c>
      <c r="K883">
        <v>311</v>
      </c>
      <c r="L883">
        <v>1</v>
      </c>
      <c r="M883">
        <v>7.4</v>
      </c>
      <c r="N883">
        <v>0.64</v>
      </c>
      <c r="O883">
        <v>1.1399999999999999</v>
      </c>
      <c r="P883">
        <v>2</v>
      </c>
      <c r="Q883">
        <v>2</v>
      </c>
      <c r="R883">
        <v>31</v>
      </c>
      <c r="S883">
        <v>41</v>
      </c>
      <c r="V883">
        <f>River_data[[#This Row],[Dissolved Oxygen Min]]*River_data[[#This Row],[Dissolved Oxygen Max]]/2</f>
        <v>28.47</v>
      </c>
      <c r="W883">
        <f>River_data[[#This Row],[BOD Min]]*River_data[[#This Row],[BOD Max]]/2</f>
        <v>3.7</v>
      </c>
      <c r="X883">
        <f>AVERAGE(River_data[[#This Row],[pH Max]]-River_data[[#This Row],[pH Min]])</f>
        <v>0.89999999999999947</v>
      </c>
    </row>
    <row r="884" spans="1:24" x14ac:dyDescent="0.3">
      <c r="A884">
        <v>4597</v>
      </c>
      <c r="B884" s="1" t="s">
        <v>902</v>
      </c>
      <c r="C884" s="1" t="s">
        <v>352</v>
      </c>
      <c r="D884">
        <v>19.5</v>
      </c>
      <c r="E884">
        <v>21.5</v>
      </c>
      <c r="F884">
        <v>7.2</v>
      </c>
      <c r="G884">
        <v>7.8</v>
      </c>
      <c r="H884">
        <v>7.3</v>
      </c>
      <c r="I884">
        <v>8.5</v>
      </c>
      <c r="J884">
        <v>212</v>
      </c>
      <c r="K884">
        <v>308</v>
      </c>
      <c r="L884">
        <v>1</v>
      </c>
      <c r="M884">
        <v>1.1000000000000001</v>
      </c>
      <c r="N884">
        <v>0.74</v>
      </c>
      <c r="O884">
        <v>2.2599999999999998</v>
      </c>
      <c r="P884">
        <v>2</v>
      </c>
      <c r="Q884">
        <v>2</v>
      </c>
      <c r="R884">
        <v>32</v>
      </c>
      <c r="S884">
        <v>43</v>
      </c>
      <c r="V884">
        <f>River_data[[#This Row],[Dissolved Oxygen Min]]*River_data[[#This Row],[Dissolved Oxygen Max]]/2</f>
        <v>28.08</v>
      </c>
      <c r="W884">
        <f>River_data[[#This Row],[BOD Min]]*River_data[[#This Row],[BOD Max]]/2</f>
        <v>0.55000000000000004</v>
      </c>
      <c r="X884">
        <f>AVERAGE(River_data[[#This Row],[pH Max]]-River_data[[#This Row],[pH Min]])</f>
        <v>1.2000000000000002</v>
      </c>
    </row>
    <row r="885" spans="1:24" x14ac:dyDescent="0.3">
      <c r="A885">
        <v>4598</v>
      </c>
      <c r="B885" s="1" t="s">
        <v>903</v>
      </c>
      <c r="C885" s="1" t="s">
        <v>352</v>
      </c>
      <c r="D885">
        <v>19</v>
      </c>
      <c r="E885">
        <v>21.5</v>
      </c>
      <c r="F885">
        <v>7.2</v>
      </c>
      <c r="G885">
        <v>7.8</v>
      </c>
      <c r="H885">
        <v>7.6</v>
      </c>
      <c r="I885">
        <v>8.6</v>
      </c>
      <c r="J885">
        <v>205</v>
      </c>
      <c r="K885">
        <v>329</v>
      </c>
      <c r="L885">
        <v>1</v>
      </c>
      <c r="M885">
        <v>1.1000000000000001</v>
      </c>
      <c r="N885">
        <v>0.84</v>
      </c>
      <c r="O885">
        <v>11.03</v>
      </c>
      <c r="P885">
        <v>2</v>
      </c>
      <c r="Q885">
        <v>2</v>
      </c>
      <c r="R885">
        <v>34</v>
      </c>
      <c r="S885">
        <v>49</v>
      </c>
      <c r="V885">
        <f>River_data[[#This Row],[Dissolved Oxygen Min]]*River_data[[#This Row],[Dissolved Oxygen Max]]/2</f>
        <v>28.08</v>
      </c>
      <c r="W885">
        <f>River_data[[#This Row],[BOD Min]]*River_data[[#This Row],[BOD Max]]/2</f>
        <v>0.55000000000000004</v>
      </c>
      <c r="X885">
        <f>AVERAGE(River_data[[#This Row],[pH Max]]-River_data[[#This Row],[pH Min]])</f>
        <v>1</v>
      </c>
    </row>
    <row r="886" spans="1:24" x14ac:dyDescent="0.3">
      <c r="A886">
        <v>4599</v>
      </c>
      <c r="B886" s="1" t="s">
        <v>904</v>
      </c>
      <c r="C886" s="1" t="s">
        <v>352</v>
      </c>
      <c r="D886">
        <v>19.5</v>
      </c>
      <c r="E886">
        <v>21.5</v>
      </c>
      <c r="F886">
        <v>7.3</v>
      </c>
      <c r="G886">
        <v>8</v>
      </c>
      <c r="H886">
        <v>7.8</v>
      </c>
      <c r="I886">
        <v>8.4</v>
      </c>
      <c r="J886">
        <v>248</v>
      </c>
      <c r="K886">
        <v>320</v>
      </c>
      <c r="L886">
        <v>1</v>
      </c>
      <c r="M886">
        <v>1.1000000000000001</v>
      </c>
      <c r="N886">
        <v>0.71</v>
      </c>
      <c r="O886">
        <v>1.1200000000000001</v>
      </c>
      <c r="P886">
        <v>2</v>
      </c>
      <c r="Q886">
        <v>2</v>
      </c>
      <c r="R886">
        <v>34</v>
      </c>
      <c r="S886">
        <v>41</v>
      </c>
      <c r="V886">
        <f>River_data[[#This Row],[Dissolved Oxygen Min]]*River_data[[#This Row],[Dissolved Oxygen Max]]/2</f>
        <v>29.2</v>
      </c>
      <c r="W886">
        <f>River_data[[#This Row],[BOD Min]]*River_data[[#This Row],[BOD Max]]/2</f>
        <v>0.55000000000000004</v>
      </c>
      <c r="X886">
        <f>AVERAGE(River_data[[#This Row],[pH Max]]-River_data[[#This Row],[pH Min]])</f>
        <v>0.60000000000000053</v>
      </c>
    </row>
    <row r="887" spans="1:24" x14ac:dyDescent="0.3">
      <c r="A887">
        <v>4600</v>
      </c>
      <c r="B887" s="1" t="s">
        <v>905</v>
      </c>
      <c r="C887" s="1" t="s">
        <v>352</v>
      </c>
      <c r="D887">
        <v>19.5</v>
      </c>
      <c r="E887">
        <v>21.5</v>
      </c>
      <c r="F887">
        <v>7.2</v>
      </c>
      <c r="G887">
        <v>8.1</v>
      </c>
      <c r="H887">
        <v>7.7</v>
      </c>
      <c r="I887">
        <v>8.6</v>
      </c>
      <c r="J887">
        <v>209</v>
      </c>
      <c r="K887">
        <v>330</v>
      </c>
      <c r="L887">
        <v>1</v>
      </c>
      <c r="M887">
        <v>1.2</v>
      </c>
      <c r="N887">
        <v>0.73</v>
      </c>
      <c r="O887">
        <v>1.91</v>
      </c>
      <c r="P887">
        <v>2</v>
      </c>
      <c r="Q887">
        <v>2</v>
      </c>
      <c r="R887">
        <v>38</v>
      </c>
      <c r="S887">
        <v>47</v>
      </c>
      <c r="V887">
        <f>River_data[[#This Row],[Dissolved Oxygen Min]]*River_data[[#This Row],[Dissolved Oxygen Max]]/2</f>
        <v>29.16</v>
      </c>
      <c r="W887">
        <f>River_data[[#This Row],[BOD Min]]*River_data[[#This Row],[BOD Max]]/2</f>
        <v>0.6</v>
      </c>
      <c r="X887">
        <f>AVERAGE(River_data[[#This Row],[pH Max]]-River_data[[#This Row],[pH Min]])</f>
        <v>0.89999999999999947</v>
      </c>
    </row>
    <row r="888" spans="1:24" x14ac:dyDescent="0.3">
      <c r="A888">
        <v>4601</v>
      </c>
      <c r="B888" s="1" t="s">
        <v>906</v>
      </c>
      <c r="C888" s="1" t="s">
        <v>352</v>
      </c>
      <c r="D888">
        <v>19.5</v>
      </c>
      <c r="E888">
        <v>22</v>
      </c>
      <c r="F888">
        <v>7.4</v>
      </c>
      <c r="G888">
        <v>7.8</v>
      </c>
      <c r="H888">
        <v>7.8</v>
      </c>
      <c r="I888">
        <v>8.6</v>
      </c>
      <c r="J888">
        <v>215</v>
      </c>
      <c r="K888">
        <v>337</v>
      </c>
      <c r="L888">
        <v>1</v>
      </c>
      <c r="M888">
        <v>1.2</v>
      </c>
      <c r="N888">
        <v>0.02</v>
      </c>
      <c r="O888">
        <v>1.18</v>
      </c>
      <c r="P888">
        <v>2</v>
      </c>
      <c r="Q888">
        <v>2</v>
      </c>
      <c r="R888">
        <v>34</v>
      </c>
      <c r="S888">
        <v>43</v>
      </c>
      <c r="V888">
        <f>River_data[[#This Row],[Dissolved Oxygen Min]]*River_data[[#This Row],[Dissolved Oxygen Max]]/2</f>
        <v>28.86</v>
      </c>
      <c r="W888">
        <f>River_data[[#This Row],[BOD Min]]*River_data[[#This Row],[BOD Max]]/2</f>
        <v>0.6</v>
      </c>
      <c r="X888">
        <f>AVERAGE(River_data[[#This Row],[pH Max]]-River_data[[#This Row],[pH Min]])</f>
        <v>0.79999999999999982</v>
      </c>
    </row>
    <row r="889" spans="1:24" x14ac:dyDescent="0.3">
      <c r="A889">
        <v>4602</v>
      </c>
      <c r="B889" s="1" t="s">
        <v>907</v>
      </c>
      <c r="C889" s="1" t="s">
        <v>352</v>
      </c>
      <c r="D889">
        <v>19</v>
      </c>
      <c r="E889">
        <v>22</v>
      </c>
      <c r="F889">
        <v>7.2</v>
      </c>
      <c r="G889">
        <v>8</v>
      </c>
      <c r="H889">
        <v>7.7</v>
      </c>
      <c r="I889">
        <v>8.4</v>
      </c>
      <c r="J889">
        <v>232</v>
      </c>
      <c r="K889">
        <v>350</v>
      </c>
      <c r="L889">
        <v>1</v>
      </c>
      <c r="M889">
        <v>1.1000000000000001</v>
      </c>
      <c r="N889">
        <v>0.71</v>
      </c>
      <c r="O889">
        <v>1.1599999999999999</v>
      </c>
      <c r="P889">
        <v>2</v>
      </c>
      <c r="Q889">
        <v>2</v>
      </c>
      <c r="R889">
        <v>34</v>
      </c>
      <c r="S889">
        <v>43</v>
      </c>
      <c r="V889">
        <f>River_data[[#This Row],[Dissolved Oxygen Min]]*River_data[[#This Row],[Dissolved Oxygen Max]]/2</f>
        <v>28.8</v>
      </c>
      <c r="W889">
        <f>River_data[[#This Row],[BOD Min]]*River_data[[#This Row],[BOD Max]]/2</f>
        <v>0.55000000000000004</v>
      </c>
      <c r="X889">
        <f>AVERAGE(River_data[[#This Row],[pH Max]]-River_data[[#This Row],[pH Min]])</f>
        <v>0.70000000000000018</v>
      </c>
    </row>
    <row r="890" spans="1:24" x14ac:dyDescent="0.3">
      <c r="A890">
        <v>4603</v>
      </c>
      <c r="B890" s="1" t="s">
        <v>908</v>
      </c>
      <c r="C890" s="1" t="s">
        <v>352</v>
      </c>
      <c r="D890">
        <v>19.5</v>
      </c>
      <c r="E890">
        <v>22</v>
      </c>
      <c r="F890">
        <v>6.9</v>
      </c>
      <c r="G890">
        <v>7.8</v>
      </c>
      <c r="H890">
        <v>7.6</v>
      </c>
      <c r="I890">
        <v>8.5</v>
      </c>
      <c r="J890">
        <v>255</v>
      </c>
      <c r="K890">
        <v>392</v>
      </c>
      <c r="L890">
        <v>1</v>
      </c>
      <c r="M890">
        <v>1.1000000000000001</v>
      </c>
      <c r="N890">
        <v>0.72</v>
      </c>
      <c r="O890">
        <v>1.92</v>
      </c>
      <c r="P890">
        <v>2</v>
      </c>
      <c r="Q890">
        <v>2</v>
      </c>
      <c r="R890">
        <v>34</v>
      </c>
      <c r="S890">
        <v>46</v>
      </c>
      <c r="V890">
        <f>River_data[[#This Row],[Dissolved Oxygen Min]]*River_data[[#This Row],[Dissolved Oxygen Max]]/2</f>
        <v>26.91</v>
      </c>
      <c r="W890">
        <f>River_data[[#This Row],[BOD Min]]*River_data[[#This Row],[BOD Max]]/2</f>
        <v>0.55000000000000004</v>
      </c>
      <c r="X890">
        <f>AVERAGE(River_data[[#This Row],[pH Max]]-River_data[[#This Row],[pH Min]])</f>
        <v>0.90000000000000036</v>
      </c>
    </row>
    <row r="891" spans="1:24" x14ac:dyDescent="0.3">
      <c r="A891">
        <v>4605</v>
      </c>
      <c r="B891" s="1" t="s">
        <v>909</v>
      </c>
      <c r="C891" s="1" t="s">
        <v>352</v>
      </c>
      <c r="D891">
        <v>19.5</v>
      </c>
      <c r="E891">
        <v>22</v>
      </c>
      <c r="F891">
        <v>7.2</v>
      </c>
      <c r="G891">
        <v>7.7</v>
      </c>
      <c r="H891">
        <v>7.6</v>
      </c>
      <c r="I891">
        <v>8.5</v>
      </c>
      <c r="J891">
        <v>250</v>
      </c>
      <c r="K891">
        <v>358</v>
      </c>
      <c r="L891">
        <v>1</v>
      </c>
      <c r="M891">
        <v>1.2</v>
      </c>
      <c r="N891">
        <v>0.74</v>
      </c>
      <c r="O891">
        <v>2.12</v>
      </c>
      <c r="P891">
        <v>2</v>
      </c>
      <c r="Q891">
        <v>2</v>
      </c>
      <c r="R891">
        <v>34</v>
      </c>
      <c r="S891">
        <v>48</v>
      </c>
      <c r="V891">
        <f>River_data[[#This Row],[Dissolved Oxygen Min]]*River_data[[#This Row],[Dissolved Oxygen Max]]/2</f>
        <v>27.720000000000002</v>
      </c>
      <c r="W891">
        <f>River_data[[#This Row],[BOD Min]]*River_data[[#This Row],[BOD Max]]/2</f>
        <v>0.6</v>
      </c>
      <c r="X891">
        <f>AVERAGE(River_data[[#This Row],[pH Max]]-River_data[[#This Row],[pH Min]])</f>
        <v>0.90000000000000036</v>
      </c>
    </row>
    <row r="892" spans="1:24" x14ac:dyDescent="0.3">
      <c r="A892">
        <v>30048</v>
      </c>
      <c r="B892" s="1" t="s">
        <v>910</v>
      </c>
      <c r="C892" s="1" t="s">
        <v>822</v>
      </c>
      <c r="D892">
        <v>29</v>
      </c>
      <c r="E892">
        <v>29</v>
      </c>
      <c r="F892">
        <v>7.7</v>
      </c>
      <c r="G892">
        <v>7.7</v>
      </c>
      <c r="H892">
        <v>8.3000000000000007</v>
      </c>
      <c r="I892">
        <v>8.3000000000000007</v>
      </c>
      <c r="J892">
        <v>372</v>
      </c>
      <c r="K892">
        <v>372</v>
      </c>
      <c r="L892">
        <v>2.5</v>
      </c>
      <c r="M892">
        <v>2.5</v>
      </c>
      <c r="N892">
        <v>0.32</v>
      </c>
      <c r="O892">
        <v>0.32</v>
      </c>
      <c r="P892">
        <v>700</v>
      </c>
      <c r="Q892">
        <v>700</v>
      </c>
      <c r="R892">
        <v>1100</v>
      </c>
      <c r="S892">
        <v>1100</v>
      </c>
      <c r="V892">
        <f>River_data[[#This Row],[Dissolved Oxygen Min]]*River_data[[#This Row],[Dissolved Oxygen Max]]/2</f>
        <v>29.645000000000003</v>
      </c>
      <c r="W892">
        <f>River_data[[#This Row],[BOD Min]]*River_data[[#This Row],[BOD Max]]/2</f>
        <v>3.125</v>
      </c>
      <c r="X892">
        <f>AVERAGE(River_data[[#This Row],[pH Max]]-River_data[[#This Row],[pH Min]])</f>
        <v>0</v>
      </c>
    </row>
    <row r="893" spans="1:24" x14ac:dyDescent="0.3">
      <c r="A893">
        <v>7</v>
      </c>
      <c r="B893" s="1" t="s">
        <v>911</v>
      </c>
      <c r="C893" s="1" t="s">
        <v>822</v>
      </c>
      <c r="D893">
        <v>27</v>
      </c>
      <c r="E893">
        <v>34</v>
      </c>
      <c r="F893">
        <v>7.3</v>
      </c>
      <c r="G893">
        <v>8.4</v>
      </c>
      <c r="H893">
        <v>8</v>
      </c>
      <c r="I893">
        <v>8.4</v>
      </c>
      <c r="J893">
        <v>190</v>
      </c>
      <c r="K893">
        <v>419</v>
      </c>
      <c r="L893">
        <v>1</v>
      </c>
      <c r="M893">
        <v>1</v>
      </c>
      <c r="N893">
        <v>0.32</v>
      </c>
      <c r="O893">
        <v>0.83</v>
      </c>
      <c r="P893">
        <v>2</v>
      </c>
      <c r="Q893">
        <v>23</v>
      </c>
      <c r="R893">
        <v>20</v>
      </c>
      <c r="S893">
        <v>94</v>
      </c>
      <c r="V893">
        <f>River_data[[#This Row],[Dissolved Oxygen Min]]*River_data[[#This Row],[Dissolved Oxygen Max]]/2</f>
        <v>30.66</v>
      </c>
      <c r="W893">
        <f>River_data[[#This Row],[BOD Min]]*River_data[[#This Row],[BOD Max]]/2</f>
        <v>0.5</v>
      </c>
      <c r="X893">
        <f>AVERAGE(River_data[[#This Row],[pH Max]]-River_data[[#This Row],[pH Min]])</f>
        <v>0.40000000000000036</v>
      </c>
    </row>
    <row r="894" spans="1:24" x14ac:dyDescent="0.3">
      <c r="A894">
        <v>1244</v>
      </c>
      <c r="B894" s="1" t="s">
        <v>912</v>
      </c>
      <c r="C894" s="1" t="s">
        <v>822</v>
      </c>
      <c r="D894">
        <v>27</v>
      </c>
      <c r="E894">
        <v>34</v>
      </c>
      <c r="F894">
        <v>7.1</v>
      </c>
      <c r="G894">
        <v>8.3000000000000007</v>
      </c>
      <c r="H894">
        <v>8</v>
      </c>
      <c r="I894">
        <v>8.4</v>
      </c>
      <c r="J894">
        <v>200</v>
      </c>
      <c r="K894">
        <v>363</v>
      </c>
      <c r="L894">
        <v>1</v>
      </c>
      <c r="M894">
        <v>1</v>
      </c>
      <c r="N894">
        <v>0.32</v>
      </c>
      <c r="O894">
        <v>0.85</v>
      </c>
      <c r="P894">
        <v>2</v>
      </c>
      <c r="Q894">
        <v>21</v>
      </c>
      <c r="R894">
        <v>26</v>
      </c>
      <c r="S894">
        <v>46</v>
      </c>
      <c r="V894">
        <f>River_data[[#This Row],[Dissolved Oxygen Min]]*River_data[[#This Row],[Dissolved Oxygen Max]]/2</f>
        <v>29.465</v>
      </c>
      <c r="W894">
        <f>River_data[[#This Row],[BOD Min]]*River_data[[#This Row],[BOD Max]]/2</f>
        <v>0.5</v>
      </c>
      <c r="X894">
        <f>AVERAGE(River_data[[#This Row],[pH Max]]-River_data[[#This Row],[pH Min]])</f>
        <v>0.40000000000000036</v>
      </c>
    </row>
    <row r="895" spans="1:24" x14ac:dyDescent="0.3">
      <c r="A895">
        <v>1245</v>
      </c>
      <c r="B895" s="1" t="s">
        <v>913</v>
      </c>
      <c r="C895" s="1" t="s">
        <v>822</v>
      </c>
      <c r="D895">
        <v>26</v>
      </c>
      <c r="E895">
        <v>28</v>
      </c>
      <c r="F895">
        <v>7.3</v>
      </c>
      <c r="G895">
        <v>8.6999999999999993</v>
      </c>
      <c r="H895">
        <v>7.9</v>
      </c>
      <c r="I895">
        <v>8.6999999999999993</v>
      </c>
      <c r="J895">
        <v>298</v>
      </c>
      <c r="K895">
        <v>426</v>
      </c>
      <c r="L895">
        <v>1</v>
      </c>
      <c r="M895">
        <v>1</v>
      </c>
      <c r="N895">
        <v>1.1599999999999999</v>
      </c>
      <c r="O895">
        <v>1.36</v>
      </c>
      <c r="P895">
        <v>9</v>
      </c>
      <c r="Q895">
        <v>50</v>
      </c>
      <c r="R895">
        <v>34</v>
      </c>
      <c r="S895">
        <v>140</v>
      </c>
      <c r="V895">
        <f>River_data[[#This Row],[Dissolved Oxygen Min]]*River_data[[#This Row],[Dissolved Oxygen Max]]/2</f>
        <v>31.754999999999995</v>
      </c>
      <c r="W895">
        <f>River_data[[#This Row],[BOD Min]]*River_data[[#This Row],[BOD Max]]/2</f>
        <v>0.5</v>
      </c>
      <c r="X895">
        <f>AVERAGE(River_data[[#This Row],[pH Max]]-River_data[[#This Row],[pH Min]])</f>
        <v>0.79999999999999893</v>
      </c>
    </row>
    <row r="896" spans="1:24" x14ac:dyDescent="0.3">
      <c r="A896">
        <v>1981</v>
      </c>
      <c r="B896" s="1" t="s">
        <v>914</v>
      </c>
      <c r="C896" s="1" t="s">
        <v>822</v>
      </c>
      <c r="D896">
        <v>25</v>
      </c>
      <c r="E896">
        <v>30</v>
      </c>
      <c r="F896">
        <v>7</v>
      </c>
      <c r="G896">
        <v>8.4</v>
      </c>
      <c r="H896">
        <v>7.7</v>
      </c>
      <c r="I896">
        <v>8.5</v>
      </c>
      <c r="J896">
        <v>282</v>
      </c>
      <c r="K896">
        <v>518</v>
      </c>
      <c r="L896">
        <v>1</v>
      </c>
      <c r="M896">
        <v>1</v>
      </c>
      <c r="N896">
        <v>0.3</v>
      </c>
      <c r="O896">
        <v>0.3</v>
      </c>
      <c r="P896">
        <v>13</v>
      </c>
      <c r="Q896">
        <v>78</v>
      </c>
      <c r="R896">
        <v>46</v>
      </c>
      <c r="S896">
        <v>140</v>
      </c>
      <c r="T896">
        <v>2</v>
      </c>
      <c r="U896">
        <v>21</v>
      </c>
      <c r="V896">
        <f>River_data[[#This Row],[Dissolved Oxygen Min]]*River_data[[#This Row],[Dissolved Oxygen Max]]/2</f>
        <v>29.400000000000002</v>
      </c>
      <c r="W896">
        <f>River_data[[#This Row],[BOD Min]]*River_data[[#This Row],[BOD Max]]/2</f>
        <v>0.5</v>
      </c>
      <c r="X896">
        <f>AVERAGE(River_data[[#This Row],[pH Max]]-River_data[[#This Row],[pH Min]])</f>
        <v>0.79999999999999982</v>
      </c>
    </row>
    <row r="897" spans="1:24" x14ac:dyDescent="0.3">
      <c r="A897">
        <v>1243</v>
      </c>
      <c r="B897" s="1" t="s">
        <v>915</v>
      </c>
      <c r="C897" s="1" t="s">
        <v>822</v>
      </c>
      <c r="D897">
        <v>25</v>
      </c>
      <c r="E897">
        <v>30</v>
      </c>
      <c r="F897">
        <v>6.3</v>
      </c>
      <c r="G897">
        <v>8.3000000000000007</v>
      </c>
      <c r="H897">
        <v>7.9</v>
      </c>
      <c r="I897">
        <v>8.5</v>
      </c>
      <c r="J897">
        <v>270</v>
      </c>
      <c r="K897">
        <v>770</v>
      </c>
      <c r="L897">
        <v>1</v>
      </c>
      <c r="M897">
        <v>1</v>
      </c>
      <c r="N897">
        <v>0.3</v>
      </c>
      <c r="O897">
        <v>0.3</v>
      </c>
      <c r="P897">
        <v>39</v>
      </c>
      <c r="Q897">
        <v>170</v>
      </c>
      <c r="R897">
        <v>140</v>
      </c>
      <c r="S897">
        <v>340</v>
      </c>
      <c r="T897">
        <v>11</v>
      </c>
      <c r="U897">
        <v>40</v>
      </c>
      <c r="V897">
        <f>River_data[[#This Row],[Dissolved Oxygen Min]]*River_data[[#This Row],[Dissolved Oxygen Max]]/2</f>
        <v>26.145000000000003</v>
      </c>
      <c r="W897">
        <f>River_data[[#This Row],[BOD Min]]*River_data[[#This Row],[BOD Max]]/2</f>
        <v>0.5</v>
      </c>
      <c r="X897">
        <f>AVERAGE(River_data[[#This Row],[pH Max]]-River_data[[#This Row],[pH Min]])</f>
        <v>0.59999999999999964</v>
      </c>
    </row>
    <row r="898" spans="1:24" x14ac:dyDescent="0.3">
      <c r="A898">
        <v>1236</v>
      </c>
      <c r="B898" s="1" t="s">
        <v>916</v>
      </c>
      <c r="C898" s="1" t="s">
        <v>352</v>
      </c>
      <c r="D898">
        <v>20</v>
      </c>
      <c r="E898">
        <v>21</v>
      </c>
      <c r="F898">
        <v>7.3</v>
      </c>
      <c r="G898">
        <v>7.7</v>
      </c>
      <c r="H898">
        <v>7.6</v>
      </c>
      <c r="I898">
        <v>8.6</v>
      </c>
      <c r="J898">
        <v>322</v>
      </c>
      <c r="K898">
        <v>514</v>
      </c>
      <c r="L898">
        <v>1</v>
      </c>
      <c r="M898">
        <v>1.2</v>
      </c>
      <c r="N898">
        <v>0.79</v>
      </c>
      <c r="O898">
        <v>1.28</v>
      </c>
      <c r="P898">
        <v>2</v>
      </c>
      <c r="Q898">
        <v>2</v>
      </c>
      <c r="R898">
        <v>36</v>
      </c>
      <c r="S898">
        <v>58</v>
      </c>
      <c r="V898">
        <f>River_data[[#This Row],[Dissolved Oxygen Min]]*River_data[[#This Row],[Dissolved Oxygen Max]]/2</f>
        <v>28.105</v>
      </c>
      <c r="W898">
        <f>River_data[[#This Row],[BOD Min]]*River_data[[#This Row],[BOD Max]]/2</f>
        <v>0.6</v>
      </c>
      <c r="X898">
        <f>AVERAGE(River_data[[#This Row],[pH Max]]-River_data[[#This Row],[pH Min]])</f>
        <v>1</v>
      </c>
    </row>
    <row r="899" spans="1:24" x14ac:dyDescent="0.3">
      <c r="A899">
        <v>2100</v>
      </c>
      <c r="B899" s="1" t="s">
        <v>917</v>
      </c>
      <c r="C899" s="1" t="s">
        <v>352</v>
      </c>
      <c r="D899">
        <v>21.1</v>
      </c>
      <c r="E899">
        <v>24.6</v>
      </c>
      <c r="F899">
        <v>7.5</v>
      </c>
      <c r="G899">
        <v>7.7</v>
      </c>
      <c r="H899">
        <v>7.2</v>
      </c>
      <c r="I899">
        <v>7.8</v>
      </c>
      <c r="J899">
        <v>267</v>
      </c>
      <c r="K899">
        <v>394</v>
      </c>
      <c r="L899">
        <v>1.2</v>
      </c>
      <c r="M899">
        <v>1.6</v>
      </c>
      <c r="N899">
        <v>0.12</v>
      </c>
      <c r="O899">
        <v>3.95</v>
      </c>
      <c r="P899">
        <v>2</v>
      </c>
      <c r="Q899">
        <v>23</v>
      </c>
      <c r="R899">
        <v>32</v>
      </c>
      <c r="S899">
        <v>93</v>
      </c>
      <c r="V899">
        <f>River_data[[#This Row],[Dissolved Oxygen Min]]*River_data[[#This Row],[Dissolved Oxygen Max]]/2</f>
        <v>28.875</v>
      </c>
      <c r="W899">
        <f>River_data[[#This Row],[BOD Min]]*River_data[[#This Row],[BOD Max]]/2</f>
        <v>0.96</v>
      </c>
      <c r="X899">
        <f>AVERAGE(River_data[[#This Row],[pH Max]]-River_data[[#This Row],[pH Min]])</f>
        <v>0.59999999999999964</v>
      </c>
    </row>
    <row r="900" spans="1:24" x14ac:dyDescent="0.3">
      <c r="A900">
        <v>2114</v>
      </c>
      <c r="B900" s="1" t="s">
        <v>918</v>
      </c>
      <c r="C900" s="1" t="s">
        <v>352</v>
      </c>
      <c r="D900">
        <v>20</v>
      </c>
      <c r="E900">
        <v>22</v>
      </c>
      <c r="F900">
        <v>1.9</v>
      </c>
      <c r="G900">
        <v>7.7</v>
      </c>
      <c r="H900">
        <v>7.7</v>
      </c>
      <c r="I900">
        <v>8.6</v>
      </c>
      <c r="J900">
        <v>310</v>
      </c>
      <c r="K900">
        <v>1165</v>
      </c>
      <c r="L900">
        <v>1</v>
      </c>
      <c r="M900">
        <v>10</v>
      </c>
      <c r="N900">
        <v>1.08</v>
      </c>
      <c r="O900">
        <v>3.3</v>
      </c>
      <c r="P900">
        <v>2</v>
      </c>
      <c r="Q900">
        <v>40</v>
      </c>
      <c r="R900">
        <v>49</v>
      </c>
      <c r="S900">
        <v>920</v>
      </c>
      <c r="T900">
        <v>2</v>
      </c>
      <c r="U900">
        <v>8</v>
      </c>
      <c r="V900">
        <f>River_data[[#This Row],[Dissolved Oxygen Min]]*River_data[[#This Row],[Dissolved Oxygen Max]]/2</f>
        <v>7.3149999999999995</v>
      </c>
      <c r="W900">
        <f>River_data[[#This Row],[BOD Min]]*River_data[[#This Row],[BOD Max]]/2</f>
        <v>5</v>
      </c>
      <c r="X900">
        <f>AVERAGE(River_data[[#This Row],[pH Max]]-River_data[[#This Row],[pH Min]])</f>
        <v>0.89999999999999947</v>
      </c>
    </row>
    <row r="901" spans="1:24" x14ac:dyDescent="0.3">
      <c r="A901">
        <v>3305</v>
      </c>
      <c r="B901" s="1" t="s">
        <v>919</v>
      </c>
      <c r="C901" s="1" t="s">
        <v>352</v>
      </c>
      <c r="D901">
        <v>20.2</v>
      </c>
      <c r="E901">
        <v>24.3</v>
      </c>
      <c r="F901">
        <v>7</v>
      </c>
      <c r="G901">
        <v>7.8</v>
      </c>
      <c r="H901">
        <v>7.3</v>
      </c>
      <c r="I901">
        <v>8.1</v>
      </c>
      <c r="J901">
        <v>275</v>
      </c>
      <c r="K901">
        <v>523</v>
      </c>
      <c r="L901">
        <v>1.2</v>
      </c>
      <c r="M901">
        <v>2</v>
      </c>
      <c r="N901">
        <v>0.22</v>
      </c>
      <c r="O901">
        <v>1.34</v>
      </c>
      <c r="P901">
        <v>2</v>
      </c>
      <c r="Q901">
        <v>10</v>
      </c>
      <c r="R901">
        <v>17</v>
      </c>
      <c r="S901">
        <v>49</v>
      </c>
      <c r="V901">
        <f>River_data[[#This Row],[Dissolved Oxygen Min]]*River_data[[#This Row],[Dissolved Oxygen Max]]/2</f>
        <v>27.3</v>
      </c>
      <c r="W901">
        <f>River_data[[#This Row],[BOD Min]]*River_data[[#This Row],[BOD Max]]/2</f>
        <v>1.2</v>
      </c>
      <c r="X901">
        <f>AVERAGE(River_data[[#This Row],[pH Max]]-River_data[[#This Row],[pH Min]])</f>
        <v>0.79999999999999982</v>
      </c>
    </row>
    <row r="902" spans="1:24" x14ac:dyDescent="0.3">
      <c r="A902">
        <v>3828</v>
      </c>
      <c r="B902" s="1" t="s">
        <v>920</v>
      </c>
      <c r="C902" s="1" t="s">
        <v>352</v>
      </c>
      <c r="D902">
        <v>20.100000000000001</v>
      </c>
      <c r="E902">
        <v>24.2</v>
      </c>
      <c r="F902">
        <v>6.3</v>
      </c>
      <c r="G902">
        <v>7.8</v>
      </c>
      <c r="H902">
        <v>7.4</v>
      </c>
      <c r="I902">
        <v>8</v>
      </c>
      <c r="J902">
        <v>228</v>
      </c>
      <c r="K902">
        <v>713</v>
      </c>
      <c r="L902">
        <v>1.2</v>
      </c>
      <c r="M902">
        <v>2.2000000000000002</v>
      </c>
      <c r="N902">
        <v>0.14000000000000001</v>
      </c>
      <c r="O902">
        <v>1.6</v>
      </c>
      <c r="P902">
        <v>2</v>
      </c>
      <c r="Q902">
        <v>9</v>
      </c>
      <c r="R902">
        <v>17</v>
      </c>
      <c r="S902">
        <v>48</v>
      </c>
      <c r="V902">
        <f>River_data[[#This Row],[Dissolved Oxygen Min]]*River_data[[#This Row],[Dissolved Oxygen Max]]/2</f>
        <v>24.57</v>
      </c>
      <c r="W902">
        <f>River_data[[#This Row],[BOD Min]]*River_data[[#This Row],[BOD Max]]/2</f>
        <v>1.32</v>
      </c>
      <c r="X902">
        <f>AVERAGE(River_data[[#This Row],[pH Max]]-River_data[[#This Row],[pH Min]])</f>
        <v>0.59999999999999964</v>
      </c>
    </row>
    <row r="903" spans="1:24" x14ac:dyDescent="0.3">
      <c r="A903">
        <v>3829</v>
      </c>
      <c r="B903" s="1" t="s">
        <v>921</v>
      </c>
      <c r="C903" s="1" t="s">
        <v>352</v>
      </c>
      <c r="D903">
        <v>20.9</v>
      </c>
      <c r="E903">
        <v>24.6</v>
      </c>
      <c r="F903">
        <v>6.3</v>
      </c>
      <c r="G903">
        <v>7.9</v>
      </c>
      <c r="H903">
        <v>7.1</v>
      </c>
      <c r="I903">
        <v>8.1</v>
      </c>
      <c r="J903">
        <v>208</v>
      </c>
      <c r="K903">
        <v>641</v>
      </c>
      <c r="L903">
        <v>1.2</v>
      </c>
      <c r="M903">
        <v>2</v>
      </c>
      <c r="N903">
        <v>0.27</v>
      </c>
      <c r="O903">
        <v>1.44</v>
      </c>
      <c r="P903">
        <v>2</v>
      </c>
      <c r="Q903">
        <v>6</v>
      </c>
      <c r="R903">
        <v>10</v>
      </c>
      <c r="S903">
        <v>70</v>
      </c>
      <c r="V903">
        <f>River_data[[#This Row],[Dissolved Oxygen Min]]*River_data[[#This Row],[Dissolved Oxygen Max]]/2</f>
        <v>24.885000000000002</v>
      </c>
      <c r="W903">
        <f>River_data[[#This Row],[BOD Min]]*River_data[[#This Row],[BOD Max]]/2</f>
        <v>1.2</v>
      </c>
      <c r="X903">
        <f>AVERAGE(River_data[[#This Row],[pH Max]]-River_data[[#This Row],[pH Min]])</f>
        <v>1</v>
      </c>
    </row>
    <row r="904" spans="1:24" x14ac:dyDescent="0.3">
      <c r="A904">
        <v>4613</v>
      </c>
      <c r="B904" s="1" t="s">
        <v>922</v>
      </c>
      <c r="C904" s="1" t="s">
        <v>352</v>
      </c>
      <c r="D904">
        <v>20.3</v>
      </c>
      <c r="E904">
        <v>25</v>
      </c>
      <c r="F904">
        <v>5.7</v>
      </c>
      <c r="G904">
        <v>7.9</v>
      </c>
      <c r="H904">
        <v>6.4</v>
      </c>
      <c r="I904">
        <v>7.9</v>
      </c>
      <c r="J904">
        <v>290</v>
      </c>
      <c r="K904">
        <v>10850</v>
      </c>
      <c r="L904">
        <v>1.8</v>
      </c>
      <c r="M904">
        <v>12</v>
      </c>
      <c r="N904">
        <v>0.28999999999999998</v>
      </c>
      <c r="O904">
        <v>1.6</v>
      </c>
      <c r="P904">
        <v>2</v>
      </c>
      <c r="Q904">
        <v>14</v>
      </c>
      <c r="R904">
        <v>17</v>
      </c>
      <c r="S904">
        <v>540</v>
      </c>
      <c r="V904">
        <f>River_data[[#This Row],[Dissolved Oxygen Min]]*River_data[[#This Row],[Dissolved Oxygen Max]]/2</f>
        <v>22.515000000000001</v>
      </c>
      <c r="W904">
        <f>River_data[[#This Row],[BOD Min]]*River_data[[#This Row],[BOD Max]]/2</f>
        <v>10.8</v>
      </c>
      <c r="X904">
        <f>AVERAGE(River_data[[#This Row],[pH Max]]-River_data[[#This Row],[pH Min]])</f>
        <v>1.5</v>
      </c>
    </row>
    <row r="905" spans="1:24" x14ac:dyDescent="0.3">
      <c r="A905">
        <v>4616</v>
      </c>
      <c r="B905" s="1" t="s">
        <v>923</v>
      </c>
      <c r="C905" s="1" t="s">
        <v>352</v>
      </c>
      <c r="D905">
        <v>20.399999999999999</v>
      </c>
      <c r="E905">
        <v>24.5</v>
      </c>
      <c r="F905">
        <v>7.1</v>
      </c>
      <c r="G905">
        <v>7.9</v>
      </c>
      <c r="H905">
        <v>7.3</v>
      </c>
      <c r="I905">
        <v>8.1</v>
      </c>
      <c r="J905">
        <v>278</v>
      </c>
      <c r="K905">
        <v>497</v>
      </c>
      <c r="L905">
        <v>1</v>
      </c>
      <c r="M905">
        <v>1.9</v>
      </c>
      <c r="N905">
        <v>0.21</v>
      </c>
      <c r="O905">
        <v>1.34</v>
      </c>
      <c r="P905">
        <v>2</v>
      </c>
      <c r="Q905">
        <v>12</v>
      </c>
      <c r="R905">
        <v>11</v>
      </c>
      <c r="S905">
        <v>47</v>
      </c>
      <c r="V905">
        <f>River_data[[#This Row],[Dissolved Oxygen Min]]*River_data[[#This Row],[Dissolved Oxygen Max]]/2</f>
        <v>28.044999999999998</v>
      </c>
      <c r="W905">
        <f>River_data[[#This Row],[BOD Min]]*River_data[[#This Row],[BOD Max]]/2</f>
        <v>0.95</v>
      </c>
      <c r="X905">
        <f>AVERAGE(River_data[[#This Row],[pH Max]]-River_data[[#This Row],[pH Min]])</f>
        <v>0.79999999999999982</v>
      </c>
    </row>
    <row r="906" spans="1:24" x14ac:dyDescent="0.3">
      <c r="A906">
        <v>4617</v>
      </c>
      <c r="B906" s="1" t="s">
        <v>924</v>
      </c>
      <c r="C906" s="1" t="s">
        <v>352</v>
      </c>
      <c r="D906">
        <v>20.3</v>
      </c>
      <c r="E906">
        <v>24.3</v>
      </c>
      <c r="F906">
        <v>7.2</v>
      </c>
      <c r="G906">
        <v>7.6</v>
      </c>
      <c r="H906">
        <v>7.2</v>
      </c>
      <c r="I906">
        <v>7.8</v>
      </c>
      <c r="J906">
        <v>270</v>
      </c>
      <c r="K906">
        <v>521</v>
      </c>
      <c r="L906">
        <v>1</v>
      </c>
      <c r="M906">
        <v>1.9</v>
      </c>
      <c r="N906">
        <v>0.25</v>
      </c>
      <c r="O906">
        <v>1.34</v>
      </c>
      <c r="P906">
        <v>2</v>
      </c>
      <c r="Q906">
        <v>10</v>
      </c>
      <c r="R906">
        <v>11</v>
      </c>
      <c r="S906">
        <v>47</v>
      </c>
      <c r="V906">
        <f>River_data[[#This Row],[Dissolved Oxygen Min]]*River_data[[#This Row],[Dissolved Oxygen Max]]/2</f>
        <v>27.36</v>
      </c>
      <c r="W906">
        <f>River_data[[#This Row],[BOD Min]]*River_data[[#This Row],[BOD Max]]/2</f>
        <v>0.95</v>
      </c>
      <c r="X906">
        <f>AVERAGE(River_data[[#This Row],[pH Max]]-River_data[[#This Row],[pH Min]])</f>
        <v>0.59999999999999964</v>
      </c>
    </row>
    <row r="907" spans="1:24" x14ac:dyDescent="0.3">
      <c r="A907">
        <v>9</v>
      </c>
      <c r="B907" s="1" t="s">
        <v>925</v>
      </c>
      <c r="C907" s="1" t="s">
        <v>352</v>
      </c>
      <c r="D907">
        <v>20</v>
      </c>
      <c r="E907">
        <v>22</v>
      </c>
      <c r="F907">
        <v>6.9</v>
      </c>
      <c r="G907">
        <v>7.8</v>
      </c>
      <c r="H907">
        <v>7.7</v>
      </c>
      <c r="I907">
        <v>8.5</v>
      </c>
      <c r="J907">
        <v>194</v>
      </c>
      <c r="K907">
        <v>592</v>
      </c>
      <c r="L907">
        <v>1</v>
      </c>
      <c r="M907">
        <v>1.6</v>
      </c>
      <c r="N907">
        <v>0.51</v>
      </c>
      <c r="O907">
        <v>1.36</v>
      </c>
      <c r="P907">
        <v>2</v>
      </c>
      <c r="Q907">
        <v>2</v>
      </c>
      <c r="R907">
        <v>40</v>
      </c>
      <c r="S907">
        <v>89</v>
      </c>
      <c r="V907">
        <f>River_data[[#This Row],[Dissolved Oxygen Min]]*River_data[[#This Row],[Dissolved Oxygen Max]]/2</f>
        <v>26.91</v>
      </c>
      <c r="W907">
        <f>River_data[[#This Row],[BOD Min]]*River_data[[#This Row],[BOD Max]]/2</f>
        <v>0.8</v>
      </c>
      <c r="X907">
        <f>AVERAGE(River_data[[#This Row],[pH Max]]-River_data[[#This Row],[pH Min]])</f>
        <v>0.79999999999999982</v>
      </c>
    </row>
    <row r="908" spans="1:24" x14ac:dyDescent="0.3">
      <c r="A908">
        <v>10</v>
      </c>
      <c r="B908" s="1" t="s">
        <v>926</v>
      </c>
      <c r="C908" s="1" t="s">
        <v>352</v>
      </c>
      <c r="D908">
        <v>20</v>
      </c>
      <c r="E908">
        <v>22</v>
      </c>
      <c r="F908">
        <v>6.6</v>
      </c>
      <c r="G908">
        <v>7.9</v>
      </c>
      <c r="H908">
        <v>7.8</v>
      </c>
      <c r="I908">
        <v>8.9</v>
      </c>
      <c r="J908">
        <v>246</v>
      </c>
      <c r="K908">
        <v>1043</v>
      </c>
      <c r="L908">
        <v>1</v>
      </c>
      <c r="M908">
        <v>3</v>
      </c>
      <c r="N908">
        <v>0.71</v>
      </c>
      <c r="O908">
        <v>1.38</v>
      </c>
      <c r="P908">
        <v>2</v>
      </c>
      <c r="Q908">
        <v>4</v>
      </c>
      <c r="R908">
        <v>49</v>
      </c>
      <c r="S908">
        <v>210</v>
      </c>
      <c r="V908">
        <f>River_data[[#This Row],[Dissolved Oxygen Min]]*River_data[[#This Row],[Dissolved Oxygen Max]]/2</f>
        <v>26.07</v>
      </c>
      <c r="W908">
        <f>River_data[[#This Row],[BOD Min]]*River_data[[#This Row],[BOD Max]]/2</f>
        <v>1.5</v>
      </c>
      <c r="X908">
        <f>AVERAGE(River_data[[#This Row],[pH Max]]-River_data[[#This Row],[pH Min]])</f>
        <v>1.1000000000000005</v>
      </c>
    </row>
    <row r="909" spans="1:24" x14ac:dyDescent="0.3">
      <c r="A909">
        <v>1250</v>
      </c>
      <c r="B909" s="1" t="s">
        <v>927</v>
      </c>
      <c r="C909" s="1" t="s">
        <v>352</v>
      </c>
      <c r="D909">
        <v>20</v>
      </c>
      <c r="E909">
        <v>22</v>
      </c>
      <c r="F909">
        <v>4.5999999999999996</v>
      </c>
      <c r="G909">
        <v>7.6</v>
      </c>
      <c r="H909">
        <v>7.7</v>
      </c>
      <c r="I909">
        <v>8.6</v>
      </c>
      <c r="J909">
        <v>220</v>
      </c>
      <c r="K909">
        <v>1195</v>
      </c>
      <c r="L909">
        <v>1</v>
      </c>
      <c r="M909">
        <v>3</v>
      </c>
      <c r="N909">
        <v>0.44</v>
      </c>
      <c r="O909">
        <v>49.01</v>
      </c>
      <c r="P909">
        <v>2</v>
      </c>
      <c r="Q909">
        <v>2</v>
      </c>
      <c r="R909">
        <v>2</v>
      </c>
      <c r="S909">
        <v>350</v>
      </c>
      <c r="T909">
        <v>2</v>
      </c>
      <c r="U909">
        <v>2</v>
      </c>
      <c r="V909">
        <f>River_data[[#This Row],[Dissolved Oxygen Min]]*River_data[[#This Row],[Dissolved Oxygen Max]]/2</f>
        <v>17.479999999999997</v>
      </c>
      <c r="W909">
        <f>River_data[[#This Row],[BOD Min]]*River_data[[#This Row],[BOD Max]]/2</f>
        <v>1.5</v>
      </c>
      <c r="X909">
        <f>AVERAGE(River_data[[#This Row],[pH Max]]-River_data[[#This Row],[pH Min]])</f>
        <v>0.89999999999999947</v>
      </c>
    </row>
    <row r="910" spans="1:24" x14ac:dyDescent="0.3">
      <c r="A910">
        <v>1466</v>
      </c>
      <c r="B910" s="1" t="s">
        <v>928</v>
      </c>
      <c r="C910" s="1" t="s">
        <v>352</v>
      </c>
      <c r="D910">
        <v>16</v>
      </c>
      <c r="E910">
        <v>31</v>
      </c>
      <c r="F910">
        <v>7.1</v>
      </c>
      <c r="G910">
        <v>7.7</v>
      </c>
      <c r="H910">
        <v>7.1</v>
      </c>
      <c r="I910">
        <v>8.1</v>
      </c>
      <c r="J910">
        <v>284</v>
      </c>
      <c r="K910">
        <v>774</v>
      </c>
      <c r="L910">
        <v>1.4</v>
      </c>
      <c r="M910">
        <v>2</v>
      </c>
      <c r="N910">
        <v>0.48</v>
      </c>
      <c r="O910">
        <v>5.04</v>
      </c>
      <c r="P910">
        <v>2</v>
      </c>
      <c r="Q910">
        <v>7</v>
      </c>
      <c r="R910">
        <v>10</v>
      </c>
      <c r="S910">
        <v>120</v>
      </c>
      <c r="V910">
        <f>River_data[[#This Row],[Dissolved Oxygen Min]]*River_data[[#This Row],[Dissolved Oxygen Max]]/2</f>
        <v>27.335000000000001</v>
      </c>
      <c r="W910">
        <f>River_data[[#This Row],[BOD Min]]*River_data[[#This Row],[BOD Max]]/2</f>
        <v>1.4</v>
      </c>
      <c r="X910">
        <f>AVERAGE(River_data[[#This Row],[pH Max]]-River_data[[#This Row],[pH Min]])</f>
        <v>1</v>
      </c>
    </row>
    <row r="911" spans="1:24" x14ac:dyDescent="0.3">
      <c r="A911">
        <v>46</v>
      </c>
      <c r="B911" s="1" t="s">
        <v>929</v>
      </c>
      <c r="C911" s="1" t="s">
        <v>822</v>
      </c>
      <c r="D911">
        <v>27</v>
      </c>
      <c r="E911">
        <v>30</v>
      </c>
      <c r="F911">
        <v>6.6</v>
      </c>
      <c r="G911">
        <v>8</v>
      </c>
      <c r="H911">
        <v>7.2</v>
      </c>
      <c r="I911">
        <v>8.5</v>
      </c>
      <c r="J911">
        <v>295</v>
      </c>
      <c r="K911">
        <v>537</v>
      </c>
      <c r="L911">
        <v>1</v>
      </c>
      <c r="M911">
        <v>1.9</v>
      </c>
      <c r="N911">
        <v>0.32</v>
      </c>
      <c r="O911">
        <v>1.1399999999999999</v>
      </c>
      <c r="P911">
        <v>2</v>
      </c>
      <c r="Q911">
        <v>6</v>
      </c>
      <c r="R911">
        <v>4</v>
      </c>
      <c r="S911">
        <v>26</v>
      </c>
      <c r="V911">
        <f>River_data[[#This Row],[Dissolved Oxygen Min]]*River_data[[#This Row],[Dissolved Oxygen Max]]/2</f>
        <v>26.4</v>
      </c>
      <c r="W911">
        <f>River_data[[#This Row],[BOD Min]]*River_data[[#This Row],[BOD Max]]/2</f>
        <v>0.95</v>
      </c>
      <c r="X911">
        <f>AVERAGE(River_data[[#This Row],[pH Max]]-River_data[[#This Row],[pH Min]])</f>
        <v>1.2999999999999998</v>
      </c>
    </row>
    <row r="912" spans="1:24" x14ac:dyDescent="0.3">
      <c r="A912">
        <v>1247</v>
      </c>
      <c r="B912" s="1" t="s">
        <v>930</v>
      </c>
      <c r="C912" s="1" t="s">
        <v>822</v>
      </c>
      <c r="D912">
        <v>18</v>
      </c>
      <c r="E912">
        <v>32</v>
      </c>
      <c r="F912">
        <v>7</v>
      </c>
      <c r="G912">
        <v>7.7</v>
      </c>
      <c r="H912">
        <v>6.9</v>
      </c>
      <c r="I912">
        <v>8.5</v>
      </c>
      <c r="J912">
        <v>337</v>
      </c>
      <c r="K912">
        <v>600</v>
      </c>
      <c r="L912">
        <v>1</v>
      </c>
      <c r="M912">
        <v>2</v>
      </c>
      <c r="N912">
        <v>0.3</v>
      </c>
      <c r="O912">
        <v>0.52</v>
      </c>
      <c r="P912">
        <v>2</v>
      </c>
      <c r="Q912">
        <v>4</v>
      </c>
      <c r="R912">
        <v>4</v>
      </c>
      <c r="S912">
        <v>17</v>
      </c>
      <c r="T912">
        <v>2</v>
      </c>
      <c r="U912">
        <v>2</v>
      </c>
      <c r="V912">
        <f>River_data[[#This Row],[Dissolved Oxygen Min]]*River_data[[#This Row],[Dissolved Oxygen Max]]/2</f>
        <v>26.95</v>
      </c>
      <c r="W912">
        <f>River_data[[#This Row],[BOD Min]]*River_data[[#This Row],[BOD Max]]/2</f>
        <v>1</v>
      </c>
      <c r="X912">
        <f>AVERAGE(River_data[[#This Row],[pH Max]]-River_data[[#This Row],[pH Min]])</f>
        <v>1.5999999999999996</v>
      </c>
    </row>
    <row r="913" spans="1:24" x14ac:dyDescent="0.3">
      <c r="A913">
        <v>1983</v>
      </c>
      <c r="B913" s="1" t="s">
        <v>931</v>
      </c>
      <c r="C913" s="1" t="s">
        <v>822</v>
      </c>
      <c r="D913">
        <v>20</v>
      </c>
      <c r="E913">
        <v>30</v>
      </c>
      <c r="F913">
        <v>7</v>
      </c>
      <c r="G913">
        <v>7.6</v>
      </c>
      <c r="H913">
        <v>6.8</v>
      </c>
      <c r="I913">
        <v>8.5</v>
      </c>
      <c r="J913">
        <v>348</v>
      </c>
      <c r="K913">
        <v>535</v>
      </c>
      <c r="L913">
        <v>1</v>
      </c>
      <c r="M913">
        <v>1.9</v>
      </c>
      <c r="N913">
        <v>0.3</v>
      </c>
      <c r="O913">
        <v>6</v>
      </c>
      <c r="P913">
        <v>2</v>
      </c>
      <c r="Q913">
        <v>2</v>
      </c>
      <c r="R913">
        <v>2</v>
      </c>
      <c r="S913">
        <v>113</v>
      </c>
      <c r="T913">
        <v>2</v>
      </c>
      <c r="U913">
        <v>2</v>
      </c>
      <c r="V913">
        <f>River_data[[#This Row],[Dissolved Oxygen Min]]*River_data[[#This Row],[Dissolved Oxygen Max]]/2</f>
        <v>26.599999999999998</v>
      </c>
      <c r="W913">
        <f>River_data[[#This Row],[BOD Min]]*River_data[[#This Row],[BOD Max]]/2</f>
        <v>0.95</v>
      </c>
      <c r="X913">
        <f>AVERAGE(River_data[[#This Row],[pH Max]]-River_data[[#This Row],[pH Min]])</f>
        <v>1.7000000000000002</v>
      </c>
    </row>
    <row r="914" spans="1:24" x14ac:dyDescent="0.3">
      <c r="A914">
        <v>47</v>
      </c>
      <c r="B914" s="1" t="s">
        <v>932</v>
      </c>
      <c r="C914" s="1" t="s">
        <v>822</v>
      </c>
      <c r="D914">
        <v>18</v>
      </c>
      <c r="E914">
        <v>31</v>
      </c>
      <c r="F914">
        <v>7.1</v>
      </c>
      <c r="G914">
        <v>8</v>
      </c>
      <c r="H914">
        <v>6.8</v>
      </c>
      <c r="I914">
        <v>8.5</v>
      </c>
      <c r="J914">
        <v>404</v>
      </c>
      <c r="K914">
        <v>4723</v>
      </c>
      <c r="L914">
        <v>1</v>
      </c>
      <c r="M914">
        <v>1.9</v>
      </c>
      <c r="N914">
        <v>0.3</v>
      </c>
      <c r="O914">
        <v>0.3</v>
      </c>
      <c r="P914">
        <v>6</v>
      </c>
      <c r="Q914">
        <v>21</v>
      </c>
      <c r="R914">
        <v>24</v>
      </c>
      <c r="S914">
        <v>58</v>
      </c>
      <c r="T914">
        <v>2</v>
      </c>
      <c r="U914">
        <v>6</v>
      </c>
      <c r="V914">
        <f>River_data[[#This Row],[Dissolved Oxygen Min]]*River_data[[#This Row],[Dissolved Oxygen Max]]/2</f>
        <v>28.4</v>
      </c>
      <c r="W914">
        <f>River_data[[#This Row],[BOD Min]]*River_data[[#This Row],[BOD Max]]/2</f>
        <v>0.95</v>
      </c>
      <c r="X914">
        <f>AVERAGE(River_data[[#This Row],[pH Max]]-River_data[[#This Row],[pH Min]])</f>
        <v>1.7000000000000002</v>
      </c>
    </row>
    <row r="915" spans="1:24" x14ac:dyDescent="0.3">
      <c r="A915">
        <v>1248</v>
      </c>
      <c r="B915" s="1" t="s">
        <v>933</v>
      </c>
      <c r="C915" s="1" t="s">
        <v>822</v>
      </c>
      <c r="D915">
        <v>18</v>
      </c>
      <c r="E915">
        <v>31</v>
      </c>
      <c r="F915">
        <v>7</v>
      </c>
      <c r="G915">
        <v>8</v>
      </c>
      <c r="H915">
        <v>6.7</v>
      </c>
      <c r="I915">
        <v>8.5</v>
      </c>
      <c r="J915">
        <v>406</v>
      </c>
      <c r="K915">
        <v>775</v>
      </c>
      <c r="L915">
        <v>1</v>
      </c>
      <c r="M915">
        <v>2.4</v>
      </c>
      <c r="N915">
        <v>0.3</v>
      </c>
      <c r="O915">
        <v>0.84</v>
      </c>
      <c r="P915">
        <v>10</v>
      </c>
      <c r="Q915">
        <v>14</v>
      </c>
      <c r="R915">
        <v>25</v>
      </c>
      <c r="S915">
        <v>58</v>
      </c>
      <c r="T915">
        <v>2</v>
      </c>
      <c r="U915">
        <v>2</v>
      </c>
      <c r="V915">
        <f>River_data[[#This Row],[Dissolved Oxygen Min]]*River_data[[#This Row],[Dissolved Oxygen Max]]/2</f>
        <v>28</v>
      </c>
      <c r="W915">
        <f>River_data[[#This Row],[BOD Min]]*River_data[[#This Row],[BOD Max]]/2</f>
        <v>1.2</v>
      </c>
      <c r="X915">
        <f>AVERAGE(River_data[[#This Row],[pH Max]]-River_data[[#This Row],[pH Min]])</f>
        <v>1.7999999999999998</v>
      </c>
    </row>
    <row r="916" spans="1:24" x14ac:dyDescent="0.3">
      <c r="A916">
        <v>1982</v>
      </c>
      <c r="B916" s="1" t="s">
        <v>934</v>
      </c>
      <c r="C916" s="1" t="s">
        <v>822</v>
      </c>
      <c r="D916">
        <v>22</v>
      </c>
      <c r="E916">
        <v>31</v>
      </c>
      <c r="F916">
        <v>6.9</v>
      </c>
      <c r="G916">
        <v>7.4</v>
      </c>
      <c r="H916">
        <v>7.1</v>
      </c>
      <c r="I916">
        <v>8.5</v>
      </c>
      <c r="J916">
        <v>418</v>
      </c>
      <c r="K916">
        <v>6192</v>
      </c>
      <c r="L916">
        <v>1</v>
      </c>
      <c r="M916">
        <v>2.6</v>
      </c>
      <c r="N916">
        <v>0.3</v>
      </c>
      <c r="O916">
        <v>0.3</v>
      </c>
      <c r="P916">
        <v>6</v>
      </c>
      <c r="Q916">
        <v>17</v>
      </c>
      <c r="R916">
        <v>17</v>
      </c>
      <c r="S916">
        <v>58</v>
      </c>
      <c r="T916">
        <v>2</v>
      </c>
      <c r="U916">
        <v>2</v>
      </c>
      <c r="V916">
        <f>River_data[[#This Row],[Dissolved Oxygen Min]]*River_data[[#This Row],[Dissolved Oxygen Max]]/2</f>
        <v>25.53</v>
      </c>
      <c r="W916">
        <f>River_data[[#This Row],[BOD Min]]*River_data[[#This Row],[BOD Max]]/2</f>
        <v>1.3</v>
      </c>
      <c r="X916">
        <f>AVERAGE(River_data[[#This Row],[pH Max]]-River_data[[#This Row],[pH Min]])</f>
        <v>1.4000000000000004</v>
      </c>
    </row>
    <row r="917" spans="1:24" x14ac:dyDescent="0.3">
      <c r="A917">
        <v>2071</v>
      </c>
      <c r="B917" s="1" t="s">
        <v>935</v>
      </c>
      <c r="C917" s="1" t="s">
        <v>822</v>
      </c>
      <c r="D917">
        <v>24</v>
      </c>
      <c r="E917">
        <v>32</v>
      </c>
      <c r="F917">
        <v>5.5</v>
      </c>
      <c r="G917">
        <v>7</v>
      </c>
      <c r="H917">
        <v>6.7</v>
      </c>
      <c r="I917">
        <v>8.3000000000000007</v>
      </c>
      <c r="J917">
        <v>5908</v>
      </c>
      <c r="K917">
        <v>53650</v>
      </c>
      <c r="L917">
        <v>1.6</v>
      </c>
      <c r="M917">
        <v>2.5</v>
      </c>
      <c r="N917">
        <v>0.3</v>
      </c>
      <c r="O917">
        <v>0.3</v>
      </c>
      <c r="P917">
        <v>6</v>
      </c>
      <c r="Q917">
        <v>14</v>
      </c>
      <c r="R917">
        <v>27</v>
      </c>
      <c r="S917">
        <v>48</v>
      </c>
      <c r="T917">
        <v>2</v>
      </c>
      <c r="U917">
        <v>2</v>
      </c>
      <c r="V917">
        <f>River_data[[#This Row],[Dissolved Oxygen Min]]*River_data[[#This Row],[Dissolved Oxygen Max]]/2</f>
        <v>19.25</v>
      </c>
      <c r="W917">
        <f>River_data[[#This Row],[BOD Min]]*River_data[[#This Row],[BOD Max]]/2</f>
        <v>2</v>
      </c>
      <c r="X917">
        <f>AVERAGE(River_data[[#This Row],[pH Max]]-River_data[[#This Row],[pH Min]])</f>
        <v>1.6000000000000005</v>
      </c>
    </row>
    <row r="918" spans="1:24" x14ac:dyDescent="0.3">
      <c r="A918">
        <v>30045</v>
      </c>
      <c r="B918" s="1" t="s">
        <v>936</v>
      </c>
      <c r="C918" s="1" t="s">
        <v>822</v>
      </c>
      <c r="D918">
        <v>23</v>
      </c>
      <c r="E918">
        <v>23</v>
      </c>
      <c r="F918">
        <v>8.1999999999999993</v>
      </c>
      <c r="G918">
        <v>8.1999999999999993</v>
      </c>
      <c r="H918">
        <v>8</v>
      </c>
      <c r="I918">
        <v>8</v>
      </c>
      <c r="J918">
        <v>500</v>
      </c>
      <c r="K918">
        <v>500</v>
      </c>
      <c r="L918">
        <v>1</v>
      </c>
      <c r="M918">
        <v>1</v>
      </c>
      <c r="N918">
        <v>1.1100000000000001</v>
      </c>
      <c r="O918">
        <v>1.1100000000000001</v>
      </c>
      <c r="P918">
        <v>1200</v>
      </c>
      <c r="Q918">
        <v>1200</v>
      </c>
      <c r="R918">
        <v>1700</v>
      </c>
      <c r="S918">
        <v>1700</v>
      </c>
      <c r="V918">
        <f>River_data[[#This Row],[Dissolved Oxygen Min]]*River_data[[#This Row],[Dissolved Oxygen Max]]/2</f>
        <v>33.619999999999997</v>
      </c>
      <c r="W918">
        <f>River_data[[#This Row],[BOD Min]]*River_data[[#This Row],[BOD Max]]/2</f>
        <v>0.5</v>
      </c>
      <c r="X918">
        <f>AVERAGE(River_data[[#This Row],[pH Max]]-River_data[[#This Row],[pH Min]])</f>
        <v>0</v>
      </c>
    </row>
    <row r="919" spans="1:24" x14ac:dyDescent="0.3">
      <c r="A919">
        <v>30044</v>
      </c>
      <c r="B919" s="1" t="s">
        <v>937</v>
      </c>
      <c r="C919" s="1" t="s">
        <v>938</v>
      </c>
      <c r="D919">
        <v>22</v>
      </c>
      <c r="E919">
        <v>22</v>
      </c>
      <c r="F919">
        <v>4.8</v>
      </c>
      <c r="G919">
        <v>4.8</v>
      </c>
      <c r="H919">
        <v>8.1</v>
      </c>
      <c r="I919">
        <v>8.1</v>
      </c>
      <c r="J919">
        <v>364</v>
      </c>
      <c r="K919">
        <v>364</v>
      </c>
      <c r="L919">
        <v>9.6</v>
      </c>
      <c r="M919">
        <v>9.6</v>
      </c>
      <c r="N919">
        <v>1.08</v>
      </c>
      <c r="O919">
        <v>1.08</v>
      </c>
      <c r="P919">
        <v>70</v>
      </c>
      <c r="Q919">
        <v>70</v>
      </c>
      <c r="R919">
        <v>550</v>
      </c>
      <c r="S919">
        <v>550</v>
      </c>
      <c r="T919">
        <v>25</v>
      </c>
      <c r="U919">
        <v>25</v>
      </c>
      <c r="V919">
        <f>River_data[[#This Row],[Dissolved Oxygen Min]]*River_data[[#This Row],[Dissolved Oxygen Max]]/2</f>
        <v>11.52</v>
      </c>
      <c r="W919">
        <f>River_data[[#This Row],[BOD Min]]*River_data[[#This Row],[BOD Max]]/2</f>
        <v>46.08</v>
      </c>
      <c r="X919">
        <f>AVERAGE(River_data[[#This Row],[pH Max]]-River_data[[#This Row],[pH Min]])</f>
        <v>0</v>
      </c>
    </row>
    <row r="920" spans="1:24" x14ac:dyDescent="0.3">
      <c r="A920">
        <v>30043</v>
      </c>
      <c r="B920" s="1" t="s">
        <v>939</v>
      </c>
      <c r="C920" s="1" t="s">
        <v>938</v>
      </c>
      <c r="D920">
        <v>22</v>
      </c>
      <c r="E920">
        <v>22</v>
      </c>
      <c r="F920">
        <v>5</v>
      </c>
      <c r="G920">
        <v>5</v>
      </c>
      <c r="H920">
        <v>8.1999999999999993</v>
      </c>
      <c r="I920">
        <v>8.1999999999999993</v>
      </c>
      <c r="J920">
        <v>436</v>
      </c>
      <c r="K920">
        <v>436</v>
      </c>
      <c r="L920">
        <v>6.2</v>
      </c>
      <c r="M920">
        <v>6.2</v>
      </c>
      <c r="N920">
        <v>2.4500000000000002</v>
      </c>
      <c r="O920">
        <v>2.4500000000000002</v>
      </c>
      <c r="P920">
        <v>25</v>
      </c>
      <c r="Q920">
        <v>25</v>
      </c>
      <c r="R920">
        <v>275</v>
      </c>
      <c r="S920">
        <v>275</v>
      </c>
      <c r="T920">
        <v>13</v>
      </c>
      <c r="U920">
        <v>13</v>
      </c>
      <c r="V920">
        <f>River_data[[#This Row],[Dissolved Oxygen Min]]*River_data[[#This Row],[Dissolved Oxygen Max]]/2</f>
        <v>12.5</v>
      </c>
      <c r="W920">
        <f>River_data[[#This Row],[BOD Min]]*River_data[[#This Row],[BOD Max]]/2</f>
        <v>19.220000000000002</v>
      </c>
      <c r="X920">
        <f>AVERAGE(River_data[[#This Row],[pH Max]]-River_data[[#This Row],[pH Min]])</f>
        <v>0</v>
      </c>
    </row>
    <row r="921" spans="1:24" x14ac:dyDescent="0.3">
      <c r="A921">
        <v>1251</v>
      </c>
      <c r="B921" s="1" t="s">
        <v>940</v>
      </c>
      <c r="C921" s="1" t="s">
        <v>938</v>
      </c>
      <c r="D921">
        <v>22</v>
      </c>
      <c r="E921">
        <v>24</v>
      </c>
      <c r="F921">
        <v>5.0999999999999996</v>
      </c>
      <c r="G921">
        <v>7.3</v>
      </c>
      <c r="H921">
        <v>7.4</v>
      </c>
      <c r="I921">
        <v>8</v>
      </c>
      <c r="J921">
        <v>236</v>
      </c>
      <c r="K921">
        <v>8065</v>
      </c>
      <c r="L921">
        <v>2.4</v>
      </c>
      <c r="M921">
        <v>4</v>
      </c>
      <c r="N921">
        <v>0.39</v>
      </c>
      <c r="O921">
        <v>3.42</v>
      </c>
      <c r="P921">
        <v>2</v>
      </c>
      <c r="Q921">
        <v>6</v>
      </c>
      <c r="R921">
        <v>35</v>
      </c>
      <c r="S921">
        <v>58</v>
      </c>
      <c r="T921">
        <v>2</v>
      </c>
      <c r="U921">
        <v>4</v>
      </c>
      <c r="V921">
        <f>River_data[[#This Row],[Dissolved Oxygen Min]]*River_data[[#This Row],[Dissolved Oxygen Max]]/2</f>
        <v>18.614999999999998</v>
      </c>
      <c r="W921">
        <f>River_data[[#This Row],[BOD Min]]*River_data[[#This Row],[BOD Max]]/2</f>
        <v>4.8</v>
      </c>
      <c r="X921">
        <f>AVERAGE(River_data[[#This Row],[pH Max]]-River_data[[#This Row],[pH Min]])</f>
        <v>0.59999999999999964</v>
      </c>
    </row>
    <row r="922" spans="1:24" x14ac:dyDescent="0.3">
      <c r="A922">
        <v>1313</v>
      </c>
      <c r="B922" s="1" t="s">
        <v>941</v>
      </c>
      <c r="C922" s="1" t="s">
        <v>938</v>
      </c>
      <c r="D922">
        <v>22</v>
      </c>
      <c r="E922">
        <v>25</v>
      </c>
      <c r="F922">
        <v>5.6</v>
      </c>
      <c r="G922">
        <v>7.1</v>
      </c>
      <c r="H922">
        <v>7.3</v>
      </c>
      <c r="I922">
        <v>7.9</v>
      </c>
      <c r="J922">
        <v>181</v>
      </c>
      <c r="K922">
        <v>5544</v>
      </c>
      <c r="L922">
        <v>2.8</v>
      </c>
      <c r="M922">
        <v>3.8</v>
      </c>
      <c r="N922">
        <v>0.79</v>
      </c>
      <c r="O922">
        <v>4.78</v>
      </c>
      <c r="P922">
        <v>2</v>
      </c>
      <c r="Q922">
        <v>4</v>
      </c>
      <c r="R922">
        <v>34</v>
      </c>
      <c r="S922">
        <v>55</v>
      </c>
      <c r="T922">
        <v>2</v>
      </c>
      <c r="U922">
        <v>4</v>
      </c>
      <c r="V922">
        <f>River_data[[#This Row],[Dissolved Oxygen Min]]*River_data[[#This Row],[Dissolved Oxygen Max]]/2</f>
        <v>19.88</v>
      </c>
      <c r="W922">
        <f>River_data[[#This Row],[BOD Min]]*River_data[[#This Row],[BOD Max]]/2</f>
        <v>5.3199999999999994</v>
      </c>
      <c r="X922">
        <f>AVERAGE(River_data[[#This Row],[pH Max]]-River_data[[#This Row],[pH Min]])</f>
        <v>0.60000000000000053</v>
      </c>
    </row>
    <row r="923" spans="1:24" x14ac:dyDescent="0.3">
      <c r="A923">
        <v>1314</v>
      </c>
      <c r="B923" s="1" t="s">
        <v>942</v>
      </c>
      <c r="C923" s="1" t="s">
        <v>938</v>
      </c>
      <c r="D923">
        <v>16</v>
      </c>
      <c r="E923">
        <v>26</v>
      </c>
      <c r="F923">
        <v>5.5</v>
      </c>
      <c r="G923">
        <v>7.3</v>
      </c>
      <c r="H923">
        <v>7.4</v>
      </c>
      <c r="I923">
        <v>7.9</v>
      </c>
      <c r="J923">
        <v>356</v>
      </c>
      <c r="K923">
        <v>1001</v>
      </c>
      <c r="L923">
        <v>2.6</v>
      </c>
      <c r="M923">
        <v>3.8</v>
      </c>
      <c r="N923">
        <v>1.22</v>
      </c>
      <c r="O923">
        <v>4.0999999999999996</v>
      </c>
      <c r="P923">
        <v>2</v>
      </c>
      <c r="Q923">
        <v>6</v>
      </c>
      <c r="R923">
        <v>40</v>
      </c>
      <c r="S923">
        <v>58</v>
      </c>
      <c r="T923">
        <v>2</v>
      </c>
      <c r="U923">
        <v>6</v>
      </c>
      <c r="V923">
        <f>River_data[[#This Row],[Dissolved Oxygen Min]]*River_data[[#This Row],[Dissolved Oxygen Max]]/2</f>
        <v>20.074999999999999</v>
      </c>
      <c r="W923">
        <f>River_data[[#This Row],[BOD Min]]*River_data[[#This Row],[BOD Max]]/2</f>
        <v>4.9399999999999995</v>
      </c>
      <c r="X923">
        <f>AVERAGE(River_data[[#This Row],[pH Max]]-River_data[[#This Row],[pH Min]])</f>
        <v>0.5</v>
      </c>
    </row>
    <row r="924" spans="1:24" x14ac:dyDescent="0.3">
      <c r="A924">
        <v>3203</v>
      </c>
      <c r="B924" s="1" t="s">
        <v>943</v>
      </c>
      <c r="C924" s="1" t="s">
        <v>822</v>
      </c>
      <c r="D924">
        <v>27</v>
      </c>
      <c r="E924">
        <v>34</v>
      </c>
      <c r="F924">
        <v>4.5999999999999996</v>
      </c>
      <c r="G924">
        <v>7.3</v>
      </c>
      <c r="H924">
        <v>6.8</v>
      </c>
      <c r="I924">
        <v>8.3000000000000007</v>
      </c>
      <c r="J924">
        <v>417</v>
      </c>
      <c r="K924">
        <v>2517</v>
      </c>
      <c r="L924">
        <v>1.1000000000000001</v>
      </c>
      <c r="M924">
        <v>2.9</v>
      </c>
      <c r="N924">
        <v>0.36</v>
      </c>
      <c r="O924">
        <v>2.12</v>
      </c>
      <c r="P924">
        <v>27</v>
      </c>
      <c r="Q924">
        <v>79</v>
      </c>
      <c r="R924">
        <v>110</v>
      </c>
      <c r="S924">
        <v>280</v>
      </c>
      <c r="V924">
        <f>River_data[[#This Row],[Dissolved Oxygen Min]]*River_data[[#This Row],[Dissolved Oxygen Max]]/2</f>
        <v>16.79</v>
      </c>
      <c r="W924">
        <f>River_data[[#This Row],[BOD Min]]*River_data[[#This Row],[BOD Max]]/2</f>
        <v>1.595</v>
      </c>
      <c r="X924">
        <f>AVERAGE(River_data[[#This Row],[pH Max]]-River_data[[#This Row],[pH Min]])</f>
        <v>1.5000000000000009</v>
      </c>
    </row>
    <row r="925" spans="1:24" x14ac:dyDescent="0.3">
      <c r="A925">
        <v>2666</v>
      </c>
      <c r="B925" s="1" t="s">
        <v>944</v>
      </c>
      <c r="C925" s="1" t="s">
        <v>938</v>
      </c>
      <c r="D925">
        <v>17</v>
      </c>
      <c r="E925">
        <v>22</v>
      </c>
      <c r="F925">
        <v>5.7</v>
      </c>
      <c r="G925">
        <v>7</v>
      </c>
      <c r="H925">
        <v>7.5</v>
      </c>
      <c r="I925">
        <v>7.9</v>
      </c>
      <c r="J925">
        <v>413</v>
      </c>
      <c r="K925">
        <v>4899</v>
      </c>
      <c r="L925">
        <v>2.8</v>
      </c>
      <c r="M925">
        <v>4</v>
      </c>
      <c r="N925">
        <v>1.73</v>
      </c>
      <c r="O925">
        <v>2.71</v>
      </c>
      <c r="P925">
        <v>4</v>
      </c>
      <c r="Q925">
        <v>8</v>
      </c>
      <c r="R925">
        <v>45</v>
      </c>
      <c r="S925">
        <v>68</v>
      </c>
      <c r="T925">
        <v>2</v>
      </c>
      <c r="U925">
        <v>2</v>
      </c>
      <c r="V925">
        <f>River_data[[#This Row],[Dissolved Oxygen Min]]*River_data[[#This Row],[Dissolved Oxygen Max]]/2</f>
        <v>19.95</v>
      </c>
      <c r="W925">
        <f>River_data[[#This Row],[BOD Min]]*River_data[[#This Row],[BOD Max]]/2</f>
        <v>5.6</v>
      </c>
      <c r="X925">
        <f>AVERAGE(River_data[[#This Row],[pH Max]]-River_data[[#This Row],[pH Min]])</f>
        <v>0.40000000000000036</v>
      </c>
    </row>
    <row r="926" spans="1:24" x14ac:dyDescent="0.3">
      <c r="A926">
        <v>2659</v>
      </c>
      <c r="B926" s="1" t="s">
        <v>945</v>
      </c>
      <c r="C926" s="1" t="s">
        <v>938</v>
      </c>
      <c r="D926">
        <v>16</v>
      </c>
      <c r="E926">
        <v>16</v>
      </c>
      <c r="F926">
        <v>5.9</v>
      </c>
      <c r="G926">
        <v>5.9</v>
      </c>
      <c r="H926">
        <v>7.4</v>
      </c>
      <c r="I926">
        <v>7.4</v>
      </c>
      <c r="J926">
        <v>411</v>
      </c>
      <c r="K926">
        <v>411</v>
      </c>
      <c r="L926">
        <v>3.2</v>
      </c>
      <c r="M926">
        <v>3.2</v>
      </c>
      <c r="N926">
        <v>2.64</v>
      </c>
      <c r="O926">
        <v>2.64</v>
      </c>
      <c r="P926">
        <v>4</v>
      </c>
      <c r="Q926">
        <v>4</v>
      </c>
      <c r="R926">
        <v>45</v>
      </c>
      <c r="S926">
        <v>45</v>
      </c>
      <c r="T926">
        <v>2</v>
      </c>
      <c r="U926">
        <v>2</v>
      </c>
      <c r="V926">
        <f>River_data[[#This Row],[Dissolved Oxygen Min]]*River_data[[#This Row],[Dissolved Oxygen Max]]/2</f>
        <v>17.405000000000001</v>
      </c>
      <c r="W926">
        <f>River_data[[#This Row],[BOD Min]]*River_data[[#This Row],[BOD Max]]/2</f>
        <v>5.120000000000001</v>
      </c>
      <c r="X926">
        <f>AVERAGE(River_data[[#This Row],[pH Max]]-River_data[[#This Row],[pH Min]])</f>
        <v>0</v>
      </c>
    </row>
    <row r="927" spans="1:24" x14ac:dyDescent="0.3">
      <c r="A927">
        <v>2070</v>
      </c>
      <c r="B927" s="1" t="s">
        <v>946</v>
      </c>
      <c r="C927" s="1" t="s">
        <v>822</v>
      </c>
      <c r="D927">
        <v>23</v>
      </c>
      <c r="E927">
        <v>32</v>
      </c>
      <c r="F927">
        <v>5</v>
      </c>
      <c r="G927">
        <v>7.1</v>
      </c>
      <c r="H927">
        <v>6.8</v>
      </c>
      <c r="I927">
        <v>8.5</v>
      </c>
      <c r="J927">
        <v>712</v>
      </c>
      <c r="K927">
        <v>3881</v>
      </c>
      <c r="L927">
        <v>1.5</v>
      </c>
      <c r="M927">
        <v>2.8</v>
      </c>
      <c r="N927">
        <v>0.3</v>
      </c>
      <c r="O927">
        <v>0.3</v>
      </c>
      <c r="P927">
        <v>6</v>
      </c>
      <c r="Q927">
        <v>34</v>
      </c>
      <c r="R927">
        <v>17</v>
      </c>
      <c r="S927">
        <v>140</v>
      </c>
      <c r="T927">
        <v>2</v>
      </c>
      <c r="U927">
        <v>2</v>
      </c>
      <c r="V927">
        <f>River_data[[#This Row],[Dissolved Oxygen Min]]*River_data[[#This Row],[Dissolved Oxygen Max]]/2</f>
        <v>17.75</v>
      </c>
      <c r="W927">
        <f>River_data[[#This Row],[BOD Min]]*River_data[[#This Row],[BOD Max]]/2</f>
        <v>2.0999999999999996</v>
      </c>
      <c r="X927">
        <f>AVERAGE(River_data[[#This Row],[pH Max]]-River_data[[#This Row],[pH Min]])</f>
        <v>1.7000000000000002</v>
      </c>
    </row>
    <row r="928" spans="1:24" x14ac:dyDescent="0.3">
      <c r="A928">
        <v>2127</v>
      </c>
      <c r="B928" s="1" t="s">
        <v>947</v>
      </c>
      <c r="C928" s="1" t="s">
        <v>352</v>
      </c>
      <c r="D928">
        <v>18</v>
      </c>
      <c r="E928">
        <v>30</v>
      </c>
      <c r="F928">
        <v>7.1</v>
      </c>
      <c r="G928">
        <v>7.6</v>
      </c>
      <c r="H928">
        <v>7.1</v>
      </c>
      <c r="I928">
        <v>8.1</v>
      </c>
      <c r="J928">
        <v>288</v>
      </c>
      <c r="K928">
        <v>716</v>
      </c>
      <c r="L928">
        <v>1.6</v>
      </c>
      <c r="M928">
        <v>2</v>
      </c>
      <c r="N928">
        <v>0.47</v>
      </c>
      <c r="O928">
        <v>2.66</v>
      </c>
      <c r="P928">
        <v>2</v>
      </c>
      <c r="Q928">
        <v>4</v>
      </c>
      <c r="R928">
        <v>20</v>
      </c>
      <c r="S928">
        <v>70</v>
      </c>
      <c r="V928">
        <f>River_data[[#This Row],[Dissolved Oxygen Min]]*River_data[[#This Row],[Dissolved Oxygen Max]]/2</f>
        <v>26.979999999999997</v>
      </c>
      <c r="W928">
        <f>River_data[[#This Row],[BOD Min]]*River_data[[#This Row],[BOD Max]]/2</f>
        <v>1.6</v>
      </c>
      <c r="X928">
        <f>AVERAGE(River_data[[#This Row],[pH Max]]-River_data[[#This Row],[pH Min]])</f>
        <v>1</v>
      </c>
    </row>
    <row r="929" spans="1:24" x14ac:dyDescent="0.3">
      <c r="A929">
        <v>1252</v>
      </c>
      <c r="B929" s="1" t="s">
        <v>948</v>
      </c>
      <c r="C929" s="1" t="s">
        <v>938</v>
      </c>
      <c r="D929">
        <v>20</v>
      </c>
      <c r="E929">
        <v>22</v>
      </c>
      <c r="F929">
        <v>6.2</v>
      </c>
      <c r="G929">
        <v>6.2</v>
      </c>
      <c r="H929">
        <v>7.3</v>
      </c>
      <c r="I929">
        <v>7.9</v>
      </c>
      <c r="J929">
        <v>556</v>
      </c>
      <c r="K929">
        <v>686</v>
      </c>
      <c r="L929">
        <v>3</v>
      </c>
      <c r="M929">
        <v>3</v>
      </c>
      <c r="N929">
        <v>2.82</v>
      </c>
      <c r="O929">
        <v>3.95</v>
      </c>
      <c r="P929">
        <v>4</v>
      </c>
      <c r="Q929">
        <v>4</v>
      </c>
      <c r="R929">
        <v>40</v>
      </c>
      <c r="S929">
        <v>46</v>
      </c>
      <c r="T929">
        <v>2</v>
      </c>
      <c r="U929">
        <v>2</v>
      </c>
      <c r="V929">
        <f>River_data[[#This Row],[Dissolved Oxygen Min]]*River_data[[#This Row],[Dissolved Oxygen Max]]/2</f>
        <v>19.220000000000002</v>
      </c>
      <c r="W929">
        <f>River_data[[#This Row],[BOD Min]]*River_data[[#This Row],[BOD Max]]/2</f>
        <v>4.5</v>
      </c>
      <c r="X929">
        <f>AVERAGE(River_data[[#This Row],[pH Max]]-River_data[[#This Row],[pH Min]])</f>
        <v>0.60000000000000053</v>
      </c>
    </row>
    <row r="930" spans="1:24" x14ac:dyDescent="0.3">
      <c r="A930">
        <v>1253</v>
      </c>
      <c r="B930" s="1" t="s">
        <v>949</v>
      </c>
      <c r="C930" s="1" t="s">
        <v>938</v>
      </c>
      <c r="D930">
        <v>28</v>
      </c>
      <c r="E930">
        <v>28</v>
      </c>
      <c r="F930">
        <v>5.9</v>
      </c>
      <c r="G930">
        <v>7.2</v>
      </c>
      <c r="H930">
        <v>7.7</v>
      </c>
      <c r="I930">
        <v>7.7</v>
      </c>
      <c r="J930">
        <v>181</v>
      </c>
      <c r="K930">
        <v>502</v>
      </c>
      <c r="L930">
        <v>3</v>
      </c>
      <c r="M930">
        <v>3.4</v>
      </c>
      <c r="N930">
        <v>0.59</v>
      </c>
      <c r="O930">
        <v>0.6</v>
      </c>
      <c r="P930">
        <v>4</v>
      </c>
      <c r="Q930">
        <v>6</v>
      </c>
      <c r="R930">
        <v>45</v>
      </c>
      <c r="S930">
        <v>68</v>
      </c>
      <c r="T930">
        <v>2</v>
      </c>
      <c r="U930">
        <v>2</v>
      </c>
      <c r="V930">
        <f>River_data[[#This Row],[Dissolved Oxygen Min]]*River_data[[#This Row],[Dissolved Oxygen Max]]/2</f>
        <v>21.240000000000002</v>
      </c>
      <c r="W930">
        <f>River_data[[#This Row],[BOD Min]]*River_data[[#This Row],[BOD Max]]/2</f>
        <v>5.0999999999999996</v>
      </c>
      <c r="X930">
        <f>AVERAGE(River_data[[#This Row],[pH Max]]-River_data[[#This Row],[pH Min]])</f>
        <v>0</v>
      </c>
    </row>
    <row r="931" spans="1:24" x14ac:dyDescent="0.3">
      <c r="A931">
        <v>1907</v>
      </c>
      <c r="B931" s="1" t="s">
        <v>950</v>
      </c>
      <c r="C931" s="1" t="s">
        <v>938</v>
      </c>
      <c r="D931">
        <v>18</v>
      </c>
      <c r="E931">
        <v>22</v>
      </c>
      <c r="F931">
        <v>5.2</v>
      </c>
      <c r="G931">
        <v>6.8</v>
      </c>
      <c r="H931">
        <v>7.3</v>
      </c>
      <c r="I931">
        <v>7.9</v>
      </c>
      <c r="J931">
        <v>295</v>
      </c>
      <c r="K931">
        <v>1284</v>
      </c>
      <c r="L931">
        <v>2.8</v>
      </c>
      <c r="M931">
        <v>4</v>
      </c>
      <c r="N931">
        <v>2.29</v>
      </c>
      <c r="O931">
        <v>3.42</v>
      </c>
      <c r="P931">
        <v>4</v>
      </c>
      <c r="Q931">
        <v>8</v>
      </c>
      <c r="R931">
        <v>45</v>
      </c>
      <c r="S931">
        <v>85</v>
      </c>
      <c r="T931">
        <v>2</v>
      </c>
      <c r="U931">
        <v>2</v>
      </c>
      <c r="V931">
        <f>River_data[[#This Row],[Dissolved Oxygen Min]]*River_data[[#This Row],[Dissolved Oxygen Max]]/2</f>
        <v>17.68</v>
      </c>
      <c r="W931">
        <f>River_data[[#This Row],[BOD Min]]*River_data[[#This Row],[BOD Max]]/2</f>
        <v>5.6</v>
      </c>
      <c r="X931">
        <f>AVERAGE(River_data[[#This Row],[pH Max]]-River_data[[#This Row],[pH Min]])</f>
        <v>0.60000000000000053</v>
      </c>
    </row>
    <row r="932" spans="1:24" x14ac:dyDescent="0.3">
      <c r="A932">
        <v>2674</v>
      </c>
      <c r="B932" s="1" t="s">
        <v>951</v>
      </c>
      <c r="C932" s="1" t="s">
        <v>938</v>
      </c>
      <c r="D932">
        <v>24</v>
      </c>
      <c r="E932">
        <v>24</v>
      </c>
      <c r="F932">
        <v>5.7</v>
      </c>
      <c r="G932">
        <v>5.7</v>
      </c>
      <c r="H932">
        <v>7.7</v>
      </c>
      <c r="I932">
        <v>7.7</v>
      </c>
      <c r="J932">
        <v>245</v>
      </c>
      <c r="K932">
        <v>245</v>
      </c>
      <c r="L932">
        <v>3.8</v>
      </c>
      <c r="M932">
        <v>3.8</v>
      </c>
      <c r="N932">
        <v>2.42</v>
      </c>
      <c r="O932">
        <v>2.42</v>
      </c>
      <c r="P932">
        <v>4</v>
      </c>
      <c r="Q932">
        <v>4</v>
      </c>
      <c r="R932">
        <v>58</v>
      </c>
      <c r="S932">
        <v>58</v>
      </c>
      <c r="T932">
        <v>2</v>
      </c>
      <c r="U932">
        <v>2</v>
      </c>
      <c r="V932">
        <f>River_data[[#This Row],[Dissolved Oxygen Min]]*River_data[[#This Row],[Dissolved Oxygen Max]]/2</f>
        <v>16.245000000000001</v>
      </c>
      <c r="W932">
        <f>River_data[[#This Row],[BOD Min]]*River_data[[#This Row],[BOD Max]]/2</f>
        <v>7.22</v>
      </c>
      <c r="X932">
        <f>AVERAGE(River_data[[#This Row],[pH Max]]-River_data[[#This Row],[pH Min]])</f>
        <v>0</v>
      </c>
    </row>
    <row r="933" spans="1:24" x14ac:dyDescent="0.3">
      <c r="A933">
        <v>2718</v>
      </c>
      <c r="B933" s="1" t="s">
        <v>952</v>
      </c>
      <c r="C933" s="1" t="s">
        <v>938</v>
      </c>
      <c r="D933">
        <v>20</v>
      </c>
      <c r="E933">
        <v>25</v>
      </c>
      <c r="F933">
        <v>5.8</v>
      </c>
      <c r="G933">
        <v>7.4</v>
      </c>
      <c r="H933">
        <v>7.9</v>
      </c>
      <c r="I933">
        <v>7.9</v>
      </c>
      <c r="J933">
        <v>555</v>
      </c>
      <c r="K933">
        <v>6174</v>
      </c>
      <c r="L933">
        <v>3</v>
      </c>
      <c r="M933">
        <v>3.4</v>
      </c>
      <c r="N933">
        <v>0.36</v>
      </c>
      <c r="O933">
        <v>3.12</v>
      </c>
      <c r="P933">
        <v>4</v>
      </c>
      <c r="Q933">
        <v>4</v>
      </c>
      <c r="R933">
        <v>40</v>
      </c>
      <c r="S933">
        <v>68</v>
      </c>
      <c r="T933">
        <v>2</v>
      </c>
      <c r="U933">
        <v>2</v>
      </c>
      <c r="V933">
        <f>River_data[[#This Row],[Dissolved Oxygen Min]]*River_data[[#This Row],[Dissolved Oxygen Max]]/2</f>
        <v>21.46</v>
      </c>
      <c r="W933">
        <f>River_data[[#This Row],[BOD Min]]*River_data[[#This Row],[BOD Max]]/2</f>
        <v>5.0999999999999996</v>
      </c>
      <c r="X933">
        <f>AVERAGE(River_data[[#This Row],[pH Max]]-River_data[[#This Row],[pH Min]])</f>
        <v>0</v>
      </c>
    </row>
    <row r="934" spans="1:24" x14ac:dyDescent="0.3">
      <c r="A934">
        <v>2684</v>
      </c>
      <c r="B934" s="1" t="s">
        <v>953</v>
      </c>
      <c r="C934" s="1" t="s">
        <v>938</v>
      </c>
      <c r="D934">
        <v>16</v>
      </c>
      <c r="E934">
        <v>20</v>
      </c>
      <c r="F934">
        <v>5.9</v>
      </c>
      <c r="G934">
        <v>7.1</v>
      </c>
      <c r="H934">
        <v>7.7</v>
      </c>
      <c r="I934">
        <v>7.8</v>
      </c>
      <c r="J934">
        <v>336</v>
      </c>
      <c r="K934">
        <v>1340</v>
      </c>
      <c r="L934">
        <v>2.8</v>
      </c>
      <c r="M934">
        <v>3.2</v>
      </c>
      <c r="N934">
        <v>1.84</v>
      </c>
      <c r="O934">
        <v>2.58</v>
      </c>
      <c r="P934">
        <v>4</v>
      </c>
      <c r="Q934">
        <v>6</v>
      </c>
      <c r="R934">
        <v>40</v>
      </c>
      <c r="S934">
        <v>68</v>
      </c>
      <c r="T934">
        <v>2</v>
      </c>
      <c r="U934">
        <v>2</v>
      </c>
      <c r="V934">
        <f>River_data[[#This Row],[Dissolved Oxygen Min]]*River_data[[#This Row],[Dissolved Oxygen Max]]/2</f>
        <v>20.945</v>
      </c>
      <c r="W934">
        <f>River_data[[#This Row],[BOD Min]]*River_data[[#This Row],[BOD Max]]/2</f>
        <v>4.4799999999999995</v>
      </c>
      <c r="X934">
        <f>AVERAGE(River_data[[#This Row],[pH Max]]-River_data[[#This Row],[pH Min]])</f>
        <v>9.9999999999999645E-2</v>
      </c>
    </row>
    <row r="935" spans="1:24" x14ac:dyDescent="0.3">
      <c r="A935">
        <v>1913</v>
      </c>
      <c r="B935" s="1" t="s">
        <v>954</v>
      </c>
      <c r="C935" s="1" t="s">
        <v>938</v>
      </c>
      <c r="D935">
        <v>22</v>
      </c>
      <c r="E935">
        <v>26</v>
      </c>
      <c r="F935">
        <v>5.4</v>
      </c>
      <c r="G935">
        <v>6.3</v>
      </c>
      <c r="H935">
        <v>7.8</v>
      </c>
      <c r="I935">
        <v>8.3000000000000007</v>
      </c>
      <c r="J935">
        <v>715</v>
      </c>
      <c r="K935">
        <v>1139</v>
      </c>
      <c r="L935">
        <v>3</v>
      </c>
      <c r="M935">
        <v>4.5</v>
      </c>
      <c r="N935">
        <v>0.32</v>
      </c>
      <c r="O935">
        <v>6.46</v>
      </c>
      <c r="P935">
        <v>13</v>
      </c>
      <c r="Q935">
        <v>43</v>
      </c>
      <c r="R935">
        <v>110</v>
      </c>
      <c r="S935">
        <v>220</v>
      </c>
      <c r="T935">
        <v>2</v>
      </c>
      <c r="U935">
        <v>2</v>
      </c>
      <c r="V935">
        <f>River_data[[#This Row],[Dissolved Oxygen Min]]*River_data[[#This Row],[Dissolved Oxygen Max]]/2</f>
        <v>17.010000000000002</v>
      </c>
      <c r="W935">
        <f>River_data[[#This Row],[BOD Min]]*River_data[[#This Row],[BOD Max]]/2</f>
        <v>6.75</v>
      </c>
      <c r="X935">
        <f>AVERAGE(River_data[[#This Row],[pH Max]]-River_data[[#This Row],[pH Min]])</f>
        <v>0.50000000000000089</v>
      </c>
    </row>
    <row r="936" spans="1:24" x14ac:dyDescent="0.3">
      <c r="A936">
        <v>2155</v>
      </c>
      <c r="B936" s="1" t="s">
        <v>955</v>
      </c>
      <c r="C936" s="1" t="s">
        <v>938</v>
      </c>
      <c r="D936">
        <v>22</v>
      </c>
      <c r="E936">
        <v>27</v>
      </c>
      <c r="F936">
        <v>5.3</v>
      </c>
      <c r="G936">
        <v>6</v>
      </c>
      <c r="H936">
        <v>7.9</v>
      </c>
      <c r="I936">
        <v>8.3000000000000007</v>
      </c>
      <c r="J936">
        <v>872</v>
      </c>
      <c r="K936">
        <v>1216</v>
      </c>
      <c r="L936">
        <v>3.2</v>
      </c>
      <c r="M936">
        <v>4.8</v>
      </c>
      <c r="N936">
        <v>0.32</v>
      </c>
      <c r="O936">
        <v>8.5399999999999991</v>
      </c>
      <c r="P936">
        <v>17</v>
      </c>
      <c r="Q936">
        <v>41</v>
      </c>
      <c r="R936">
        <v>120</v>
      </c>
      <c r="S936">
        <v>280</v>
      </c>
      <c r="T936">
        <v>2</v>
      </c>
      <c r="U936">
        <v>2</v>
      </c>
      <c r="V936">
        <f>River_data[[#This Row],[Dissolved Oxygen Min]]*River_data[[#This Row],[Dissolved Oxygen Max]]/2</f>
        <v>15.899999999999999</v>
      </c>
      <c r="W936">
        <f>River_data[[#This Row],[BOD Min]]*River_data[[#This Row],[BOD Max]]/2</f>
        <v>7.68</v>
      </c>
      <c r="X936">
        <f>AVERAGE(River_data[[#This Row],[pH Max]]-River_data[[#This Row],[pH Min]])</f>
        <v>0.40000000000000036</v>
      </c>
    </row>
    <row r="937" spans="1:24" x14ac:dyDescent="0.3">
      <c r="A937">
        <v>2695</v>
      </c>
      <c r="B937" s="1" t="s">
        <v>956</v>
      </c>
      <c r="C937" s="1" t="s">
        <v>938</v>
      </c>
      <c r="D937">
        <v>20</v>
      </c>
      <c r="E937">
        <v>20</v>
      </c>
      <c r="F937">
        <v>3</v>
      </c>
      <c r="G937">
        <v>5.8</v>
      </c>
      <c r="H937">
        <v>7.8</v>
      </c>
      <c r="I937">
        <v>8.4</v>
      </c>
      <c r="J937">
        <v>710</v>
      </c>
      <c r="K937">
        <v>2025</v>
      </c>
      <c r="L937">
        <v>3.2</v>
      </c>
      <c r="M937">
        <v>7</v>
      </c>
      <c r="N937">
        <v>0</v>
      </c>
      <c r="O937">
        <v>7.1</v>
      </c>
      <c r="P937">
        <v>17</v>
      </c>
      <c r="Q937">
        <v>33</v>
      </c>
      <c r="R937">
        <v>110</v>
      </c>
      <c r="S937">
        <v>240</v>
      </c>
      <c r="T937">
        <v>2</v>
      </c>
      <c r="U937">
        <v>2</v>
      </c>
      <c r="V937">
        <f>River_data[[#This Row],[Dissolved Oxygen Min]]*River_data[[#This Row],[Dissolved Oxygen Max]]/2</f>
        <v>8.6999999999999993</v>
      </c>
      <c r="W937">
        <f>River_data[[#This Row],[BOD Min]]*River_data[[#This Row],[BOD Max]]/2</f>
        <v>11.200000000000001</v>
      </c>
      <c r="X937">
        <f>AVERAGE(River_data[[#This Row],[pH Max]]-River_data[[#This Row],[pH Min]])</f>
        <v>0.60000000000000053</v>
      </c>
    </row>
    <row r="938" spans="1:24" x14ac:dyDescent="0.3">
      <c r="A938">
        <v>2700</v>
      </c>
      <c r="B938" s="1" t="s">
        <v>957</v>
      </c>
      <c r="C938" s="1" t="s">
        <v>938</v>
      </c>
      <c r="D938">
        <v>20</v>
      </c>
      <c r="E938">
        <v>20</v>
      </c>
      <c r="F938">
        <v>5.0999999999999996</v>
      </c>
      <c r="G938">
        <v>6.2</v>
      </c>
      <c r="H938">
        <v>7.8</v>
      </c>
      <c r="I938">
        <v>8.5</v>
      </c>
      <c r="J938">
        <v>776</v>
      </c>
      <c r="K938">
        <v>6920</v>
      </c>
      <c r="L938">
        <v>3.2</v>
      </c>
      <c r="M938">
        <v>3.8</v>
      </c>
      <c r="N938">
        <v>0</v>
      </c>
      <c r="O938">
        <v>2.7</v>
      </c>
      <c r="P938">
        <v>21</v>
      </c>
      <c r="Q938">
        <v>47</v>
      </c>
      <c r="R938">
        <v>110</v>
      </c>
      <c r="S938">
        <v>280</v>
      </c>
      <c r="T938">
        <v>2</v>
      </c>
      <c r="U938">
        <v>2</v>
      </c>
      <c r="V938">
        <f>River_data[[#This Row],[Dissolved Oxygen Min]]*River_data[[#This Row],[Dissolved Oxygen Max]]/2</f>
        <v>15.809999999999999</v>
      </c>
      <c r="W938">
        <f>River_data[[#This Row],[BOD Min]]*River_data[[#This Row],[BOD Max]]/2</f>
        <v>6.08</v>
      </c>
      <c r="X938">
        <f>AVERAGE(River_data[[#This Row],[pH Max]]-River_data[[#This Row],[pH Min]])</f>
        <v>0.70000000000000018</v>
      </c>
    </row>
    <row r="939" spans="1:24" x14ac:dyDescent="0.3">
      <c r="A939">
        <v>3888</v>
      </c>
      <c r="B939" s="1" t="s">
        <v>958</v>
      </c>
      <c r="C939" s="1" t="s">
        <v>959</v>
      </c>
      <c r="D939">
        <v>23</v>
      </c>
      <c r="E939">
        <v>30</v>
      </c>
      <c r="F939">
        <v>6</v>
      </c>
      <c r="G939">
        <v>7.8</v>
      </c>
      <c r="H939">
        <v>7.1</v>
      </c>
      <c r="I939">
        <v>8</v>
      </c>
      <c r="J939">
        <v>162</v>
      </c>
      <c r="K939">
        <v>246</v>
      </c>
      <c r="L939">
        <v>1.1000000000000001</v>
      </c>
      <c r="M939">
        <v>2</v>
      </c>
      <c r="N939">
        <v>0.32</v>
      </c>
      <c r="O939">
        <v>0.77</v>
      </c>
      <c r="P939">
        <v>23</v>
      </c>
      <c r="Q939">
        <v>1300</v>
      </c>
      <c r="R939">
        <v>79</v>
      </c>
      <c r="S939">
        <v>3300</v>
      </c>
      <c r="V939">
        <f>River_data[[#This Row],[Dissolved Oxygen Min]]*River_data[[#This Row],[Dissolved Oxygen Max]]/2</f>
        <v>23.4</v>
      </c>
      <c r="W939">
        <f>River_data[[#This Row],[BOD Min]]*River_data[[#This Row],[BOD Max]]/2</f>
        <v>1.1000000000000001</v>
      </c>
      <c r="X939">
        <f>AVERAGE(River_data[[#This Row],[pH Max]]-River_data[[#This Row],[pH Min]])</f>
        <v>0.90000000000000036</v>
      </c>
    </row>
    <row r="940" spans="1:24" x14ac:dyDescent="0.3">
      <c r="A940">
        <v>3890</v>
      </c>
      <c r="B940" s="1" t="s">
        <v>960</v>
      </c>
      <c r="C940" s="1" t="s">
        <v>959</v>
      </c>
      <c r="D940">
        <v>20</v>
      </c>
      <c r="E940">
        <v>32</v>
      </c>
      <c r="F940">
        <v>6.4</v>
      </c>
      <c r="G940">
        <v>8.5</v>
      </c>
      <c r="H940">
        <v>7.1</v>
      </c>
      <c r="I940">
        <v>8.4</v>
      </c>
      <c r="J940">
        <v>167</v>
      </c>
      <c r="K940">
        <v>248</v>
      </c>
      <c r="L940">
        <v>1.5</v>
      </c>
      <c r="M940">
        <v>2</v>
      </c>
      <c r="N940">
        <v>0.32</v>
      </c>
      <c r="O940">
        <v>0.95</v>
      </c>
      <c r="P940">
        <v>330</v>
      </c>
      <c r="Q940">
        <v>13000</v>
      </c>
      <c r="R940">
        <v>1700</v>
      </c>
      <c r="S940">
        <v>54000</v>
      </c>
      <c r="T940">
        <v>5</v>
      </c>
      <c r="U940">
        <v>130</v>
      </c>
      <c r="V940">
        <f>River_data[[#This Row],[Dissolved Oxygen Min]]*River_data[[#This Row],[Dissolved Oxygen Max]]/2</f>
        <v>27.200000000000003</v>
      </c>
      <c r="W940">
        <f>River_data[[#This Row],[BOD Min]]*River_data[[#This Row],[BOD Max]]/2</f>
        <v>1.5</v>
      </c>
      <c r="X940">
        <f>AVERAGE(River_data[[#This Row],[pH Max]]-River_data[[#This Row],[pH Min]])</f>
        <v>1.3000000000000007</v>
      </c>
    </row>
    <row r="941" spans="1:24" x14ac:dyDescent="0.3">
      <c r="A941">
        <v>2407</v>
      </c>
      <c r="B941" s="1" t="s">
        <v>961</v>
      </c>
      <c r="C941" s="1" t="s">
        <v>959</v>
      </c>
      <c r="D941">
        <v>24.5</v>
      </c>
      <c r="E941">
        <v>33.4</v>
      </c>
      <c r="F941">
        <v>6</v>
      </c>
      <c r="G941">
        <v>8.6</v>
      </c>
      <c r="H941">
        <v>7.2</v>
      </c>
      <c r="I941">
        <v>8.1999999999999993</v>
      </c>
      <c r="J941">
        <v>158</v>
      </c>
      <c r="K941">
        <v>22980</v>
      </c>
      <c r="L941">
        <v>1.1000000000000001</v>
      </c>
      <c r="M941">
        <v>1.4</v>
      </c>
      <c r="N941">
        <v>0.32</v>
      </c>
      <c r="O941">
        <v>0.88</v>
      </c>
      <c r="P941">
        <v>2</v>
      </c>
      <c r="Q941">
        <v>1300</v>
      </c>
      <c r="R941">
        <v>2</v>
      </c>
      <c r="S941">
        <v>3300</v>
      </c>
      <c r="T941">
        <v>2</v>
      </c>
      <c r="U941">
        <v>33</v>
      </c>
      <c r="V941">
        <f>River_data[[#This Row],[Dissolved Oxygen Min]]*River_data[[#This Row],[Dissolved Oxygen Max]]/2</f>
        <v>25.799999999999997</v>
      </c>
      <c r="W941">
        <f>River_data[[#This Row],[BOD Min]]*River_data[[#This Row],[BOD Max]]/2</f>
        <v>0.77</v>
      </c>
      <c r="X941">
        <f>AVERAGE(River_data[[#This Row],[pH Max]]-River_data[[#This Row],[pH Min]])</f>
        <v>0.99999999999999911</v>
      </c>
    </row>
    <row r="942" spans="1:24" x14ac:dyDescent="0.3">
      <c r="A942">
        <v>1639</v>
      </c>
      <c r="B942" s="1" t="s">
        <v>962</v>
      </c>
      <c r="C942" s="1" t="s">
        <v>959</v>
      </c>
      <c r="D942">
        <v>24.4</v>
      </c>
      <c r="E942">
        <v>33</v>
      </c>
      <c r="F942">
        <v>5.4</v>
      </c>
      <c r="G942">
        <v>8.4</v>
      </c>
      <c r="H942">
        <v>7.1</v>
      </c>
      <c r="I942">
        <v>8.4</v>
      </c>
      <c r="J942">
        <v>210</v>
      </c>
      <c r="K942">
        <v>35410</v>
      </c>
      <c r="L942">
        <v>1.4</v>
      </c>
      <c r="M942">
        <v>2.2000000000000002</v>
      </c>
      <c r="N942">
        <v>0.32</v>
      </c>
      <c r="O942">
        <v>2.48</v>
      </c>
      <c r="P942">
        <v>2</v>
      </c>
      <c r="Q942">
        <v>1700</v>
      </c>
      <c r="R942">
        <v>2</v>
      </c>
      <c r="S942">
        <v>4900</v>
      </c>
      <c r="T942">
        <v>2</v>
      </c>
      <c r="U942">
        <v>49</v>
      </c>
      <c r="V942">
        <f>River_data[[#This Row],[Dissolved Oxygen Min]]*River_data[[#This Row],[Dissolved Oxygen Max]]/2</f>
        <v>22.680000000000003</v>
      </c>
      <c r="W942">
        <f>River_data[[#This Row],[BOD Min]]*River_data[[#This Row],[BOD Max]]/2</f>
        <v>1.54</v>
      </c>
      <c r="X942">
        <f>AVERAGE(River_data[[#This Row],[pH Max]]-River_data[[#This Row],[pH Min]])</f>
        <v>1.3000000000000007</v>
      </c>
    </row>
    <row r="943" spans="1:24" x14ac:dyDescent="0.3">
      <c r="A943">
        <v>1107</v>
      </c>
      <c r="B943" s="1" t="s">
        <v>963</v>
      </c>
      <c r="C943" s="1" t="s">
        <v>964</v>
      </c>
      <c r="D943">
        <v>2.6</v>
      </c>
      <c r="E943">
        <v>29</v>
      </c>
      <c r="F943">
        <v>6.8</v>
      </c>
      <c r="G943">
        <v>7.4</v>
      </c>
      <c r="H943">
        <v>7.3</v>
      </c>
      <c r="I943">
        <v>7.6</v>
      </c>
      <c r="J943">
        <v>142</v>
      </c>
      <c r="K943">
        <v>492</v>
      </c>
      <c r="L943">
        <v>1.2</v>
      </c>
      <c r="M943">
        <v>2.8</v>
      </c>
      <c r="N943">
        <v>0.32</v>
      </c>
      <c r="O943">
        <v>0.8</v>
      </c>
      <c r="R943">
        <v>64</v>
      </c>
      <c r="S943">
        <v>1100</v>
      </c>
      <c r="V943">
        <f>River_data[[#This Row],[Dissolved Oxygen Min]]*River_data[[#This Row],[Dissolved Oxygen Max]]/2</f>
        <v>25.16</v>
      </c>
      <c r="W943">
        <f>River_data[[#This Row],[BOD Min]]*River_data[[#This Row],[BOD Max]]/2</f>
        <v>1.68</v>
      </c>
      <c r="X943">
        <f>AVERAGE(River_data[[#This Row],[pH Max]]-River_data[[#This Row],[pH Min]])</f>
        <v>0.29999999999999982</v>
      </c>
    </row>
    <row r="944" spans="1:24" x14ac:dyDescent="0.3">
      <c r="A944">
        <v>1266</v>
      </c>
      <c r="B944" s="1" t="s">
        <v>965</v>
      </c>
      <c r="C944" s="1" t="s">
        <v>964</v>
      </c>
      <c r="D944">
        <v>19</v>
      </c>
      <c r="E944">
        <v>29</v>
      </c>
      <c r="F944">
        <v>6.5</v>
      </c>
      <c r="G944">
        <v>7.2</v>
      </c>
      <c r="H944">
        <v>7.2</v>
      </c>
      <c r="I944">
        <v>7.9</v>
      </c>
      <c r="J944">
        <v>220</v>
      </c>
      <c r="K944">
        <v>574</v>
      </c>
      <c r="L944">
        <v>2.1</v>
      </c>
      <c r="M944">
        <v>2.6</v>
      </c>
      <c r="N944">
        <v>0</v>
      </c>
      <c r="O944">
        <v>0</v>
      </c>
      <c r="R944">
        <v>50</v>
      </c>
      <c r="S944">
        <v>70</v>
      </c>
      <c r="V944">
        <f>River_data[[#This Row],[Dissolved Oxygen Min]]*River_data[[#This Row],[Dissolved Oxygen Max]]/2</f>
        <v>23.400000000000002</v>
      </c>
      <c r="W944">
        <f>River_data[[#This Row],[BOD Min]]*River_data[[#This Row],[BOD Max]]/2</f>
        <v>2.7300000000000004</v>
      </c>
      <c r="X944">
        <f>AVERAGE(River_data[[#This Row],[pH Max]]-River_data[[#This Row],[pH Min]])</f>
        <v>0.70000000000000018</v>
      </c>
    </row>
    <row r="945" spans="1:24" x14ac:dyDescent="0.3">
      <c r="A945">
        <v>1845</v>
      </c>
      <c r="B945" s="1" t="s">
        <v>966</v>
      </c>
      <c r="C945" s="1" t="s">
        <v>964</v>
      </c>
      <c r="D945">
        <v>2.6</v>
      </c>
      <c r="E945">
        <v>29</v>
      </c>
      <c r="F945">
        <v>6.4</v>
      </c>
      <c r="G945">
        <v>7.6</v>
      </c>
      <c r="H945">
        <v>7.4</v>
      </c>
      <c r="I945">
        <v>7.6</v>
      </c>
      <c r="J945">
        <v>189</v>
      </c>
      <c r="K945">
        <v>498</v>
      </c>
      <c r="L945">
        <v>1.2</v>
      </c>
      <c r="M945">
        <v>2.4</v>
      </c>
      <c r="N945">
        <v>0</v>
      </c>
      <c r="O945">
        <v>0.8</v>
      </c>
      <c r="R945">
        <v>9</v>
      </c>
      <c r="S945">
        <v>1100</v>
      </c>
      <c r="V945">
        <f>River_data[[#This Row],[Dissolved Oxygen Min]]*River_data[[#This Row],[Dissolved Oxygen Max]]/2</f>
        <v>24.32</v>
      </c>
      <c r="W945">
        <f>River_data[[#This Row],[BOD Min]]*River_data[[#This Row],[BOD Max]]/2</f>
        <v>1.44</v>
      </c>
      <c r="X945">
        <f>AVERAGE(River_data[[#This Row],[pH Max]]-River_data[[#This Row],[pH Min]])</f>
        <v>0.19999999999999929</v>
      </c>
    </row>
    <row r="946" spans="1:24" x14ac:dyDescent="0.3">
      <c r="A946">
        <v>3166</v>
      </c>
      <c r="B946" s="1" t="s">
        <v>967</v>
      </c>
      <c r="C946" s="1" t="s">
        <v>964</v>
      </c>
      <c r="D946">
        <v>24</v>
      </c>
      <c r="E946">
        <v>29</v>
      </c>
      <c r="F946">
        <v>2.2000000000000002</v>
      </c>
      <c r="G946">
        <v>7.2</v>
      </c>
      <c r="H946">
        <v>7.2</v>
      </c>
      <c r="I946">
        <v>7.9</v>
      </c>
      <c r="J946">
        <v>419</v>
      </c>
      <c r="K946">
        <v>518</v>
      </c>
      <c r="L946">
        <v>2</v>
      </c>
      <c r="M946">
        <v>28</v>
      </c>
      <c r="N946">
        <v>0.48</v>
      </c>
      <c r="O946">
        <v>1.05</v>
      </c>
      <c r="P946">
        <v>560</v>
      </c>
      <c r="Q946">
        <v>560</v>
      </c>
      <c r="R946">
        <v>240</v>
      </c>
      <c r="S946">
        <v>1100</v>
      </c>
      <c r="V946">
        <f>River_data[[#This Row],[Dissolved Oxygen Min]]*River_data[[#This Row],[Dissolved Oxygen Max]]/2</f>
        <v>7.9200000000000008</v>
      </c>
      <c r="W946">
        <f>River_data[[#This Row],[BOD Min]]*River_data[[#This Row],[BOD Max]]/2</f>
        <v>28</v>
      </c>
      <c r="X946">
        <f>AVERAGE(River_data[[#This Row],[pH Max]]-River_data[[#This Row],[pH Min]])</f>
        <v>0.70000000000000018</v>
      </c>
    </row>
    <row r="947" spans="1:24" x14ac:dyDescent="0.3">
      <c r="A947">
        <v>3167</v>
      </c>
      <c r="B947" s="1" t="s">
        <v>968</v>
      </c>
      <c r="C947" s="1" t="s">
        <v>964</v>
      </c>
      <c r="D947">
        <v>2.6</v>
      </c>
      <c r="E947">
        <v>29</v>
      </c>
      <c r="F947">
        <v>6.8</v>
      </c>
      <c r="G947">
        <v>7.4</v>
      </c>
      <c r="H947">
        <v>7.3</v>
      </c>
      <c r="I947">
        <v>7.6</v>
      </c>
      <c r="J947">
        <v>94</v>
      </c>
      <c r="K947">
        <v>504</v>
      </c>
      <c r="L947">
        <v>1.4</v>
      </c>
      <c r="M947">
        <v>2.8</v>
      </c>
      <c r="N947">
        <v>0.32</v>
      </c>
      <c r="O947">
        <v>1.1000000000000001</v>
      </c>
      <c r="R947">
        <v>93</v>
      </c>
      <c r="S947">
        <v>1100</v>
      </c>
      <c r="V947">
        <f>River_data[[#This Row],[Dissolved Oxygen Min]]*River_data[[#This Row],[Dissolved Oxygen Max]]/2</f>
        <v>25.16</v>
      </c>
      <c r="W947">
        <f>River_data[[#This Row],[BOD Min]]*River_data[[#This Row],[BOD Max]]/2</f>
        <v>1.9599999999999997</v>
      </c>
      <c r="X947">
        <f>AVERAGE(River_data[[#This Row],[pH Max]]-River_data[[#This Row],[pH Min]])</f>
        <v>0.29999999999999982</v>
      </c>
    </row>
    <row r="948" spans="1:24" x14ac:dyDescent="0.3">
      <c r="A948">
        <v>2403</v>
      </c>
      <c r="B948" s="1" t="s">
        <v>969</v>
      </c>
      <c r="C948" s="1" t="s">
        <v>959</v>
      </c>
      <c r="D948">
        <v>19</v>
      </c>
      <c r="E948">
        <v>32</v>
      </c>
      <c r="F948">
        <v>7.6</v>
      </c>
      <c r="G948">
        <v>8.4</v>
      </c>
      <c r="H948">
        <v>6.8</v>
      </c>
      <c r="I948">
        <v>8.5</v>
      </c>
      <c r="J948">
        <v>125</v>
      </c>
      <c r="K948">
        <v>795</v>
      </c>
      <c r="L948">
        <v>1.3</v>
      </c>
      <c r="M948">
        <v>1.7</v>
      </c>
      <c r="N948">
        <v>0.32</v>
      </c>
      <c r="O948">
        <v>1.2</v>
      </c>
      <c r="P948">
        <v>45</v>
      </c>
      <c r="Q948">
        <v>1300</v>
      </c>
      <c r="R948">
        <v>170</v>
      </c>
      <c r="S948">
        <v>3300</v>
      </c>
      <c r="T948">
        <v>2</v>
      </c>
      <c r="U948">
        <v>27</v>
      </c>
      <c r="V948">
        <f>River_data[[#This Row],[Dissolved Oxygen Min]]*River_data[[#This Row],[Dissolved Oxygen Max]]/2</f>
        <v>31.919999999999998</v>
      </c>
      <c r="W948">
        <f>River_data[[#This Row],[BOD Min]]*River_data[[#This Row],[BOD Max]]/2</f>
        <v>1.105</v>
      </c>
      <c r="X948">
        <f>AVERAGE(River_data[[#This Row],[pH Max]]-River_data[[#This Row],[pH Min]])</f>
        <v>1.7000000000000002</v>
      </c>
    </row>
    <row r="949" spans="1:24" x14ac:dyDescent="0.3">
      <c r="A949">
        <v>1265</v>
      </c>
      <c r="B949" s="1" t="s">
        <v>970</v>
      </c>
      <c r="C949" s="1" t="s">
        <v>964</v>
      </c>
      <c r="D949">
        <v>20</v>
      </c>
      <c r="E949">
        <v>29</v>
      </c>
      <c r="F949">
        <v>6.4</v>
      </c>
      <c r="G949">
        <v>7.3</v>
      </c>
      <c r="H949">
        <v>7.1</v>
      </c>
      <c r="I949">
        <v>8.1999999999999993</v>
      </c>
      <c r="J949">
        <v>190</v>
      </c>
      <c r="K949">
        <v>2020</v>
      </c>
      <c r="L949">
        <v>2.1</v>
      </c>
      <c r="M949">
        <v>2.5</v>
      </c>
      <c r="N949">
        <v>0</v>
      </c>
      <c r="O949">
        <v>0</v>
      </c>
      <c r="R949">
        <v>34</v>
      </c>
      <c r="S949">
        <v>60</v>
      </c>
      <c r="V949">
        <f>River_data[[#This Row],[Dissolved Oxygen Min]]*River_data[[#This Row],[Dissolved Oxygen Max]]/2</f>
        <v>23.36</v>
      </c>
      <c r="W949">
        <f>River_data[[#This Row],[BOD Min]]*River_data[[#This Row],[BOD Max]]/2</f>
        <v>2.625</v>
      </c>
      <c r="X949">
        <f>AVERAGE(River_data[[#This Row],[pH Max]]-River_data[[#This Row],[pH Min]])</f>
        <v>1.0999999999999996</v>
      </c>
    </row>
    <row r="950" spans="1:24" x14ac:dyDescent="0.3">
      <c r="A950">
        <v>1846</v>
      </c>
      <c r="B950" s="1" t="s">
        <v>971</v>
      </c>
      <c r="C950" s="1" t="s">
        <v>964</v>
      </c>
      <c r="D950">
        <v>2.6</v>
      </c>
      <c r="E950">
        <v>29</v>
      </c>
      <c r="F950">
        <v>2.2000000000000002</v>
      </c>
      <c r="G950">
        <v>7.2</v>
      </c>
      <c r="H950">
        <v>7.3</v>
      </c>
      <c r="I950">
        <v>8</v>
      </c>
      <c r="J950">
        <v>400</v>
      </c>
      <c r="K950">
        <v>4120</v>
      </c>
      <c r="L950">
        <v>1.8</v>
      </c>
      <c r="M950">
        <v>10</v>
      </c>
      <c r="N950">
        <v>0.43</v>
      </c>
      <c r="O950">
        <v>4.03</v>
      </c>
      <c r="R950">
        <v>210</v>
      </c>
      <c r="S950">
        <v>11100</v>
      </c>
      <c r="V950">
        <f>River_data[[#This Row],[Dissolved Oxygen Min]]*River_data[[#This Row],[Dissolved Oxygen Max]]/2</f>
        <v>7.9200000000000008</v>
      </c>
      <c r="W950">
        <f>River_data[[#This Row],[BOD Min]]*River_data[[#This Row],[BOD Max]]/2</f>
        <v>9</v>
      </c>
      <c r="X950">
        <f>AVERAGE(River_data[[#This Row],[pH Max]]-River_data[[#This Row],[pH Min]])</f>
        <v>0.70000000000000018</v>
      </c>
    </row>
    <row r="951" spans="1:24" x14ac:dyDescent="0.3">
      <c r="A951">
        <v>1847</v>
      </c>
      <c r="B951" s="1" t="s">
        <v>972</v>
      </c>
      <c r="C951" s="1" t="s">
        <v>964</v>
      </c>
      <c r="D951">
        <v>2.4</v>
      </c>
      <c r="E951">
        <v>29</v>
      </c>
      <c r="F951">
        <v>4</v>
      </c>
      <c r="G951">
        <v>7.2</v>
      </c>
      <c r="H951">
        <v>7.1</v>
      </c>
      <c r="I951">
        <v>7.9</v>
      </c>
      <c r="J951">
        <v>400</v>
      </c>
      <c r="K951">
        <v>539</v>
      </c>
      <c r="L951">
        <v>2</v>
      </c>
      <c r="M951">
        <v>12</v>
      </c>
      <c r="N951">
        <v>0.43</v>
      </c>
      <c r="O951">
        <v>2.2599999999999998</v>
      </c>
      <c r="R951">
        <v>220</v>
      </c>
      <c r="S951">
        <v>1100</v>
      </c>
      <c r="V951">
        <f>River_data[[#This Row],[Dissolved Oxygen Min]]*River_data[[#This Row],[Dissolved Oxygen Max]]/2</f>
        <v>14.4</v>
      </c>
      <c r="W951">
        <f>River_data[[#This Row],[BOD Min]]*River_data[[#This Row],[BOD Max]]/2</f>
        <v>12</v>
      </c>
      <c r="X951">
        <f>AVERAGE(River_data[[#This Row],[pH Max]]-River_data[[#This Row],[pH Min]])</f>
        <v>0.80000000000000071</v>
      </c>
    </row>
    <row r="952" spans="1:24" x14ac:dyDescent="0.3">
      <c r="A952">
        <v>1853</v>
      </c>
      <c r="B952" s="1" t="s">
        <v>973</v>
      </c>
      <c r="C952" s="1" t="s">
        <v>964</v>
      </c>
      <c r="D952">
        <v>22</v>
      </c>
      <c r="E952">
        <v>32</v>
      </c>
      <c r="F952">
        <v>6.2</v>
      </c>
      <c r="G952">
        <v>6.9</v>
      </c>
      <c r="H952">
        <v>7.1</v>
      </c>
      <c r="I952">
        <v>7.6</v>
      </c>
      <c r="J952">
        <v>194</v>
      </c>
      <c r="K952">
        <v>482</v>
      </c>
      <c r="L952">
        <v>2.1</v>
      </c>
      <c r="M952">
        <v>2.9</v>
      </c>
      <c r="N952">
        <v>0</v>
      </c>
      <c r="O952">
        <v>0</v>
      </c>
      <c r="R952">
        <v>56</v>
      </c>
      <c r="S952">
        <v>80</v>
      </c>
      <c r="V952">
        <f>River_data[[#This Row],[Dissolved Oxygen Min]]*River_data[[#This Row],[Dissolved Oxygen Max]]/2</f>
        <v>21.39</v>
      </c>
      <c r="W952">
        <f>River_data[[#This Row],[BOD Min]]*River_data[[#This Row],[BOD Max]]/2</f>
        <v>3.0449999999999999</v>
      </c>
      <c r="X952">
        <f>AVERAGE(River_data[[#This Row],[pH Max]]-River_data[[#This Row],[pH Min]])</f>
        <v>0.5</v>
      </c>
    </row>
    <row r="953" spans="1:24" x14ac:dyDescent="0.3">
      <c r="A953">
        <v>1105</v>
      </c>
      <c r="B953" s="1" t="s">
        <v>974</v>
      </c>
      <c r="C953" s="1" t="s">
        <v>964</v>
      </c>
      <c r="D953">
        <v>24.1</v>
      </c>
      <c r="E953">
        <v>26.2</v>
      </c>
      <c r="F953">
        <v>0.3</v>
      </c>
      <c r="G953">
        <v>8.6</v>
      </c>
      <c r="H953">
        <v>7.2</v>
      </c>
      <c r="I953">
        <v>7.4</v>
      </c>
      <c r="J953">
        <v>126</v>
      </c>
      <c r="K953">
        <v>1326</v>
      </c>
      <c r="L953">
        <v>1</v>
      </c>
      <c r="M953">
        <v>1.2</v>
      </c>
      <c r="N953">
        <v>0.37</v>
      </c>
      <c r="O953">
        <v>0.53</v>
      </c>
      <c r="P953">
        <v>4</v>
      </c>
      <c r="Q953">
        <v>22</v>
      </c>
      <c r="R953">
        <v>24</v>
      </c>
      <c r="S953">
        <v>49</v>
      </c>
      <c r="V953">
        <f>River_data[[#This Row],[Dissolved Oxygen Min]]*River_data[[#This Row],[Dissolved Oxygen Max]]/2</f>
        <v>1.2899999999999998</v>
      </c>
      <c r="W953">
        <f>River_data[[#This Row],[BOD Min]]*River_data[[#This Row],[BOD Max]]/2</f>
        <v>0.6</v>
      </c>
      <c r="X953">
        <f>AVERAGE(River_data[[#This Row],[pH Max]]-River_data[[#This Row],[pH Min]])</f>
        <v>0.20000000000000018</v>
      </c>
    </row>
    <row r="954" spans="1:24" x14ac:dyDescent="0.3">
      <c r="A954">
        <v>1106</v>
      </c>
      <c r="B954" s="1" t="s">
        <v>975</v>
      </c>
      <c r="C954" s="1" t="s">
        <v>964</v>
      </c>
      <c r="D954">
        <v>20.100000000000001</v>
      </c>
      <c r="E954">
        <v>33</v>
      </c>
      <c r="F954">
        <v>6</v>
      </c>
      <c r="G954">
        <v>7.2</v>
      </c>
      <c r="H954">
        <v>7.2</v>
      </c>
      <c r="I954">
        <v>8</v>
      </c>
      <c r="J954">
        <v>160</v>
      </c>
      <c r="K954">
        <v>374</v>
      </c>
      <c r="L954">
        <v>1.8</v>
      </c>
      <c r="M954">
        <v>3.1</v>
      </c>
      <c r="N954">
        <v>2.2000000000000002</v>
      </c>
      <c r="O954">
        <v>4.4000000000000004</v>
      </c>
      <c r="P954">
        <v>12</v>
      </c>
      <c r="Q954">
        <v>170</v>
      </c>
      <c r="R954">
        <v>28</v>
      </c>
      <c r="S954">
        <v>630</v>
      </c>
      <c r="V954">
        <f>River_data[[#This Row],[Dissolved Oxygen Min]]*River_data[[#This Row],[Dissolved Oxygen Max]]/2</f>
        <v>21.6</v>
      </c>
      <c r="W954">
        <f>River_data[[#This Row],[BOD Min]]*River_data[[#This Row],[BOD Max]]/2</f>
        <v>2.79</v>
      </c>
      <c r="X954">
        <f>AVERAGE(River_data[[#This Row],[pH Max]]-River_data[[#This Row],[pH Min]])</f>
        <v>0.79999999999999982</v>
      </c>
    </row>
    <row r="955" spans="1:24" x14ac:dyDescent="0.3">
      <c r="A955">
        <v>3165</v>
      </c>
      <c r="B955" s="1" t="s">
        <v>976</v>
      </c>
      <c r="C955" s="1" t="s">
        <v>964</v>
      </c>
      <c r="D955">
        <v>24.5</v>
      </c>
      <c r="E955">
        <v>26.2</v>
      </c>
      <c r="F955">
        <v>7.2</v>
      </c>
      <c r="G955">
        <v>8</v>
      </c>
      <c r="H955">
        <v>7.2</v>
      </c>
      <c r="I955">
        <v>7.6</v>
      </c>
      <c r="J955">
        <v>149</v>
      </c>
      <c r="K955">
        <v>1524</v>
      </c>
      <c r="L955">
        <v>1</v>
      </c>
      <c r="M955">
        <v>1.8</v>
      </c>
      <c r="N955">
        <v>0.61</v>
      </c>
      <c r="O955">
        <v>1.1000000000000001</v>
      </c>
      <c r="P955">
        <v>13</v>
      </c>
      <c r="Q955">
        <v>37</v>
      </c>
      <c r="R955">
        <v>34</v>
      </c>
      <c r="S955">
        <v>150</v>
      </c>
      <c r="V955">
        <f>River_data[[#This Row],[Dissolved Oxygen Min]]*River_data[[#This Row],[Dissolved Oxygen Max]]/2</f>
        <v>28.8</v>
      </c>
      <c r="W955">
        <f>River_data[[#This Row],[BOD Min]]*River_data[[#This Row],[BOD Max]]/2</f>
        <v>0.9</v>
      </c>
      <c r="X955">
        <f>AVERAGE(River_data[[#This Row],[pH Max]]-River_data[[#This Row],[pH Min]])</f>
        <v>0.39999999999999947</v>
      </c>
    </row>
    <row r="956" spans="1:24" x14ac:dyDescent="0.3">
      <c r="A956">
        <v>3169</v>
      </c>
      <c r="B956" s="1" t="s">
        <v>977</v>
      </c>
      <c r="C956" s="1" t="s">
        <v>964</v>
      </c>
      <c r="D956">
        <v>24.5</v>
      </c>
      <c r="E956">
        <v>26.2</v>
      </c>
      <c r="F956">
        <v>7.2</v>
      </c>
      <c r="G956">
        <v>7.8</v>
      </c>
      <c r="H956">
        <v>7.1</v>
      </c>
      <c r="I956">
        <v>7.5</v>
      </c>
      <c r="J956">
        <v>136</v>
      </c>
      <c r="K956">
        <v>1442</v>
      </c>
      <c r="L956">
        <v>1</v>
      </c>
      <c r="M956">
        <v>1.6</v>
      </c>
      <c r="N956">
        <v>0.47</v>
      </c>
      <c r="O956">
        <v>0.93</v>
      </c>
      <c r="P956">
        <v>9</v>
      </c>
      <c r="Q956">
        <v>25</v>
      </c>
      <c r="R956">
        <v>21</v>
      </c>
      <c r="S956">
        <v>58</v>
      </c>
      <c r="V956">
        <f>River_data[[#This Row],[Dissolved Oxygen Min]]*River_data[[#This Row],[Dissolved Oxygen Max]]/2</f>
        <v>28.08</v>
      </c>
      <c r="W956">
        <f>River_data[[#This Row],[BOD Min]]*River_data[[#This Row],[BOD Max]]/2</f>
        <v>0.8</v>
      </c>
      <c r="X956">
        <f>AVERAGE(River_data[[#This Row],[pH Max]]-River_data[[#This Row],[pH Min]])</f>
        <v>0.40000000000000036</v>
      </c>
    </row>
    <row r="957" spans="1:24" x14ac:dyDescent="0.3">
      <c r="A957">
        <v>3170</v>
      </c>
      <c r="B957" s="1" t="s">
        <v>978</v>
      </c>
      <c r="C957" s="1" t="s">
        <v>964</v>
      </c>
      <c r="D957">
        <v>24.7</v>
      </c>
      <c r="E957">
        <v>26.3</v>
      </c>
      <c r="F957">
        <v>7.6</v>
      </c>
      <c r="G957">
        <v>8.1999999999999993</v>
      </c>
      <c r="H957">
        <v>7.2</v>
      </c>
      <c r="I957">
        <v>7.5</v>
      </c>
      <c r="J957">
        <v>141</v>
      </c>
      <c r="K957">
        <v>1565</v>
      </c>
      <c r="L957">
        <v>1</v>
      </c>
      <c r="M957">
        <v>1</v>
      </c>
      <c r="N957">
        <v>0.44</v>
      </c>
      <c r="O957">
        <v>0.82</v>
      </c>
      <c r="P957">
        <v>2</v>
      </c>
      <c r="Q957">
        <v>4</v>
      </c>
      <c r="R957">
        <v>2</v>
      </c>
      <c r="S957">
        <v>22</v>
      </c>
      <c r="V957">
        <f>River_data[[#This Row],[Dissolved Oxygen Min]]*River_data[[#This Row],[Dissolved Oxygen Max]]/2</f>
        <v>31.159999999999997</v>
      </c>
      <c r="W957">
        <f>River_data[[#This Row],[BOD Min]]*River_data[[#This Row],[BOD Max]]/2</f>
        <v>0.5</v>
      </c>
      <c r="X957">
        <f>AVERAGE(River_data[[#This Row],[pH Max]]-River_data[[#This Row],[pH Min]])</f>
        <v>0.29999999999999982</v>
      </c>
    </row>
    <row r="958" spans="1:24" x14ac:dyDescent="0.3">
      <c r="A958">
        <v>1267</v>
      </c>
      <c r="B958" s="1" t="s">
        <v>979</v>
      </c>
      <c r="C958" s="1" t="s">
        <v>959</v>
      </c>
      <c r="D958">
        <v>22</v>
      </c>
      <c r="E958">
        <v>32</v>
      </c>
      <c r="F958">
        <v>5.4</v>
      </c>
      <c r="G958">
        <v>8.1</v>
      </c>
      <c r="H958">
        <v>6.5</v>
      </c>
      <c r="I958">
        <v>7.8</v>
      </c>
      <c r="J958">
        <v>107</v>
      </c>
      <c r="K958">
        <v>180</v>
      </c>
      <c r="L958">
        <v>1.1000000000000001</v>
      </c>
      <c r="M958">
        <v>1.9</v>
      </c>
      <c r="N958">
        <v>0.32</v>
      </c>
      <c r="O958">
        <v>0.83</v>
      </c>
      <c r="P958">
        <v>45</v>
      </c>
      <c r="Q958">
        <v>1700</v>
      </c>
      <c r="R958">
        <v>330</v>
      </c>
      <c r="S958">
        <v>3500</v>
      </c>
      <c r="V958">
        <f>River_data[[#This Row],[Dissolved Oxygen Min]]*River_data[[#This Row],[Dissolved Oxygen Max]]/2</f>
        <v>21.87</v>
      </c>
      <c r="W958">
        <f>River_data[[#This Row],[BOD Min]]*River_data[[#This Row],[BOD Max]]/2</f>
        <v>1.0449999999999999</v>
      </c>
      <c r="X958">
        <f>AVERAGE(River_data[[#This Row],[pH Max]]-River_data[[#This Row],[pH Min]])</f>
        <v>1.2999999999999998</v>
      </c>
    </row>
    <row r="959" spans="1:24" x14ac:dyDescent="0.3">
      <c r="A959">
        <v>1268</v>
      </c>
      <c r="B959" s="1" t="s">
        <v>980</v>
      </c>
      <c r="C959" s="1" t="s">
        <v>959</v>
      </c>
      <c r="D959">
        <v>18</v>
      </c>
      <c r="E959">
        <v>32</v>
      </c>
      <c r="F959">
        <v>7.8</v>
      </c>
      <c r="G959">
        <v>8.6</v>
      </c>
      <c r="H959">
        <v>6.8</v>
      </c>
      <c r="I959">
        <v>8.3000000000000007</v>
      </c>
      <c r="J959">
        <v>98</v>
      </c>
      <c r="K959">
        <v>333</v>
      </c>
      <c r="L959">
        <v>1.1000000000000001</v>
      </c>
      <c r="M959">
        <v>1.5</v>
      </c>
      <c r="N959">
        <v>0.32</v>
      </c>
      <c r="O959">
        <v>1.37</v>
      </c>
      <c r="P959">
        <v>230</v>
      </c>
      <c r="Q959">
        <v>1700</v>
      </c>
      <c r="R959">
        <v>940</v>
      </c>
      <c r="S959">
        <v>3500</v>
      </c>
      <c r="V959">
        <f>River_data[[#This Row],[Dissolved Oxygen Min]]*River_data[[#This Row],[Dissolved Oxygen Max]]/2</f>
        <v>33.54</v>
      </c>
      <c r="W959">
        <f>River_data[[#This Row],[BOD Min]]*River_data[[#This Row],[BOD Max]]/2</f>
        <v>0.82500000000000007</v>
      </c>
      <c r="X959">
        <f>AVERAGE(River_data[[#This Row],[pH Max]]-River_data[[#This Row],[pH Min]])</f>
        <v>1.5000000000000009</v>
      </c>
    </row>
    <row r="960" spans="1:24" x14ac:dyDescent="0.3">
      <c r="A960">
        <v>1269</v>
      </c>
      <c r="B960" s="1" t="s">
        <v>981</v>
      </c>
      <c r="C960" s="1" t="s">
        <v>959</v>
      </c>
      <c r="D960">
        <v>17</v>
      </c>
      <c r="E960">
        <v>33</v>
      </c>
      <c r="F960">
        <v>7.6</v>
      </c>
      <c r="G960">
        <v>8.1999999999999993</v>
      </c>
      <c r="H960">
        <v>6.7</v>
      </c>
      <c r="I960">
        <v>8.5</v>
      </c>
      <c r="J960">
        <v>115</v>
      </c>
      <c r="K960">
        <v>338</v>
      </c>
      <c r="L960">
        <v>1.4</v>
      </c>
      <c r="M960">
        <v>1.8</v>
      </c>
      <c r="N960">
        <v>0.32</v>
      </c>
      <c r="O960">
        <v>1.0900000000000001</v>
      </c>
      <c r="P960">
        <v>130</v>
      </c>
      <c r="Q960">
        <v>1700</v>
      </c>
      <c r="R960">
        <v>790</v>
      </c>
      <c r="S960">
        <v>4900</v>
      </c>
      <c r="V960">
        <f>River_data[[#This Row],[Dissolved Oxygen Min]]*River_data[[#This Row],[Dissolved Oxygen Max]]/2</f>
        <v>31.159999999999997</v>
      </c>
      <c r="W960">
        <f>River_data[[#This Row],[BOD Min]]*River_data[[#This Row],[BOD Max]]/2</f>
        <v>1.26</v>
      </c>
      <c r="X960">
        <f>AVERAGE(River_data[[#This Row],[pH Max]]-River_data[[#This Row],[pH Min]])</f>
        <v>1.7999999999999998</v>
      </c>
    </row>
    <row r="961" spans="1:24" x14ac:dyDescent="0.3">
      <c r="A961">
        <v>1300</v>
      </c>
      <c r="B961" s="1" t="s">
        <v>982</v>
      </c>
      <c r="C961" s="1" t="s">
        <v>959</v>
      </c>
      <c r="D961">
        <v>18</v>
      </c>
      <c r="E961">
        <v>33</v>
      </c>
      <c r="F961">
        <v>7.6</v>
      </c>
      <c r="G961">
        <v>8.1999999999999993</v>
      </c>
      <c r="H961">
        <v>6.8</v>
      </c>
      <c r="I961">
        <v>8.1999999999999993</v>
      </c>
      <c r="J961">
        <v>120</v>
      </c>
      <c r="K961">
        <v>265</v>
      </c>
      <c r="L961">
        <v>1.1000000000000001</v>
      </c>
      <c r="M961">
        <v>1.9</v>
      </c>
      <c r="N961">
        <v>0.32</v>
      </c>
      <c r="O961">
        <v>1.38</v>
      </c>
      <c r="P961">
        <v>110</v>
      </c>
      <c r="Q961">
        <v>790</v>
      </c>
      <c r="R961">
        <v>490</v>
      </c>
      <c r="S961">
        <v>2400</v>
      </c>
      <c r="V961">
        <f>River_data[[#This Row],[Dissolved Oxygen Min]]*River_data[[#This Row],[Dissolved Oxygen Max]]/2</f>
        <v>31.159999999999997</v>
      </c>
      <c r="W961">
        <f>River_data[[#This Row],[BOD Min]]*River_data[[#This Row],[BOD Max]]/2</f>
        <v>1.0449999999999999</v>
      </c>
      <c r="X961">
        <f>AVERAGE(River_data[[#This Row],[pH Max]]-River_data[[#This Row],[pH Min]])</f>
        <v>1.3999999999999995</v>
      </c>
    </row>
    <row r="962" spans="1:24" x14ac:dyDescent="0.3">
      <c r="A962">
        <v>2409</v>
      </c>
      <c r="B962" s="1" t="s">
        <v>983</v>
      </c>
      <c r="C962" s="1" t="s">
        <v>959</v>
      </c>
      <c r="D962">
        <v>22</v>
      </c>
      <c r="E962">
        <v>30</v>
      </c>
      <c r="F962">
        <v>6.3</v>
      </c>
      <c r="G962">
        <v>8.6</v>
      </c>
      <c r="H962">
        <v>7.2</v>
      </c>
      <c r="I962">
        <v>8.5</v>
      </c>
      <c r="J962">
        <v>149</v>
      </c>
      <c r="K962">
        <v>280</v>
      </c>
      <c r="L962">
        <v>1.1000000000000001</v>
      </c>
      <c r="M962">
        <v>3.9</v>
      </c>
      <c r="N962">
        <v>0.32</v>
      </c>
      <c r="O962">
        <v>1.34</v>
      </c>
      <c r="P962">
        <v>35000</v>
      </c>
      <c r="Q962">
        <v>160000</v>
      </c>
      <c r="R962">
        <v>92000</v>
      </c>
      <c r="S962">
        <v>160000</v>
      </c>
      <c r="T962">
        <v>49</v>
      </c>
      <c r="U962">
        <v>220</v>
      </c>
      <c r="V962">
        <f>River_data[[#This Row],[Dissolved Oxygen Min]]*River_data[[#This Row],[Dissolved Oxygen Max]]/2</f>
        <v>27.09</v>
      </c>
      <c r="W962">
        <f>River_data[[#This Row],[BOD Min]]*River_data[[#This Row],[BOD Max]]/2</f>
        <v>2.145</v>
      </c>
      <c r="X962">
        <f>AVERAGE(River_data[[#This Row],[pH Max]]-River_data[[#This Row],[pH Min]])</f>
        <v>1.2999999999999998</v>
      </c>
    </row>
    <row r="963" spans="1:24" x14ac:dyDescent="0.3">
      <c r="A963">
        <v>1279</v>
      </c>
      <c r="B963" s="1" t="s">
        <v>984</v>
      </c>
      <c r="C963" s="1" t="s">
        <v>959</v>
      </c>
      <c r="D963">
        <v>21</v>
      </c>
      <c r="E963">
        <v>31</v>
      </c>
      <c r="F963">
        <v>6.3</v>
      </c>
      <c r="G963">
        <v>9.1999999999999993</v>
      </c>
      <c r="H963">
        <v>6.8</v>
      </c>
      <c r="I963">
        <v>7.8</v>
      </c>
      <c r="J963">
        <v>150</v>
      </c>
      <c r="K963">
        <v>253</v>
      </c>
      <c r="L963">
        <v>1.1000000000000001</v>
      </c>
      <c r="M963">
        <v>1.7</v>
      </c>
      <c r="N963">
        <v>0.32</v>
      </c>
      <c r="O963">
        <v>2.79</v>
      </c>
      <c r="P963">
        <v>490</v>
      </c>
      <c r="Q963">
        <v>4900</v>
      </c>
      <c r="R963">
        <v>1700</v>
      </c>
      <c r="S963">
        <v>14000</v>
      </c>
      <c r="T963">
        <v>11</v>
      </c>
      <c r="U963">
        <v>110</v>
      </c>
      <c r="V963">
        <f>River_data[[#This Row],[Dissolved Oxygen Min]]*River_data[[#This Row],[Dissolved Oxygen Max]]/2</f>
        <v>28.979999999999997</v>
      </c>
      <c r="W963">
        <f>River_data[[#This Row],[BOD Min]]*River_data[[#This Row],[BOD Max]]/2</f>
        <v>0.93500000000000005</v>
      </c>
      <c r="X963">
        <f>AVERAGE(River_data[[#This Row],[pH Max]]-River_data[[#This Row],[pH Min]])</f>
        <v>1</v>
      </c>
    </row>
    <row r="964" spans="1:24" x14ac:dyDescent="0.3">
      <c r="A964">
        <v>1280</v>
      </c>
      <c r="B964" s="1" t="s">
        <v>985</v>
      </c>
      <c r="C964" s="1" t="s">
        <v>959</v>
      </c>
      <c r="D964">
        <v>20</v>
      </c>
      <c r="E964">
        <v>33</v>
      </c>
      <c r="F964">
        <v>2.8</v>
      </c>
      <c r="G964">
        <v>7.1</v>
      </c>
      <c r="H964">
        <v>6.7</v>
      </c>
      <c r="I964">
        <v>7.5</v>
      </c>
      <c r="J964">
        <v>162</v>
      </c>
      <c r="K964">
        <v>430</v>
      </c>
      <c r="L964">
        <v>2.8</v>
      </c>
      <c r="M964">
        <v>5.7</v>
      </c>
      <c r="N964">
        <v>0.32</v>
      </c>
      <c r="O964">
        <v>4.4000000000000004</v>
      </c>
      <c r="P964">
        <v>3300</v>
      </c>
      <c r="Q964">
        <v>92000</v>
      </c>
      <c r="R964">
        <v>9200</v>
      </c>
      <c r="S964">
        <v>160000</v>
      </c>
      <c r="T964">
        <v>22</v>
      </c>
      <c r="U964">
        <v>540</v>
      </c>
      <c r="V964">
        <f>River_data[[#This Row],[Dissolved Oxygen Min]]*River_data[[#This Row],[Dissolved Oxygen Max]]/2</f>
        <v>9.94</v>
      </c>
      <c r="W964">
        <f>River_data[[#This Row],[BOD Min]]*River_data[[#This Row],[BOD Max]]/2</f>
        <v>7.9799999999999995</v>
      </c>
      <c r="X964">
        <f>AVERAGE(River_data[[#This Row],[pH Max]]-River_data[[#This Row],[pH Min]])</f>
        <v>0.79999999999999982</v>
      </c>
    </row>
    <row r="965" spans="1:24" x14ac:dyDescent="0.3">
      <c r="A965">
        <v>2410</v>
      </c>
      <c r="B965" s="1" t="s">
        <v>986</v>
      </c>
      <c r="C965" s="1" t="s">
        <v>959</v>
      </c>
      <c r="D965">
        <v>21</v>
      </c>
      <c r="E965">
        <v>31</v>
      </c>
      <c r="F965">
        <v>6.1</v>
      </c>
      <c r="G965">
        <v>10.5</v>
      </c>
      <c r="H965">
        <v>6.8</v>
      </c>
      <c r="I965">
        <v>7.7</v>
      </c>
      <c r="J965">
        <v>183</v>
      </c>
      <c r="K965">
        <v>241</v>
      </c>
      <c r="L965">
        <v>1.3</v>
      </c>
      <c r="M965">
        <v>1.8</v>
      </c>
      <c r="N965">
        <v>0.32</v>
      </c>
      <c r="O965">
        <v>0.67</v>
      </c>
      <c r="P965">
        <v>130</v>
      </c>
      <c r="Q965">
        <v>2200</v>
      </c>
      <c r="R965">
        <v>790</v>
      </c>
      <c r="S965">
        <v>4900</v>
      </c>
      <c r="T965">
        <v>5</v>
      </c>
      <c r="U965">
        <v>79</v>
      </c>
      <c r="V965">
        <f>River_data[[#This Row],[Dissolved Oxygen Min]]*River_data[[#This Row],[Dissolved Oxygen Max]]/2</f>
        <v>32.024999999999999</v>
      </c>
      <c r="W965">
        <f>River_data[[#This Row],[BOD Min]]*River_data[[#This Row],[BOD Max]]/2</f>
        <v>1.1700000000000002</v>
      </c>
      <c r="X965">
        <f>AVERAGE(River_data[[#This Row],[pH Max]]-River_data[[#This Row],[pH Min]])</f>
        <v>0.90000000000000036</v>
      </c>
    </row>
    <row r="966" spans="1:24" x14ac:dyDescent="0.3">
      <c r="A966">
        <v>1640</v>
      </c>
      <c r="B966" s="1" t="s">
        <v>987</v>
      </c>
      <c r="C966" s="1" t="s">
        <v>959</v>
      </c>
      <c r="D966">
        <v>22</v>
      </c>
      <c r="E966">
        <v>31</v>
      </c>
      <c r="F966">
        <v>6.8</v>
      </c>
      <c r="G966">
        <v>8.8000000000000007</v>
      </c>
      <c r="H966">
        <v>7.3</v>
      </c>
      <c r="I966">
        <v>8.4</v>
      </c>
      <c r="J966">
        <v>160</v>
      </c>
      <c r="K966">
        <v>2478</v>
      </c>
      <c r="L966">
        <v>1.2</v>
      </c>
      <c r="M966">
        <v>2.1</v>
      </c>
      <c r="N966">
        <v>0.32</v>
      </c>
      <c r="O966">
        <v>1.33</v>
      </c>
      <c r="P966">
        <v>170</v>
      </c>
      <c r="Q966">
        <v>4900</v>
      </c>
      <c r="R966">
        <v>1300</v>
      </c>
      <c r="S966">
        <v>17000</v>
      </c>
      <c r="V966">
        <f>River_data[[#This Row],[Dissolved Oxygen Min]]*River_data[[#This Row],[Dissolved Oxygen Max]]/2</f>
        <v>29.92</v>
      </c>
      <c r="W966">
        <f>River_data[[#This Row],[BOD Min]]*River_data[[#This Row],[BOD Max]]/2</f>
        <v>1.26</v>
      </c>
      <c r="X966">
        <f>AVERAGE(River_data[[#This Row],[pH Max]]-River_data[[#This Row],[pH Min]])</f>
        <v>1.1000000000000005</v>
      </c>
    </row>
    <row r="967" spans="1:24" x14ac:dyDescent="0.3">
      <c r="A967">
        <v>1848</v>
      </c>
      <c r="B967" s="1" t="s">
        <v>988</v>
      </c>
      <c r="C967" s="1" t="s">
        <v>964</v>
      </c>
      <c r="D967">
        <v>21.2</v>
      </c>
      <c r="E967">
        <v>32.5</v>
      </c>
      <c r="F967">
        <v>5.8</v>
      </c>
      <c r="G967">
        <v>7</v>
      </c>
      <c r="H967">
        <v>6.8</v>
      </c>
      <c r="I967">
        <v>9</v>
      </c>
      <c r="J967">
        <v>376</v>
      </c>
      <c r="K967">
        <v>928</v>
      </c>
      <c r="L967">
        <v>2.8</v>
      </c>
      <c r="M967">
        <v>4.7</v>
      </c>
      <c r="N967">
        <v>2.2000000000000002</v>
      </c>
      <c r="O967">
        <v>6</v>
      </c>
      <c r="P967">
        <v>20</v>
      </c>
      <c r="Q967">
        <v>130</v>
      </c>
      <c r="R967">
        <v>70</v>
      </c>
      <c r="S967">
        <v>490</v>
      </c>
      <c r="V967">
        <f>River_data[[#This Row],[Dissolved Oxygen Min]]*River_data[[#This Row],[Dissolved Oxygen Max]]/2</f>
        <v>20.3</v>
      </c>
      <c r="W967">
        <f>River_data[[#This Row],[BOD Min]]*River_data[[#This Row],[BOD Max]]/2</f>
        <v>6.58</v>
      </c>
      <c r="X967">
        <f>AVERAGE(River_data[[#This Row],[pH Max]]-River_data[[#This Row],[pH Min]])</f>
        <v>2.2000000000000002</v>
      </c>
    </row>
    <row r="968" spans="1:24" x14ac:dyDescent="0.3">
      <c r="A968">
        <v>1849</v>
      </c>
      <c r="B968" s="1" t="s">
        <v>989</v>
      </c>
      <c r="C968" s="1" t="s">
        <v>964</v>
      </c>
      <c r="D968">
        <v>15.2</v>
      </c>
      <c r="E968">
        <v>30</v>
      </c>
      <c r="F968">
        <v>6.8</v>
      </c>
      <c r="G968">
        <v>7.4</v>
      </c>
      <c r="H968">
        <v>7.1</v>
      </c>
      <c r="I968">
        <v>7.9</v>
      </c>
      <c r="J968">
        <v>192</v>
      </c>
      <c r="K968">
        <v>367</v>
      </c>
      <c r="L968">
        <v>1.4</v>
      </c>
      <c r="M968">
        <v>2.9</v>
      </c>
      <c r="N968">
        <v>0.84</v>
      </c>
      <c r="O968">
        <v>1.18</v>
      </c>
      <c r="P968">
        <v>13</v>
      </c>
      <c r="Q968">
        <v>13</v>
      </c>
      <c r="R968">
        <v>39</v>
      </c>
      <c r="S968">
        <v>460</v>
      </c>
      <c r="V968">
        <f>River_data[[#This Row],[Dissolved Oxygen Min]]*River_data[[#This Row],[Dissolved Oxygen Max]]/2</f>
        <v>25.16</v>
      </c>
      <c r="W968">
        <f>River_data[[#This Row],[BOD Min]]*River_data[[#This Row],[BOD Max]]/2</f>
        <v>2.0299999999999998</v>
      </c>
      <c r="X968">
        <f>AVERAGE(River_data[[#This Row],[pH Max]]-River_data[[#This Row],[pH Min]])</f>
        <v>0.80000000000000071</v>
      </c>
    </row>
    <row r="969" spans="1:24" x14ac:dyDescent="0.3">
      <c r="A969">
        <v>1850</v>
      </c>
      <c r="B969" s="1" t="s">
        <v>990</v>
      </c>
      <c r="C969" s="1" t="s">
        <v>964</v>
      </c>
      <c r="D969">
        <v>15</v>
      </c>
      <c r="E969">
        <v>32</v>
      </c>
      <c r="F969">
        <v>6</v>
      </c>
      <c r="G969">
        <v>7.4</v>
      </c>
      <c r="H969">
        <v>7.3</v>
      </c>
      <c r="I969">
        <v>8.6999999999999993</v>
      </c>
      <c r="J969">
        <v>194</v>
      </c>
      <c r="K969">
        <v>682</v>
      </c>
      <c r="L969">
        <v>1.8</v>
      </c>
      <c r="M969">
        <v>3.8</v>
      </c>
      <c r="N969">
        <v>0.98</v>
      </c>
      <c r="O969">
        <v>1.42</v>
      </c>
      <c r="P969">
        <v>50</v>
      </c>
      <c r="Q969">
        <v>50</v>
      </c>
      <c r="R969">
        <v>64</v>
      </c>
      <c r="S969">
        <v>460</v>
      </c>
      <c r="V969">
        <f>River_data[[#This Row],[Dissolved Oxygen Min]]*River_data[[#This Row],[Dissolved Oxygen Max]]/2</f>
        <v>22.200000000000003</v>
      </c>
      <c r="W969">
        <f>River_data[[#This Row],[BOD Min]]*River_data[[#This Row],[BOD Max]]/2</f>
        <v>3.42</v>
      </c>
      <c r="X969">
        <f>AVERAGE(River_data[[#This Row],[pH Max]]-River_data[[#This Row],[pH Min]])</f>
        <v>1.3999999999999995</v>
      </c>
    </row>
    <row r="970" spans="1:24" x14ac:dyDescent="0.3">
      <c r="A970">
        <v>2411</v>
      </c>
      <c r="B970" s="1" t="s">
        <v>991</v>
      </c>
      <c r="C970" s="1" t="s">
        <v>959</v>
      </c>
      <c r="D970">
        <v>20</v>
      </c>
      <c r="E970">
        <v>33</v>
      </c>
      <c r="F970">
        <v>3</v>
      </c>
      <c r="G970">
        <v>7.3</v>
      </c>
      <c r="H970">
        <v>6.9</v>
      </c>
      <c r="I970">
        <v>7.7</v>
      </c>
      <c r="J970">
        <v>155</v>
      </c>
      <c r="K970">
        <v>426</v>
      </c>
      <c r="L970">
        <v>2.2999999999999998</v>
      </c>
      <c r="M970">
        <v>4.8</v>
      </c>
      <c r="N970">
        <v>0.38</v>
      </c>
      <c r="O970">
        <v>4.79</v>
      </c>
      <c r="P970">
        <v>1700</v>
      </c>
      <c r="Q970">
        <v>54000</v>
      </c>
      <c r="R970">
        <v>3500</v>
      </c>
      <c r="S970">
        <v>92000</v>
      </c>
      <c r="T970">
        <v>17</v>
      </c>
      <c r="U970">
        <v>240</v>
      </c>
      <c r="V970">
        <f>River_data[[#This Row],[Dissolved Oxygen Min]]*River_data[[#This Row],[Dissolved Oxygen Max]]/2</f>
        <v>10.95</v>
      </c>
      <c r="W970">
        <f>River_data[[#This Row],[BOD Min]]*River_data[[#This Row],[BOD Max]]/2</f>
        <v>5.52</v>
      </c>
      <c r="X970">
        <f>AVERAGE(River_data[[#This Row],[pH Max]]-River_data[[#This Row],[pH Min]])</f>
        <v>0.79999999999999982</v>
      </c>
    </row>
    <row r="971" spans="1:24" x14ac:dyDescent="0.3">
      <c r="A971">
        <v>3894</v>
      </c>
      <c r="B971" s="1" t="s">
        <v>992</v>
      </c>
      <c r="C971" s="1" t="s">
        <v>959</v>
      </c>
      <c r="D971">
        <v>23</v>
      </c>
      <c r="E971">
        <v>32</v>
      </c>
      <c r="F971">
        <v>6.2</v>
      </c>
      <c r="G971">
        <v>9.4</v>
      </c>
      <c r="H971">
        <v>7.1</v>
      </c>
      <c r="I971">
        <v>8.4</v>
      </c>
      <c r="J971">
        <v>137</v>
      </c>
      <c r="K971">
        <v>282</v>
      </c>
      <c r="L971">
        <v>1.2</v>
      </c>
      <c r="M971">
        <v>1.7</v>
      </c>
      <c r="N971">
        <v>0.32</v>
      </c>
      <c r="O971">
        <v>0.59</v>
      </c>
      <c r="P971">
        <v>230</v>
      </c>
      <c r="Q971">
        <v>2200</v>
      </c>
      <c r="R971">
        <v>1100</v>
      </c>
      <c r="S971">
        <v>4900</v>
      </c>
      <c r="T971">
        <v>5</v>
      </c>
      <c r="U971">
        <v>79</v>
      </c>
      <c r="V971">
        <f>River_data[[#This Row],[Dissolved Oxygen Min]]*River_data[[#This Row],[Dissolved Oxygen Max]]/2</f>
        <v>29.14</v>
      </c>
      <c r="W971">
        <f>River_data[[#This Row],[BOD Min]]*River_data[[#This Row],[BOD Max]]/2</f>
        <v>1.02</v>
      </c>
      <c r="X971">
        <f>AVERAGE(River_data[[#This Row],[pH Max]]-River_data[[#This Row],[pH Min]])</f>
        <v>1.3000000000000007</v>
      </c>
    </row>
    <row r="972" spans="1:24" x14ac:dyDescent="0.3">
      <c r="A972">
        <v>3895</v>
      </c>
      <c r="B972" s="1" t="s">
        <v>993</v>
      </c>
      <c r="C972" s="1" t="s">
        <v>959</v>
      </c>
      <c r="D972">
        <v>19</v>
      </c>
      <c r="E972">
        <v>35</v>
      </c>
      <c r="F972">
        <v>3.4</v>
      </c>
      <c r="G972">
        <v>9.5</v>
      </c>
      <c r="H972">
        <v>6.6</v>
      </c>
      <c r="I972">
        <v>8</v>
      </c>
      <c r="J972">
        <v>143</v>
      </c>
      <c r="K972">
        <v>472</v>
      </c>
      <c r="L972">
        <v>1.2</v>
      </c>
      <c r="M972">
        <v>2.4</v>
      </c>
      <c r="N972">
        <v>0.32</v>
      </c>
      <c r="O972">
        <v>7.43</v>
      </c>
      <c r="P972">
        <v>220</v>
      </c>
      <c r="Q972">
        <v>160000</v>
      </c>
      <c r="R972">
        <v>1300</v>
      </c>
      <c r="S972">
        <v>160000</v>
      </c>
      <c r="T972">
        <v>5</v>
      </c>
      <c r="U972">
        <v>130</v>
      </c>
      <c r="V972">
        <f>River_data[[#This Row],[Dissolved Oxygen Min]]*River_data[[#This Row],[Dissolved Oxygen Max]]/2</f>
        <v>16.149999999999999</v>
      </c>
      <c r="W972">
        <f>River_data[[#This Row],[BOD Min]]*River_data[[#This Row],[BOD Max]]/2</f>
        <v>1.44</v>
      </c>
      <c r="X972">
        <f>AVERAGE(River_data[[#This Row],[pH Max]]-River_data[[#This Row],[pH Min]])</f>
        <v>1.4000000000000004</v>
      </c>
    </row>
    <row r="973" spans="1:24" x14ac:dyDescent="0.3">
      <c r="A973">
        <v>3891</v>
      </c>
      <c r="B973" s="1" t="s">
        <v>994</v>
      </c>
      <c r="C973" s="1" t="s">
        <v>959</v>
      </c>
      <c r="D973">
        <v>22</v>
      </c>
      <c r="E973">
        <v>30</v>
      </c>
      <c r="F973">
        <v>6.3</v>
      </c>
      <c r="G973">
        <v>9.1999999999999993</v>
      </c>
      <c r="H973">
        <v>7.2</v>
      </c>
      <c r="I973">
        <v>8.5</v>
      </c>
      <c r="J973">
        <v>153</v>
      </c>
      <c r="K973">
        <v>252</v>
      </c>
      <c r="L973">
        <v>1.1000000000000001</v>
      </c>
      <c r="M973">
        <v>1.6</v>
      </c>
      <c r="N973">
        <v>0.32</v>
      </c>
      <c r="O973">
        <v>0.59</v>
      </c>
      <c r="P973">
        <v>130</v>
      </c>
      <c r="Q973">
        <v>1300</v>
      </c>
      <c r="R973">
        <v>490</v>
      </c>
      <c r="S973">
        <v>3300</v>
      </c>
      <c r="V973">
        <f>River_data[[#This Row],[Dissolved Oxygen Min]]*River_data[[#This Row],[Dissolved Oxygen Max]]/2</f>
        <v>28.979999999999997</v>
      </c>
      <c r="W973">
        <f>River_data[[#This Row],[BOD Min]]*River_data[[#This Row],[BOD Max]]/2</f>
        <v>0.88000000000000012</v>
      </c>
      <c r="X973">
        <f>AVERAGE(River_data[[#This Row],[pH Max]]-River_data[[#This Row],[pH Min]])</f>
        <v>1.2999999999999998</v>
      </c>
    </row>
    <row r="974" spans="1:24" x14ac:dyDescent="0.3">
      <c r="A974">
        <v>1301</v>
      </c>
      <c r="B974" s="1" t="s">
        <v>995</v>
      </c>
      <c r="C974" s="1" t="s">
        <v>959</v>
      </c>
      <c r="D974">
        <v>21</v>
      </c>
      <c r="E974">
        <v>31</v>
      </c>
      <c r="F974">
        <v>6</v>
      </c>
      <c r="G974">
        <v>8.8000000000000007</v>
      </c>
      <c r="H974">
        <v>7.2</v>
      </c>
      <c r="I974">
        <v>8.4</v>
      </c>
      <c r="J974">
        <v>151</v>
      </c>
      <c r="K974">
        <v>361</v>
      </c>
      <c r="L974">
        <v>1.5</v>
      </c>
      <c r="M974">
        <v>4.2</v>
      </c>
      <c r="N974">
        <v>0.32</v>
      </c>
      <c r="O974">
        <v>1.43</v>
      </c>
      <c r="P974">
        <v>7900</v>
      </c>
      <c r="Q974">
        <v>160000</v>
      </c>
      <c r="R974">
        <v>24000</v>
      </c>
      <c r="S974">
        <v>160000</v>
      </c>
      <c r="T974">
        <v>23</v>
      </c>
      <c r="U974">
        <v>240</v>
      </c>
      <c r="V974">
        <f>River_data[[#This Row],[Dissolved Oxygen Min]]*River_data[[#This Row],[Dissolved Oxygen Max]]/2</f>
        <v>26.400000000000002</v>
      </c>
      <c r="W974">
        <f>River_data[[#This Row],[BOD Min]]*River_data[[#This Row],[BOD Max]]/2</f>
        <v>3.1500000000000004</v>
      </c>
      <c r="X974">
        <f>AVERAGE(River_data[[#This Row],[pH Max]]-River_data[[#This Row],[pH Min]])</f>
        <v>1.2000000000000002</v>
      </c>
    </row>
    <row r="975" spans="1:24" x14ac:dyDescent="0.3">
      <c r="A975">
        <v>3892</v>
      </c>
      <c r="B975" s="1" t="s">
        <v>996</v>
      </c>
      <c r="C975" s="1" t="s">
        <v>959</v>
      </c>
      <c r="D975">
        <v>22</v>
      </c>
      <c r="E975">
        <v>31</v>
      </c>
      <c r="F975">
        <v>7</v>
      </c>
      <c r="G975">
        <v>8.6</v>
      </c>
      <c r="H975">
        <v>7.1</v>
      </c>
      <c r="I975">
        <v>8.3000000000000007</v>
      </c>
      <c r="J975">
        <v>202</v>
      </c>
      <c r="K975">
        <v>388</v>
      </c>
      <c r="L975">
        <v>1.3</v>
      </c>
      <c r="M975">
        <v>3.9</v>
      </c>
      <c r="N975">
        <v>0.32</v>
      </c>
      <c r="O975">
        <v>1.1200000000000001</v>
      </c>
      <c r="P975">
        <v>1300</v>
      </c>
      <c r="Q975">
        <v>92000</v>
      </c>
      <c r="R975">
        <v>4900</v>
      </c>
      <c r="S975">
        <v>160000</v>
      </c>
      <c r="T975">
        <v>13</v>
      </c>
      <c r="U975">
        <v>170</v>
      </c>
      <c r="V975">
        <f>River_data[[#This Row],[Dissolved Oxygen Min]]*River_data[[#This Row],[Dissolved Oxygen Max]]/2</f>
        <v>30.099999999999998</v>
      </c>
      <c r="W975">
        <f>River_data[[#This Row],[BOD Min]]*River_data[[#This Row],[BOD Max]]/2</f>
        <v>2.5350000000000001</v>
      </c>
      <c r="X975">
        <f>AVERAGE(River_data[[#This Row],[pH Max]]-River_data[[#This Row],[pH Min]])</f>
        <v>1.2000000000000011</v>
      </c>
    </row>
    <row r="976" spans="1:24" x14ac:dyDescent="0.3">
      <c r="A976">
        <v>3893</v>
      </c>
      <c r="B976" s="1" t="s">
        <v>997</v>
      </c>
      <c r="C976" s="1" t="s">
        <v>959</v>
      </c>
      <c r="D976">
        <v>22</v>
      </c>
      <c r="E976">
        <v>32</v>
      </c>
      <c r="F976">
        <v>6.6</v>
      </c>
      <c r="G976">
        <v>8.5</v>
      </c>
      <c r="H976">
        <v>7.3</v>
      </c>
      <c r="I976">
        <v>8.5</v>
      </c>
      <c r="J976">
        <v>158</v>
      </c>
      <c r="K976">
        <v>327</v>
      </c>
      <c r="L976">
        <v>1.3</v>
      </c>
      <c r="M976">
        <v>2.5</v>
      </c>
      <c r="N976">
        <v>0.32</v>
      </c>
      <c r="O976">
        <v>0.98</v>
      </c>
      <c r="P976">
        <v>330</v>
      </c>
      <c r="Q976">
        <v>7900</v>
      </c>
      <c r="R976">
        <v>1700</v>
      </c>
      <c r="S976">
        <v>22000</v>
      </c>
      <c r="V976">
        <f>River_data[[#This Row],[Dissolved Oxygen Min]]*River_data[[#This Row],[Dissolved Oxygen Max]]/2</f>
        <v>28.049999999999997</v>
      </c>
      <c r="W976">
        <f>River_data[[#This Row],[BOD Min]]*River_data[[#This Row],[BOD Max]]/2</f>
        <v>1.625</v>
      </c>
      <c r="X976">
        <f>AVERAGE(River_data[[#This Row],[pH Max]]-River_data[[#This Row],[pH Min]])</f>
        <v>1.2000000000000002</v>
      </c>
    </row>
    <row r="977" spans="1:24" x14ac:dyDescent="0.3">
      <c r="A977">
        <v>3900</v>
      </c>
      <c r="B977" s="1" t="s">
        <v>998</v>
      </c>
      <c r="C977" s="1" t="s">
        <v>959</v>
      </c>
      <c r="D977">
        <v>23.5</v>
      </c>
      <c r="E977">
        <v>32.799999999999997</v>
      </c>
      <c r="F977">
        <v>2.4</v>
      </c>
      <c r="G977">
        <v>5.5</v>
      </c>
      <c r="H977">
        <v>7.1</v>
      </c>
      <c r="I977">
        <v>8.1999999999999993</v>
      </c>
      <c r="J977">
        <v>168</v>
      </c>
      <c r="K977">
        <v>1843</v>
      </c>
      <c r="L977">
        <v>1.1000000000000001</v>
      </c>
      <c r="M977">
        <v>2.2000000000000002</v>
      </c>
      <c r="N977">
        <v>0.32</v>
      </c>
      <c r="O977">
        <v>0.81</v>
      </c>
      <c r="P977">
        <v>330</v>
      </c>
      <c r="Q977">
        <v>4900</v>
      </c>
      <c r="R977">
        <v>1100</v>
      </c>
      <c r="S977">
        <v>24000</v>
      </c>
      <c r="V977">
        <f>River_data[[#This Row],[Dissolved Oxygen Min]]*River_data[[#This Row],[Dissolved Oxygen Max]]/2</f>
        <v>6.6</v>
      </c>
      <c r="W977">
        <f>River_data[[#This Row],[BOD Min]]*River_data[[#This Row],[BOD Max]]/2</f>
        <v>1.2100000000000002</v>
      </c>
      <c r="X977">
        <f>AVERAGE(River_data[[#This Row],[pH Max]]-River_data[[#This Row],[pH Min]])</f>
        <v>1.0999999999999996</v>
      </c>
    </row>
    <row r="978" spans="1:24" x14ac:dyDescent="0.3">
      <c r="A978">
        <v>3901</v>
      </c>
      <c r="B978" s="1" t="s">
        <v>999</v>
      </c>
      <c r="C978" s="1" t="s">
        <v>959</v>
      </c>
      <c r="D978">
        <v>24.5</v>
      </c>
      <c r="E978">
        <v>33.700000000000003</v>
      </c>
      <c r="F978">
        <v>2</v>
      </c>
      <c r="G978">
        <v>5.2</v>
      </c>
      <c r="H978">
        <v>6.9</v>
      </c>
      <c r="I978">
        <v>8.1999999999999993</v>
      </c>
      <c r="J978">
        <v>205</v>
      </c>
      <c r="K978">
        <v>2453</v>
      </c>
      <c r="L978">
        <v>1.5</v>
      </c>
      <c r="M978">
        <v>2.6</v>
      </c>
      <c r="N978">
        <v>0.32</v>
      </c>
      <c r="O978">
        <v>0.84</v>
      </c>
      <c r="P978">
        <v>790</v>
      </c>
      <c r="Q978">
        <v>24000</v>
      </c>
      <c r="R978">
        <v>1700</v>
      </c>
      <c r="S978">
        <v>54000</v>
      </c>
      <c r="V978">
        <f>River_data[[#This Row],[Dissolved Oxygen Min]]*River_data[[#This Row],[Dissolved Oxygen Max]]/2</f>
        <v>5.2</v>
      </c>
      <c r="W978">
        <f>River_data[[#This Row],[BOD Min]]*River_data[[#This Row],[BOD Max]]/2</f>
        <v>1.9500000000000002</v>
      </c>
      <c r="X978">
        <f>AVERAGE(River_data[[#This Row],[pH Max]]-River_data[[#This Row],[pH Min]])</f>
        <v>1.2999999999999989</v>
      </c>
    </row>
    <row r="979" spans="1:24" x14ac:dyDescent="0.3">
      <c r="A979">
        <v>3902</v>
      </c>
      <c r="B979" s="1" t="s">
        <v>1000</v>
      </c>
      <c r="C979" s="1" t="s">
        <v>959</v>
      </c>
      <c r="D979">
        <v>24.1</v>
      </c>
      <c r="E979">
        <v>33.200000000000003</v>
      </c>
      <c r="F979">
        <v>5.2</v>
      </c>
      <c r="G979">
        <v>7.8</v>
      </c>
      <c r="H979">
        <v>7.1</v>
      </c>
      <c r="I979">
        <v>8.3000000000000007</v>
      </c>
      <c r="J979">
        <v>182</v>
      </c>
      <c r="K979">
        <v>24860</v>
      </c>
      <c r="L979">
        <v>1.2</v>
      </c>
      <c r="M979">
        <v>2</v>
      </c>
      <c r="N979">
        <v>0.32</v>
      </c>
      <c r="O979">
        <v>0.94</v>
      </c>
      <c r="P979">
        <v>78</v>
      </c>
      <c r="Q979">
        <v>2200</v>
      </c>
      <c r="R979">
        <v>230</v>
      </c>
      <c r="S979">
        <v>4900</v>
      </c>
      <c r="V979">
        <f>River_data[[#This Row],[Dissolved Oxygen Min]]*River_data[[#This Row],[Dissolved Oxygen Max]]/2</f>
        <v>20.28</v>
      </c>
      <c r="W979">
        <f>River_data[[#This Row],[BOD Min]]*River_data[[#This Row],[BOD Max]]/2</f>
        <v>1.2</v>
      </c>
      <c r="X979">
        <f>AVERAGE(River_data[[#This Row],[pH Max]]-River_data[[#This Row],[pH Min]])</f>
        <v>1.2000000000000011</v>
      </c>
    </row>
    <row r="980" spans="1:24" x14ac:dyDescent="0.3">
      <c r="A980">
        <v>3896</v>
      </c>
      <c r="B980" s="1" t="s">
        <v>1001</v>
      </c>
      <c r="C980" s="1" t="s">
        <v>959</v>
      </c>
      <c r="D980">
        <v>20</v>
      </c>
      <c r="E980">
        <v>30</v>
      </c>
      <c r="F980">
        <v>0.3</v>
      </c>
      <c r="G980">
        <v>2.2000000000000002</v>
      </c>
      <c r="H980">
        <v>6.7</v>
      </c>
      <c r="I980">
        <v>7.4</v>
      </c>
      <c r="J980">
        <v>172</v>
      </c>
      <c r="K980">
        <v>449</v>
      </c>
      <c r="L980">
        <v>6.3</v>
      </c>
      <c r="M980">
        <v>15</v>
      </c>
      <c r="N980">
        <v>0.32</v>
      </c>
      <c r="O980">
        <v>15.71</v>
      </c>
      <c r="P980">
        <v>16000</v>
      </c>
      <c r="Q980">
        <v>160000</v>
      </c>
      <c r="R980">
        <v>16000</v>
      </c>
      <c r="S980">
        <v>160000</v>
      </c>
      <c r="T980">
        <v>70</v>
      </c>
      <c r="U980">
        <v>920</v>
      </c>
      <c r="V980">
        <f>River_data[[#This Row],[Dissolved Oxygen Min]]*River_data[[#This Row],[Dissolved Oxygen Max]]/2</f>
        <v>0.33</v>
      </c>
      <c r="W980">
        <f>River_data[[#This Row],[BOD Min]]*River_data[[#This Row],[BOD Max]]/2</f>
        <v>47.25</v>
      </c>
      <c r="X980">
        <f>AVERAGE(River_data[[#This Row],[pH Max]]-River_data[[#This Row],[pH Min]])</f>
        <v>0.70000000000000018</v>
      </c>
    </row>
    <row r="981" spans="1:24" x14ac:dyDescent="0.3">
      <c r="A981">
        <v>3897</v>
      </c>
      <c r="B981" s="1" t="s">
        <v>1002</v>
      </c>
      <c r="C981" s="1" t="s">
        <v>959</v>
      </c>
      <c r="D981">
        <v>22</v>
      </c>
      <c r="E981">
        <v>32</v>
      </c>
      <c r="F981">
        <v>0.3</v>
      </c>
      <c r="G981">
        <v>3.3</v>
      </c>
      <c r="H981">
        <v>4.7</v>
      </c>
      <c r="I981">
        <v>7.2</v>
      </c>
      <c r="J981">
        <v>201</v>
      </c>
      <c r="K981">
        <v>702</v>
      </c>
      <c r="L981">
        <v>7.7</v>
      </c>
      <c r="M981">
        <v>18</v>
      </c>
      <c r="N981">
        <v>0.32</v>
      </c>
      <c r="O981">
        <v>13.22</v>
      </c>
      <c r="P981">
        <v>2</v>
      </c>
      <c r="Q981">
        <v>160000</v>
      </c>
      <c r="R981">
        <v>2</v>
      </c>
      <c r="S981">
        <v>160000</v>
      </c>
      <c r="T981">
        <v>2</v>
      </c>
      <c r="U981">
        <v>350</v>
      </c>
      <c r="V981">
        <f>River_data[[#This Row],[Dissolved Oxygen Min]]*River_data[[#This Row],[Dissolved Oxygen Max]]/2</f>
        <v>0.49499999999999994</v>
      </c>
      <c r="W981">
        <f>River_data[[#This Row],[BOD Min]]*River_data[[#This Row],[BOD Max]]/2</f>
        <v>69.3</v>
      </c>
      <c r="X981">
        <f>AVERAGE(River_data[[#This Row],[pH Max]]-River_data[[#This Row],[pH Min]])</f>
        <v>2.5</v>
      </c>
    </row>
    <row r="982" spans="1:24" x14ac:dyDescent="0.3">
      <c r="A982">
        <v>3898</v>
      </c>
      <c r="B982" s="1" t="s">
        <v>1003</v>
      </c>
      <c r="C982" s="1" t="s">
        <v>959</v>
      </c>
      <c r="D982">
        <v>22</v>
      </c>
      <c r="E982">
        <v>32</v>
      </c>
      <c r="F982">
        <v>0.3</v>
      </c>
      <c r="G982">
        <v>3.3</v>
      </c>
      <c r="H982">
        <v>6.6</v>
      </c>
      <c r="I982">
        <v>7.2</v>
      </c>
      <c r="J982">
        <v>268</v>
      </c>
      <c r="K982">
        <v>580</v>
      </c>
      <c r="L982">
        <v>8</v>
      </c>
      <c r="M982">
        <v>18</v>
      </c>
      <c r="N982">
        <v>0.32</v>
      </c>
      <c r="O982">
        <v>10.57</v>
      </c>
      <c r="P982">
        <v>2</v>
      </c>
      <c r="Q982">
        <v>160000</v>
      </c>
      <c r="R982">
        <v>2</v>
      </c>
      <c r="S982">
        <v>160000</v>
      </c>
      <c r="T982">
        <v>2</v>
      </c>
      <c r="U982">
        <v>280</v>
      </c>
      <c r="V982">
        <f>River_data[[#This Row],[Dissolved Oxygen Min]]*River_data[[#This Row],[Dissolved Oxygen Max]]/2</f>
        <v>0.49499999999999994</v>
      </c>
      <c r="W982">
        <f>River_data[[#This Row],[BOD Min]]*River_data[[#This Row],[BOD Max]]/2</f>
        <v>72</v>
      </c>
      <c r="X982">
        <f>AVERAGE(River_data[[#This Row],[pH Max]]-River_data[[#This Row],[pH Min]])</f>
        <v>0.60000000000000053</v>
      </c>
    </row>
    <row r="983" spans="1:24" x14ac:dyDescent="0.3">
      <c r="A983">
        <v>3899</v>
      </c>
      <c r="B983" s="1" t="s">
        <v>1004</v>
      </c>
      <c r="C983" s="1" t="s">
        <v>959</v>
      </c>
      <c r="D983">
        <v>20</v>
      </c>
      <c r="E983">
        <v>32</v>
      </c>
      <c r="F983">
        <v>0.9</v>
      </c>
      <c r="G983">
        <v>4.5</v>
      </c>
      <c r="H983">
        <v>6.8</v>
      </c>
      <c r="I983">
        <v>7.9</v>
      </c>
      <c r="J983">
        <v>195</v>
      </c>
      <c r="K983">
        <v>502</v>
      </c>
      <c r="L983">
        <v>5</v>
      </c>
      <c r="M983">
        <v>18</v>
      </c>
      <c r="N983">
        <v>0.32</v>
      </c>
      <c r="O983">
        <v>6.02</v>
      </c>
      <c r="P983">
        <v>7900</v>
      </c>
      <c r="Q983">
        <v>160000</v>
      </c>
      <c r="R983">
        <v>24000</v>
      </c>
      <c r="S983">
        <v>160000</v>
      </c>
      <c r="T983">
        <v>79</v>
      </c>
      <c r="U983">
        <v>280</v>
      </c>
      <c r="V983">
        <f>River_data[[#This Row],[Dissolved Oxygen Min]]*River_data[[#This Row],[Dissolved Oxygen Max]]/2</f>
        <v>2.0249999999999999</v>
      </c>
      <c r="W983">
        <f>River_data[[#This Row],[BOD Min]]*River_data[[#This Row],[BOD Max]]/2</f>
        <v>45</v>
      </c>
      <c r="X983">
        <f>AVERAGE(River_data[[#This Row],[pH Max]]-River_data[[#This Row],[pH Min]])</f>
        <v>1.1000000000000005</v>
      </c>
    </row>
    <row r="984" spans="1:24" x14ac:dyDescent="0.3">
      <c r="A984">
        <v>3903</v>
      </c>
      <c r="B984" s="1" t="s">
        <v>1005</v>
      </c>
      <c r="C984" s="1" t="s">
        <v>959</v>
      </c>
      <c r="D984">
        <v>19</v>
      </c>
      <c r="E984">
        <v>32</v>
      </c>
      <c r="F984">
        <v>5.0999999999999996</v>
      </c>
      <c r="G984">
        <v>9.1</v>
      </c>
      <c r="H984">
        <v>7.1</v>
      </c>
      <c r="I984">
        <v>7.6</v>
      </c>
      <c r="J984">
        <v>180</v>
      </c>
      <c r="K984">
        <v>267</v>
      </c>
      <c r="L984">
        <v>1.2</v>
      </c>
      <c r="M984">
        <v>1.7</v>
      </c>
      <c r="N984">
        <v>0.32</v>
      </c>
      <c r="O984">
        <v>0.78</v>
      </c>
      <c r="P984">
        <v>330</v>
      </c>
      <c r="Q984">
        <v>54000</v>
      </c>
      <c r="R984">
        <v>1700</v>
      </c>
      <c r="S984">
        <v>160000</v>
      </c>
      <c r="V984">
        <f>River_data[[#This Row],[Dissolved Oxygen Min]]*River_data[[#This Row],[Dissolved Oxygen Max]]/2</f>
        <v>23.204999999999998</v>
      </c>
      <c r="W984">
        <f>River_data[[#This Row],[BOD Min]]*River_data[[#This Row],[BOD Max]]/2</f>
        <v>1.02</v>
      </c>
      <c r="X984">
        <f>AVERAGE(River_data[[#This Row],[pH Max]]-River_data[[#This Row],[pH Min]])</f>
        <v>0.5</v>
      </c>
    </row>
    <row r="985" spans="1:24" x14ac:dyDescent="0.3">
      <c r="A985">
        <v>3904</v>
      </c>
      <c r="B985" s="1" t="s">
        <v>1006</v>
      </c>
      <c r="C985" s="1" t="s">
        <v>959</v>
      </c>
      <c r="D985">
        <v>22</v>
      </c>
      <c r="E985">
        <v>32</v>
      </c>
      <c r="F985">
        <v>4.9000000000000004</v>
      </c>
      <c r="G985">
        <v>8.8000000000000007</v>
      </c>
      <c r="H985">
        <v>6.8</v>
      </c>
      <c r="I985">
        <v>7.8</v>
      </c>
      <c r="J985">
        <v>131</v>
      </c>
      <c r="K985">
        <v>282</v>
      </c>
      <c r="L985">
        <v>1.1000000000000001</v>
      </c>
      <c r="M985">
        <v>1.6</v>
      </c>
      <c r="N985">
        <v>0.32</v>
      </c>
      <c r="O985">
        <v>4.97</v>
      </c>
      <c r="P985">
        <v>130</v>
      </c>
      <c r="Q985">
        <v>3300</v>
      </c>
      <c r="R985">
        <v>490</v>
      </c>
      <c r="S985">
        <v>11000</v>
      </c>
      <c r="V985">
        <f>River_data[[#This Row],[Dissolved Oxygen Min]]*River_data[[#This Row],[Dissolved Oxygen Max]]/2</f>
        <v>21.560000000000002</v>
      </c>
      <c r="W985">
        <f>River_data[[#This Row],[BOD Min]]*River_data[[#This Row],[BOD Max]]/2</f>
        <v>0.88000000000000012</v>
      </c>
      <c r="X985">
        <f>AVERAGE(River_data[[#This Row],[pH Max]]-River_data[[#This Row],[pH Min]])</f>
        <v>1</v>
      </c>
    </row>
    <row r="986" spans="1:24" x14ac:dyDescent="0.3">
      <c r="A986">
        <v>3905</v>
      </c>
      <c r="B986" s="1" t="s">
        <v>1007</v>
      </c>
      <c r="C986" s="1" t="s">
        <v>959</v>
      </c>
      <c r="D986">
        <v>22</v>
      </c>
      <c r="E986">
        <v>34.5</v>
      </c>
      <c r="F986">
        <v>4.3</v>
      </c>
      <c r="G986">
        <v>8.4</v>
      </c>
      <c r="H986">
        <v>6.9</v>
      </c>
      <c r="I986">
        <v>7.8</v>
      </c>
      <c r="J986">
        <v>164</v>
      </c>
      <c r="K986">
        <v>348</v>
      </c>
      <c r="L986">
        <v>1.2</v>
      </c>
      <c r="M986">
        <v>1.7</v>
      </c>
      <c r="N986">
        <v>0.32</v>
      </c>
      <c r="O986">
        <v>1.47</v>
      </c>
      <c r="P986">
        <v>940</v>
      </c>
      <c r="Q986">
        <v>54000</v>
      </c>
      <c r="R986">
        <v>2800</v>
      </c>
      <c r="S986">
        <v>160000</v>
      </c>
      <c r="V986">
        <f>River_data[[#This Row],[Dissolved Oxygen Min]]*River_data[[#This Row],[Dissolved Oxygen Max]]/2</f>
        <v>18.059999999999999</v>
      </c>
      <c r="W986">
        <f>River_data[[#This Row],[BOD Min]]*River_data[[#This Row],[BOD Max]]/2</f>
        <v>1.02</v>
      </c>
      <c r="X986">
        <f>AVERAGE(River_data[[#This Row],[pH Max]]-River_data[[#This Row],[pH Min]])</f>
        <v>0.89999999999999947</v>
      </c>
    </row>
    <row r="987" spans="1:24" x14ac:dyDescent="0.3">
      <c r="A987">
        <v>3906</v>
      </c>
      <c r="B987" s="1" t="s">
        <v>1008</v>
      </c>
      <c r="C987" s="1" t="s">
        <v>959</v>
      </c>
      <c r="D987">
        <v>20</v>
      </c>
      <c r="E987">
        <v>32</v>
      </c>
      <c r="F987">
        <v>4.8</v>
      </c>
      <c r="G987">
        <v>9.1</v>
      </c>
      <c r="H987">
        <v>6.9</v>
      </c>
      <c r="I987">
        <v>8.1999999999999993</v>
      </c>
      <c r="J987">
        <v>138</v>
      </c>
      <c r="K987">
        <v>360</v>
      </c>
      <c r="L987">
        <v>1.1000000000000001</v>
      </c>
      <c r="M987">
        <v>2.1</v>
      </c>
      <c r="N987">
        <v>0.32</v>
      </c>
      <c r="O987">
        <v>0.64</v>
      </c>
      <c r="P987">
        <v>78</v>
      </c>
      <c r="Q987">
        <v>1700</v>
      </c>
      <c r="R987">
        <v>330</v>
      </c>
      <c r="S987">
        <v>2800</v>
      </c>
      <c r="V987">
        <f>River_data[[#This Row],[Dissolved Oxygen Min]]*River_data[[#This Row],[Dissolved Oxygen Max]]/2</f>
        <v>21.84</v>
      </c>
      <c r="W987">
        <f>River_data[[#This Row],[BOD Min]]*River_data[[#This Row],[BOD Max]]/2</f>
        <v>1.1550000000000002</v>
      </c>
      <c r="X987">
        <f>AVERAGE(River_data[[#This Row],[pH Max]]-River_data[[#This Row],[pH Min]])</f>
        <v>1.2999999999999989</v>
      </c>
    </row>
    <row r="988" spans="1:24" x14ac:dyDescent="0.3">
      <c r="A988">
        <v>3907</v>
      </c>
      <c r="B988" s="1" t="s">
        <v>1009</v>
      </c>
      <c r="C988" s="1" t="s">
        <v>959</v>
      </c>
      <c r="D988">
        <v>23</v>
      </c>
      <c r="E988">
        <v>34</v>
      </c>
      <c r="F988">
        <v>4.4000000000000004</v>
      </c>
      <c r="G988">
        <v>13</v>
      </c>
      <c r="H988">
        <v>7.1</v>
      </c>
      <c r="I988">
        <v>8.5</v>
      </c>
      <c r="J988">
        <v>166</v>
      </c>
      <c r="K988">
        <v>14710</v>
      </c>
      <c r="L988">
        <v>1.7</v>
      </c>
      <c r="M988">
        <v>3.6</v>
      </c>
      <c r="N988">
        <v>0.33</v>
      </c>
      <c r="O988">
        <v>5.17</v>
      </c>
      <c r="P988">
        <v>130</v>
      </c>
      <c r="Q988">
        <v>2200</v>
      </c>
      <c r="R988">
        <v>490</v>
      </c>
      <c r="S988">
        <v>4900</v>
      </c>
      <c r="T988">
        <v>2</v>
      </c>
      <c r="U988">
        <v>24</v>
      </c>
      <c r="V988">
        <f>River_data[[#This Row],[Dissolved Oxygen Min]]*River_data[[#This Row],[Dissolved Oxygen Max]]/2</f>
        <v>28.6</v>
      </c>
      <c r="W988">
        <f>River_data[[#This Row],[BOD Min]]*River_data[[#This Row],[BOD Max]]/2</f>
        <v>3.06</v>
      </c>
      <c r="X988">
        <f>AVERAGE(River_data[[#This Row],[pH Max]]-River_data[[#This Row],[pH Min]])</f>
        <v>1.4000000000000004</v>
      </c>
    </row>
    <row r="989" spans="1:24" x14ac:dyDescent="0.3">
      <c r="A989">
        <v>3908</v>
      </c>
      <c r="B989" s="1" t="s">
        <v>1010</v>
      </c>
      <c r="C989" s="1" t="s">
        <v>959</v>
      </c>
      <c r="D989">
        <v>20.5</v>
      </c>
      <c r="E989">
        <v>32</v>
      </c>
      <c r="F989">
        <v>4.5999999999999996</v>
      </c>
      <c r="G989">
        <v>9.1999999999999993</v>
      </c>
      <c r="H989">
        <v>6.9</v>
      </c>
      <c r="I989">
        <v>8.3000000000000007</v>
      </c>
      <c r="J989">
        <v>148</v>
      </c>
      <c r="K989">
        <v>280</v>
      </c>
      <c r="L989">
        <v>1.2</v>
      </c>
      <c r="M989">
        <v>2.6</v>
      </c>
      <c r="N989">
        <v>0.32</v>
      </c>
      <c r="O989">
        <v>0.74</v>
      </c>
      <c r="P989">
        <v>45</v>
      </c>
      <c r="Q989">
        <v>2200</v>
      </c>
      <c r="R989">
        <v>230</v>
      </c>
      <c r="S989">
        <v>4900</v>
      </c>
      <c r="V989">
        <f>River_data[[#This Row],[Dissolved Oxygen Min]]*River_data[[#This Row],[Dissolved Oxygen Max]]/2</f>
        <v>21.159999999999997</v>
      </c>
      <c r="W989">
        <f>River_data[[#This Row],[BOD Min]]*River_data[[#This Row],[BOD Max]]/2</f>
        <v>1.56</v>
      </c>
      <c r="X989">
        <f>AVERAGE(River_data[[#This Row],[pH Max]]-River_data[[#This Row],[pH Min]])</f>
        <v>1.4000000000000004</v>
      </c>
    </row>
    <row r="990" spans="1:24" x14ac:dyDescent="0.3">
      <c r="A990">
        <v>3909</v>
      </c>
      <c r="B990" s="1" t="s">
        <v>1011</v>
      </c>
      <c r="C990" s="1" t="s">
        <v>959</v>
      </c>
      <c r="D990">
        <v>19</v>
      </c>
      <c r="E990">
        <v>34</v>
      </c>
      <c r="F990">
        <v>5.5</v>
      </c>
      <c r="G990">
        <v>8.1999999999999993</v>
      </c>
      <c r="H990">
        <v>6.6</v>
      </c>
      <c r="I990">
        <v>7.8</v>
      </c>
      <c r="J990">
        <v>178</v>
      </c>
      <c r="K990">
        <v>355</v>
      </c>
      <c r="L990">
        <v>1.1000000000000001</v>
      </c>
      <c r="M990">
        <v>2.2000000000000002</v>
      </c>
      <c r="N990">
        <v>0.32</v>
      </c>
      <c r="O990">
        <v>1.54</v>
      </c>
      <c r="P990">
        <v>490</v>
      </c>
      <c r="Q990">
        <v>2300</v>
      </c>
      <c r="R990">
        <v>1400</v>
      </c>
      <c r="S990">
        <v>4900</v>
      </c>
      <c r="V990">
        <f>River_data[[#This Row],[Dissolved Oxygen Min]]*River_data[[#This Row],[Dissolved Oxygen Max]]/2</f>
        <v>22.549999999999997</v>
      </c>
      <c r="W990">
        <f>River_data[[#This Row],[BOD Min]]*River_data[[#This Row],[BOD Max]]/2</f>
        <v>1.2100000000000002</v>
      </c>
      <c r="X990">
        <f>AVERAGE(River_data[[#This Row],[pH Max]]-River_data[[#This Row],[pH Min]])</f>
        <v>1.2000000000000002</v>
      </c>
    </row>
    <row r="991" spans="1:24" x14ac:dyDescent="0.3">
      <c r="A991">
        <v>3910</v>
      </c>
      <c r="B991" s="1" t="s">
        <v>1012</v>
      </c>
      <c r="C991" s="1" t="s">
        <v>959</v>
      </c>
      <c r="D991">
        <v>20</v>
      </c>
      <c r="E991">
        <v>34.5</v>
      </c>
      <c r="F991">
        <v>5</v>
      </c>
      <c r="G991">
        <v>10.199999999999999</v>
      </c>
      <c r="H991">
        <v>6.8</v>
      </c>
      <c r="I991">
        <v>8.1</v>
      </c>
      <c r="J991">
        <v>410</v>
      </c>
      <c r="K991">
        <v>4657</v>
      </c>
      <c r="L991">
        <v>1.4</v>
      </c>
      <c r="M991">
        <v>2.4</v>
      </c>
      <c r="N991">
        <v>0.32</v>
      </c>
      <c r="O991">
        <v>1.5</v>
      </c>
      <c r="P991">
        <v>210</v>
      </c>
      <c r="Q991">
        <v>2400</v>
      </c>
      <c r="R991">
        <v>700</v>
      </c>
      <c r="S991">
        <v>4900</v>
      </c>
      <c r="V991">
        <f>River_data[[#This Row],[Dissolved Oxygen Min]]*River_data[[#This Row],[Dissolved Oxygen Max]]/2</f>
        <v>25.5</v>
      </c>
      <c r="W991">
        <f>River_data[[#This Row],[BOD Min]]*River_data[[#This Row],[BOD Max]]/2</f>
        <v>1.68</v>
      </c>
      <c r="X991">
        <f>AVERAGE(River_data[[#This Row],[pH Max]]-River_data[[#This Row],[pH Min]])</f>
        <v>1.2999999999999998</v>
      </c>
    </row>
    <row r="992" spans="1:24" x14ac:dyDescent="0.3">
      <c r="A992">
        <v>3911</v>
      </c>
      <c r="B992" s="1" t="s">
        <v>1013</v>
      </c>
      <c r="C992" s="1" t="s">
        <v>959</v>
      </c>
      <c r="D992">
        <v>18.5</v>
      </c>
      <c r="E992">
        <v>33</v>
      </c>
      <c r="F992">
        <v>5.0999999999999996</v>
      </c>
      <c r="G992">
        <v>7.3</v>
      </c>
      <c r="H992">
        <v>6.9</v>
      </c>
      <c r="I992">
        <v>7.7</v>
      </c>
      <c r="J992">
        <v>176</v>
      </c>
      <c r="K992">
        <v>957</v>
      </c>
      <c r="L992">
        <v>1.2</v>
      </c>
      <c r="M992">
        <v>1.9</v>
      </c>
      <c r="N992">
        <v>0.32</v>
      </c>
      <c r="O992">
        <v>1.04</v>
      </c>
      <c r="P992">
        <v>230</v>
      </c>
      <c r="Q992">
        <v>2300</v>
      </c>
      <c r="R992">
        <v>1100</v>
      </c>
      <c r="S992">
        <v>4900</v>
      </c>
      <c r="T992">
        <v>2</v>
      </c>
      <c r="U992">
        <v>33</v>
      </c>
      <c r="V992">
        <f>River_data[[#This Row],[Dissolved Oxygen Min]]*River_data[[#This Row],[Dissolved Oxygen Max]]/2</f>
        <v>18.614999999999998</v>
      </c>
      <c r="W992">
        <f>River_data[[#This Row],[BOD Min]]*River_data[[#This Row],[BOD Max]]/2</f>
        <v>1.1399999999999999</v>
      </c>
      <c r="X992">
        <f>AVERAGE(River_data[[#This Row],[pH Max]]-River_data[[#This Row],[pH Min]])</f>
        <v>0.79999999999999982</v>
      </c>
    </row>
    <row r="993" spans="1:24" x14ac:dyDescent="0.3">
      <c r="A993">
        <v>3912</v>
      </c>
      <c r="B993" s="1" t="s">
        <v>1014</v>
      </c>
      <c r="C993" s="1" t="s">
        <v>959</v>
      </c>
      <c r="D993">
        <v>20</v>
      </c>
      <c r="E993">
        <v>34</v>
      </c>
      <c r="F993">
        <v>4.8</v>
      </c>
      <c r="G993">
        <v>10.8</v>
      </c>
      <c r="H993">
        <v>6.9</v>
      </c>
      <c r="I993">
        <v>7.7</v>
      </c>
      <c r="J993">
        <v>145</v>
      </c>
      <c r="K993">
        <v>323</v>
      </c>
      <c r="L993">
        <v>1.1000000000000001</v>
      </c>
      <c r="M993">
        <v>1.8</v>
      </c>
      <c r="N993">
        <v>0.32</v>
      </c>
      <c r="O993">
        <v>2.87</v>
      </c>
      <c r="P993">
        <v>330</v>
      </c>
      <c r="Q993">
        <v>35000</v>
      </c>
      <c r="R993">
        <v>1700</v>
      </c>
      <c r="S993">
        <v>92000</v>
      </c>
      <c r="T993">
        <v>7</v>
      </c>
      <c r="U993">
        <v>94</v>
      </c>
      <c r="V993">
        <f>River_data[[#This Row],[Dissolved Oxygen Min]]*River_data[[#This Row],[Dissolved Oxygen Max]]/2</f>
        <v>25.92</v>
      </c>
      <c r="W993">
        <f>River_data[[#This Row],[BOD Min]]*River_data[[#This Row],[BOD Max]]/2</f>
        <v>0.9900000000000001</v>
      </c>
      <c r="X993">
        <f>AVERAGE(River_data[[#This Row],[pH Max]]-River_data[[#This Row],[pH Min]])</f>
        <v>0.79999999999999982</v>
      </c>
    </row>
    <row r="994" spans="1:24" x14ac:dyDescent="0.3">
      <c r="A994">
        <v>3913</v>
      </c>
      <c r="B994" s="1" t="s">
        <v>1015</v>
      </c>
      <c r="C994" s="1" t="s">
        <v>959</v>
      </c>
      <c r="D994">
        <v>19</v>
      </c>
      <c r="E994">
        <v>32</v>
      </c>
      <c r="F994">
        <v>5.3</v>
      </c>
      <c r="G994">
        <v>7.7</v>
      </c>
      <c r="H994">
        <v>6.6</v>
      </c>
      <c r="I994">
        <v>7.9</v>
      </c>
      <c r="J994">
        <v>150</v>
      </c>
      <c r="K994">
        <v>276</v>
      </c>
      <c r="L994">
        <v>1.2</v>
      </c>
      <c r="M994">
        <v>2.4</v>
      </c>
      <c r="N994">
        <v>0.32</v>
      </c>
      <c r="O994">
        <v>2.19</v>
      </c>
      <c r="P994">
        <v>2</v>
      </c>
      <c r="Q994">
        <v>2300</v>
      </c>
      <c r="R994">
        <v>2</v>
      </c>
      <c r="S994">
        <v>4900</v>
      </c>
      <c r="T994">
        <v>2</v>
      </c>
      <c r="U994">
        <v>49</v>
      </c>
      <c r="V994">
        <f>River_data[[#This Row],[Dissolved Oxygen Min]]*River_data[[#This Row],[Dissolved Oxygen Max]]/2</f>
        <v>20.405000000000001</v>
      </c>
      <c r="W994">
        <f>River_data[[#This Row],[BOD Min]]*River_data[[#This Row],[BOD Max]]/2</f>
        <v>1.44</v>
      </c>
      <c r="X994">
        <f>AVERAGE(River_data[[#This Row],[pH Max]]-River_data[[#This Row],[pH Min]])</f>
        <v>1.3000000000000007</v>
      </c>
    </row>
    <row r="995" spans="1:24" x14ac:dyDescent="0.3">
      <c r="A995">
        <v>3914</v>
      </c>
      <c r="B995" s="1" t="s">
        <v>1016</v>
      </c>
      <c r="C995" s="1" t="s">
        <v>959</v>
      </c>
      <c r="D995">
        <v>21</v>
      </c>
      <c r="E995">
        <v>35</v>
      </c>
      <c r="F995">
        <v>5.2</v>
      </c>
      <c r="G995">
        <v>7.9</v>
      </c>
      <c r="H995">
        <v>7.2</v>
      </c>
      <c r="I995">
        <v>7.9</v>
      </c>
      <c r="J995">
        <v>428</v>
      </c>
      <c r="K995">
        <v>1208</v>
      </c>
      <c r="L995">
        <v>1.1000000000000001</v>
      </c>
      <c r="M995">
        <v>1.9</v>
      </c>
      <c r="N995">
        <v>0.32</v>
      </c>
      <c r="O995">
        <v>1.72</v>
      </c>
      <c r="P995">
        <v>790</v>
      </c>
      <c r="Q995">
        <v>2400</v>
      </c>
      <c r="R995">
        <v>2200</v>
      </c>
      <c r="S995">
        <v>4900</v>
      </c>
      <c r="T995">
        <v>5</v>
      </c>
      <c r="U995">
        <v>46</v>
      </c>
      <c r="V995">
        <f>River_data[[#This Row],[Dissolved Oxygen Min]]*River_data[[#This Row],[Dissolved Oxygen Max]]/2</f>
        <v>20.540000000000003</v>
      </c>
      <c r="W995">
        <f>River_data[[#This Row],[BOD Min]]*River_data[[#This Row],[BOD Max]]/2</f>
        <v>1.0449999999999999</v>
      </c>
      <c r="X995">
        <f>AVERAGE(River_data[[#This Row],[pH Max]]-River_data[[#This Row],[pH Min]])</f>
        <v>0.70000000000000018</v>
      </c>
    </row>
    <row r="996" spans="1:24" x14ac:dyDescent="0.3">
      <c r="A996">
        <v>2408</v>
      </c>
      <c r="B996" s="1" t="s">
        <v>1017</v>
      </c>
      <c r="C996" s="1" t="s">
        <v>959</v>
      </c>
      <c r="D996">
        <v>23</v>
      </c>
      <c r="E996">
        <v>30</v>
      </c>
      <c r="F996">
        <v>6.7</v>
      </c>
      <c r="G996">
        <v>10.1</v>
      </c>
      <c r="H996">
        <v>7.6</v>
      </c>
      <c r="I996">
        <v>8.4</v>
      </c>
      <c r="J996">
        <v>109</v>
      </c>
      <c r="K996">
        <v>246</v>
      </c>
      <c r="L996">
        <v>1.1000000000000001</v>
      </c>
      <c r="M996">
        <v>1.7</v>
      </c>
      <c r="N996">
        <v>0.32</v>
      </c>
      <c r="O996">
        <v>7.29</v>
      </c>
      <c r="P996">
        <v>45</v>
      </c>
      <c r="Q996">
        <v>1100</v>
      </c>
      <c r="R996">
        <v>130</v>
      </c>
      <c r="S996">
        <v>3500</v>
      </c>
      <c r="V996">
        <f>River_data[[#This Row],[Dissolved Oxygen Min]]*River_data[[#This Row],[Dissolved Oxygen Max]]/2</f>
        <v>33.835000000000001</v>
      </c>
      <c r="W996">
        <f>River_data[[#This Row],[BOD Min]]*River_data[[#This Row],[BOD Max]]/2</f>
        <v>0.93500000000000005</v>
      </c>
      <c r="X996">
        <f>AVERAGE(River_data[[#This Row],[pH Max]]-River_data[[#This Row],[pH Min]])</f>
        <v>0.80000000000000071</v>
      </c>
    </row>
    <row r="997" spans="1:24" x14ac:dyDescent="0.3">
      <c r="A997">
        <v>1085</v>
      </c>
      <c r="B997" s="1" t="s">
        <v>1018</v>
      </c>
      <c r="C997" s="1" t="s">
        <v>959</v>
      </c>
      <c r="D997">
        <v>20</v>
      </c>
      <c r="E997">
        <v>30</v>
      </c>
      <c r="F997">
        <v>6</v>
      </c>
      <c r="G997">
        <v>9.6</v>
      </c>
      <c r="H997">
        <v>6.6</v>
      </c>
      <c r="I997">
        <v>8.1</v>
      </c>
      <c r="J997">
        <v>410</v>
      </c>
      <c r="K997">
        <v>34030</v>
      </c>
      <c r="L997">
        <v>1.1000000000000001</v>
      </c>
      <c r="M997">
        <v>1.9</v>
      </c>
      <c r="N997">
        <v>0.32</v>
      </c>
      <c r="O997">
        <v>0.88</v>
      </c>
      <c r="P997">
        <v>45</v>
      </c>
      <c r="Q997">
        <v>1300</v>
      </c>
      <c r="R997">
        <v>330</v>
      </c>
      <c r="S997">
        <v>4700</v>
      </c>
      <c r="V997">
        <f>River_data[[#This Row],[Dissolved Oxygen Min]]*River_data[[#This Row],[Dissolved Oxygen Max]]/2</f>
        <v>28.799999999999997</v>
      </c>
      <c r="W997">
        <f>River_data[[#This Row],[BOD Min]]*River_data[[#This Row],[BOD Max]]/2</f>
        <v>1.0449999999999999</v>
      </c>
      <c r="X997">
        <f>AVERAGE(River_data[[#This Row],[pH Max]]-River_data[[#This Row],[pH Min]])</f>
        <v>1.5</v>
      </c>
    </row>
    <row r="998" spans="1:24" x14ac:dyDescent="0.3">
      <c r="A998">
        <v>3168</v>
      </c>
      <c r="B998" s="1" t="s">
        <v>1019</v>
      </c>
      <c r="C998" s="1" t="s">
        <v>964</v>
      </c>
      <c r="D998">
        <v>24.7</v>
      </c>
      <c r="E998">
        <v>26.3</v>
      </c>
      <c r="F998">
        <v>7</v>
      </c>
      <c r="G998">
        <v>8</v>
      </c>
      <c r="H998">
        <v>7.2</v>
      </c>
      <c r="I998">
        <v>7.7</v>
      </c>
      <c r="J998">
        <v>158</v>
      </c>
      <c r="K998">
        <v>1722</v>
      </c>
      <c r="L998">
        <v>1</v>
      </c>
      <c r="M998">
        <v>2.4</v>
      </c>
      <c r="N998">
        <v>0.69</v>
      </c>
      <c r="O998">
        <v>1.1599999999999999</v>
      </c>
      <c r="P998">
        <v>14</v>
      </c>
      <c r="Q998">
        <v>40</v>
      </c>
      <c r="R998">
        <v>49</v>
      </c>
      <c r="S998">
        <v>170</v>
      </c>
      <c r="V998">
        <f>River_data[[#This Row],[Dissolved Oxygen Min]]*River_data[[#This Row],[Dissolved Oxygen Max]]/2</f>
        <v>28</v>
      </c>
      <c r="W998">
        <f>River_data[[#This Row],[BOD Min]]*River_data[[#This Row],[BOD Max]]/2</f>
        <v>1.2</v>
      </c>
      <c r="X998">
        <f>AVERAGE(River_data[[#This Row],[pH Max]]-River_data[[#This Row],[pH Min]])</f>
        <v>0.5</v>
      </c>
    </row>
    <row r="999" spans="1:24" x14ac:dyDescent="0.3">
      <c r="A999">
        <v>3889</v>
      </c>
      <c r="B999" s="1" t="s">
        <v>1020</v>
      </c>
      <c r="C999" s="1" t="s">
        <v>959</v>
      </c>
      <c r="D999">
        <v>24</v>
      </c>
      <c r="E999">
        <v>30</v>
      </c>
      <c r="F999">
        <v>5.6</v>
      </c>
      <c r="G999">
        <v>10.1</v>
      </c>
      <c r="H999">
        <v>7.8</v>
      </c>
      <c r="I999">
        <v>8.5</v>
      </c>
      <c r="J999">
        <v>190</v>
      </c>
      <c r="K999">
        <v>340</v>
      </c>
      <c r="L999">
        <v>1.1000000000000001</v>
      </c>
      <c r="M999">
        <v>1.6</v>
      </c>
      <c r="N999">
        <v>0.32</v>
      </c>
      <c r="O999">
        <v>0.81</v>
      </c>
      <c r="P999">
        <v>33</v>
      </c>
      <c r="Q999">
        <v>790</v>
      </c>
      <c r="R999">
        <v>94</v>
      </c>
      <c r="S999">
        <v>2400</v>
      </c>
      <c r="V999">
        <f>River_data[[#This Row],[Dissolved Oxygen Min]]*River_data[[#This Row],[Dissolved Oxygen Max]]/2</f>
        <v>28.279999999999998</v>
      </c>
      <c r="W999">
        <f>River_data[[#This Row],[BOD Min]]*River_data[[#This Row],[BOD Max]]/2</f>
        <v>0.88000000000000012</v>
      </c>
      <c r="X999">
        <f>AVERAGE(River_data[[#This Row],[pH Max]]-River_data[[#This Row],[pH Min]])</f>
        <v>0.70000000000000018</v>
      </c>
    </row>
    <row r="1000" spans="1:24" x14ac:dyDescent="0.3">
      <c r="A1000">
        <v>5532</v>
      </c>
      <c r="B1000" s="1" t="s">
        <v>1021</v>
      </c>
      <c r="C1000" s="1" t="s">
        <v>959</v>
      </c>
      <c r="D1000">
        <v>25</v>
      </c>
      <c r="E1000">
        <v>32.5</v>
      </c>
      <c r="F1000">
        <v>4.0999999999999996</v>
      </c>
      <c r="G1000">
        <v>7.6</v>
      </c>
      <c r="H1000">
        <v>7.1</v>
      </c>
      <c r="I1000">
        <v>7.8</v>
      </c>
      <c r="J1000">
        <v>300</v>
      </c>
      <c r="K1000">
        <v>42600</v>
      </c>
      <c r="L1000">
        <v>1.2</v>
      </c>
      <c r="M1000">
        <v>1.4</v>
      </c>
      <c r="N1000">
        <v>0.32</v>
      </c>
      <c r="O1000">
        <v>1.27</v>
      </c>
      <c r="P1000">
        <v>78</v>
      </c>
      <c r="Q1000">
        <v>2300</v>
      </c>
      <c r="R1000">
        <v>330</v>
      </c>
      <c r="S1000">
        <v>4900</v>
      </c>
      <c r="V1000">
        <f>River_data[[#This Row],[Dissolved Oxygen Min]]*River_data[[#This Row],[Dissolved Oxygen Max]]/2</f>
        <v>15.579999999999998</v>
      </c>
      <c r="W1000">
        <f>River_data[[#This Row],[BOD Min]]*River_data[[#This Row],[BOD Max]]/2</f>
        <v>0.84</v>
      </c>
      <c r="X1000">
        <f>AVERAGE(River_data[[#This Row],[pH Max]]-River_data[[#This Row],[pH Min]])</f>
        <v>0.70000000000000018</v>
      </c>
    </row>
    <row r="1001" spans="1:24" x14ac:dyDescent="0.3">
      <c r="A1001">
        <v>5533</v>
      </c>
      <c r="B1001" s="1" t="s">
        <v>1022</v>
      </c>
      <c r="C1001" s="1" t="s">
        <v>959</v>
      </c>
      <c r="D1001">
        <v>25.2</v>
      </c>
      <c r="E1001">
        <v>32.200000000000003</v>
      </c>
      <c r="F1001">
        <v>5.0999999999999996</v>
      </c>
      <c r="G1001">
        <v>7.7</v>
      </c>
      <c r="H1001">
        <v>7.3</v>
      </c>
      <c r="I1001">
        <v>8.4</v>
      </c>
      <c r="J1001">
        <v>176</v>
      </c>
      <c r="K1001">
        <v>40570</v>
      </c>
      <c r="L1001">
        <v>1.2</v>
      </c>
      <c r="M1001">
        <v>1.4</v>
      </c>
      <c r="N1001">
        <v>0.32</v>
      </c>
      <c r="O1001">
        <v>1.72</v>
      </c>
      <c r="P1001">
        <v>45</v>
      </c>
      <c r="Q1001">
        <v>1300</v>
      </c>
      <c r="R1001">
        <v>330</v>
      </c>
      <c r="S1001">
        <v>3500</v>
      </c>
      <c r="V1001">
        <f>River_data[[#This Row],[Dissolved Oxygen Min]]*River_data[[#This Row],[Dissolved Oxygen Max]]/2</f>
        <v>19.634999999999998</v>
      </c>
      <c r="W1001">
        <f>River_data[[#This Row],[BOD Min]]*River_data[[#This Row],[BOD Max]]/2</f>
        <v>0.84</v>
      </c>
      <c r="X1001">
        <f>AVERAGE(River_data[[#This Row],[pH Max]]-River_data[[#This Row],[pH Min]])</f>
        <v>1.1000000000000005</v>
      </c>
    </row>
    <row r="1002" spans="1:24" x14ac:dyDescent="0.3">
      <c r="A1002">
        <v>5534</v>
      </c>
      <c r="B1002" s="1" t="s">
        <v>1023</v>
      </c>
      <c r="C1002" s="1" t="s">
        <v>959</v>
      </c>
      <c r="D1002">
        <v>25</v>
      </c>
      <c r="E1002">
        <v>33.4</v>
      </c>
      <c r="F1002">
        <v>4.9000000000000004</v>
      </c>
      <c r="G1002">
        <v>7.1</v>
      </c>
      <c r="H1002">
        <v>6.8</v>
      </c>
      <c r="I1002">
        <v>7.9</v>
      </c>
      <c r="J1002">
        <v>295</v>
      </c>
      <c r="K1002">
        <v>42210</v>
      </c>
      <c r="L1002">
        <v>1.2</v>
      </c>
      <c r="M1002">
        <v>2.2000000000000002</v>
      </c>
      <c r="N1002">
        <v>0.32</v>
      </c>
      <c r="O1002">
        <v>2.9</v>
      </c>
      <c r="P1002">
        <v>45</v>
      </c>
      <c r="Q1002">
        <v>1300</v>
      </c>
      <c r="R1002">
        <v>330</v>
      </c>
      <c r="S1002">
        <v>3500</v>
      </c>
      <c r="V1002">
        <f>River_data[[#This Row],[Dissolved Oxygen Min]]*River_data[[#This Row],[Dissolved Oxygen Max]]/2</f>
        <v>17.395</v>
      </c>
      <c r="W1002">
        <f>River_data[[#This Row],[BOD Min]]*River_data[[#This Row],[BOD Max]]/2</f>
        <v>1.32</v>
      </c>
      <c r="X1002">
        <f>AVERAGE(River_data[[#This Row],[pH Max]]-River_data[[#This Row],[pH Min]])</f>
        <v>1.1000000000000005</v>
      </c>
    </row>
    <row r="1003" spans="1:24" x14ac:dyDescent="0.3">
      <c r="A1003">
        <v>5535</v>
      </c>
      <c r="B1003" s="1" t="s">
        <v>1024</v>
      </c>
      <c r="C1003" s="1" t="s">
        <v>959</v>
      </c>
      <c r="D1003">
        <v>25.2</v>
      </c>
      <c r="E1003">
        <v>32</v>
      </c>
      <c r="F1003">
        <v>4.5</v>
      </c>
      <c r="G1003">
        <v>7.6</v>
      </c>
      <c r="H1003">
        <v>7.1</v>
      </c>
      <c r="I1003">
        <v>8</v>
      </c>
      <c r="J1003">
        <v>1384</v>
      </c>
      <c r="K1003">
        <v>41900</v>
      </c>
      <c r="L1003">
        <v>1.2</v>
      </c>
      <c r="M1003">
        <v>1.9</v>
      </c>
      <c r="N1003">
        <v>0.32</v>
      </c>
      <c r="O1003">
        <v>1.51</v>
      </c>
      <c r="P1003">
        <v>20</v>
      </c>
      <c r="Q1003">
        <v>1300</v>
      </c>
      <c r="R1003">
        <v>130</v>
      </c>
      <c r="S1003">
        <v>3500</v>
      </c>
      <c r="V1003">
        <f>River_data[[#This Row],[Dissolved Oxygen Min]]*River_data[[#This Row],[Dissolved Oxygen Max]]/2</f>
        <v>17.099999999999998</v>
      </c>
      <c r="W1003">
        <f>River_data[[#This Row],[BOD Min]]*River_data[[#This Row],[BOD Max]]/2</f>
        <v>1.1399999999999999</v>
      </c>
      <c r="X1003">
        <f>AVERAGE(River_data[[#This Row],[pH Max]]-River_data[[#This Row],[pH Min]])</f>
        <v>0.90000000000000036</v>
      </c>
    </row>
    <row r="1004" spans="1:24" x14ac:dyDescent="0.3">
      <c r="A1004">
        <v>5536</v>
      </c>
      <c r="B1004" s="1" t="s">
        <v>1025</v>
      </c>
      <c r="C1004" s="1" t="s">
        <v>959</v>
      </c>
      <c r="D1004">
        <v>25</v>
      </c>
      <c r="E1004">
        <v>33.1</v>
      </c>
      <c r="F1004">
        <v>4.8</v>
      </c>
      <c r="G1004">
        <v>6.2</v>
      </c>
      <c r="H1004">
        <v>6.9</v>
      </c>
      <c r="I1004">
        <v>8.1</v>
      </c>
      <c r="J1004">
        <v>365</v>
      </c>
      <c r="K1004">
        <v>36540</v>
      </c>
      <c r="L1004">
        <v>1.1000000000000001</v>
      </c>
      <c r="M1004">
        <v>2.5</v>
      </c>
      <c r="N1004">
        <v>0.32</v>
      </c>
      <c r="O1004">
        <v>31.02</v>
      </c>
      <c r="P1004">
        <v>130</v>
      </c>
      <c r="Q1004">
        <v>3300</v>
      </c>
      <c r="R1004">
        <v>330</v>
      </c>
      <c r="S1004">
        <v>7900</v>
      </c>
      <c r="V1004">
        <f>River_data[[#This Row],[Dissolved Oxygen Min]]*River_data[[#This Row],[Dissolved Oxygen Max]]/2</f>
        <v>14.879999999999999</v>
      </c>
      <c r="W1004">
        <f>River_data[[#This Row],[BOD Min]]*River_data[[#This Row],[BOD Max]]/2</f>
        <v>1.375</v>
      </c>
      <c r="X1004">
        <f>AVERAGE(River_data[[#This Row],[pH Max]]-River_data[[#This Row],[pH Min]])</f>
        <v>1.1999999999999993</v>
      </c>
    </row>
    <row r="1005" spans="1:24" x14ac:dyDescent="0.3">
      <c r="A1005">
        <v>1081</v>
      </c>
      <c r="B1005" s="1" t="s">
        <v>1026</v>
      </c>
      <c r="C1005" s="1" t="s">
        <v>959</v>
      </c>
      <c r="D1005">
        <v>19</v>
      </c>
      <c r="E1005">
        <v>31</v>
      </c>
      <c r="F1005">
        <v>6.2</v>
      </c>
      <c r="G1005">
        <v>7.5</v>
      </c>
      <c r="H1005">
        <v>6.8</v>
      </c>
      <c r="I1005">
        <v>8</v>
      </c>
      <c r="J1005">
        <v>80</v>
      </c>
      <c r="K1005">
        <v>164</v>
      </c>
      <c r="L1005">
        <v>1.1000000000000001</v>
      </c>
      <c r="M1005">
        <v>1.8</v>
      </c>
      <c r="N1005">
        <v>0.32</v>
      </c>
      <c r="O1005">
        <v>1.58</v>
      </c>
      <c r="P1005">
        <v>110</v>
      </c>
      <c r="Q1005">
        <v>1300</v>
      </c>
      <c r="R1005">
        <v>490</v>
      </c>
      <c r="S1005">
        <v>4000</v>
      </c>
      <c r="V1005">
        <f>River_data[[#This Row],[Dissolved Oxygen Min]]*River_data[[#This Row],[Dissolved Oxygen Max]]/2</f>
        <v>23.25</v>
      </c>
      <c r="W1005">
        <f>River_data[[#This Row],[BOD Min]]*River_data[[#This Row],[BOD Max]]/2</f>
        <v>0.9900000000000001</v>
      </c>
      <c r="X1005">
        <f>AVERAGE(River_data[[#This Row],[pH Max]]-River_data[[#This Row],[pH Min]])</f>
        <v>1.2000000000000002</v>
      </c>
    </row>
    <row r="1006" spans="1:24" x14ac:dyDescent="0.3">
      <c r="A1006">
        <v>1082</v>
      </c>
      <c r="B1006" s="1" t="s">
        <v>1027</v>
      </c>
      <c r="C1006" s="1" t="s">
        <v>959</v>
      </c>
      <c r="D1006">
        <v>21</v>
      </c>
      <c r="E1006">
        <v>29</v>
      </c>
      <c r="F1006">
        <v>6.2</v>
      </c>
      <c r="G1006">
        <v>9.6</v>
      </c>
      <c r="H1006">
        <v>6.8</v>
      </c>
      <c r="I1006">
        <v>8</v>
      </c>
      <c r="J1006">
        <v>103</v>
      </c>
      <c r="K1006">
        <v>178</v>
      </c>
      <c r="L1006">
        <v>1.1000000000000001</v>
      </c>
      <c r="M1006">
        <v>1.9</v>
      </c>
      <c r="N1006">
        <v>0.32</v>
      </c>
      <c r="O1006">
        <v>0.65</v>
      </c>
      <c r="P1006">
        <v>130</v>
      </c>
      <c r="Q1006">
        <v>790</v>
      </c>
      <c r="R1006">
        <v>490</v>
      </c>
      <c r="S1006">
        <v>2400</v>
      </c>
      <c r="V1006">
        <f>River_data[[#This Row],[Dissolved Oxygen Min]]*River_data[[#This Row],[Dissolved Oxygen Max]]/2</f>
        <v>29.759999999999998</v>
      </c>
      <c r="W1006">
        <f>River_data[[#This Row],[BOD Min]]*River_data[[#This Row],[BOD Max]]/2</f>
        <v>1.0449999999999999</v>
      </c>
      <c r="X1006">
        <f>AVERAGE(River_data[[#This Row],[pH Max]]-River_data[[#This Row],[pH Min]])</f>
        <v>1.2000000000000002</v>
      </c>
    </row>
    <row r="1007" spans="1:24" x14ac:dyDescent="0.3">
      <c r="A1007">
        <v>1083</v>
      </c>
      <c r="B1007" s="1" t="s">
        <v>1028</v>
      </c>
      <c r="C1007" s="1" t="s">
        <v>959</v>
      </c>
      <c r="D1007">
        <v>21</v>
      </c>
      <c r="E1007">
        <v>23</v>
      </c>
      <c r="F1007">
        <v>6.2</v>
      </c>
      <c r="G1007">
        <v>8.5</v>
      </c>
      <c r="H1007">
        <v>7.1</v>
      </c>
      <c r="I1007">
        <v>8.1999999999999993</v>
      </c>
      <c r="J1007">
        <v>110</v>
      </c>
      <c r="K1007">
        <v>328</v>
      </c>
      <c r="L1007">
        <v>1.1000000000000001</v>
      </c>
      <c r="M1007">
        <v>2.6</v>
      </c>
      <c r="N1007">
        <v>0.32</v>
      </c>
      <c r="O1007">
        <v>3.35</v>
      </c>
      <c r="P1007">
        <v>130</v>
      </c>
      <c r="Q1007">
        <v>4900</v>
      </c>
      <c r="R1007">
        <v>330</v>
      </c>
      <c r="S1007">
        <v>24000</v>
      </c>
      <c r="V1007">
        <f>River_data[[#This Row],[Dissolved Oxygen Min]]*River_data[[#This Row],[Dissolved Oxygen Max]]/2</f>
        <v>26.35</v>
      </c>
      <c r="W1007">
        <f>River_data[[#This Row],[BOD Min]]*River_data[[#This Row],[BOD Max]]/2</f>
        <v>1.4300000000000002</v>
      </c>
      <c r="X1007">
        <f>AVERAGE(River_data[[#This Row],[pH Max]]-River_data[[#This Row],[pH Min]])</f>
        <v>1.0999999999999996</v>
      </c>
    </row>
    <row r="1008" spans="1:24" x14ac:dyDescent="0.3">
      <c r="A1008">
        <v>3935</v>
      </c>
      <c r="B1008" s="1" t="s">
        <v>1029</v>
      </c>
      <c r="C1008" s="1" t="s">
        <v>959</v>
      </c>
      <c r="D1008">
        <v>19</v>
      </c>
      <c r="E1008">
        <v>29</v>
      </c>
      <c r="F1008">
        <v>6</v>
      </c>
      <c r="G1008">
        <v>7.3</v>
      </c>
      <c r="H1008">
        <v>6.8</v>
      </c>
      <c r="I1008">
        <v>8.1</v>
      </c>
      <c r="J1008">
        <v>73</v>
      </c>
      <c r="K1008">
        <v>153</v>
      </c>
      <c r="L1008">
        <v>1.1000000000000001</v>
      </c>
      <c r="M1008">
        <v>1.5</v>
      </c>
      <c r="N1008">
        <v>0.32</v>
      </c>
      <c r="O1008">
        <v>1.08</v>
      </c>
      <c r="P1008">
        <v>45</v>
      </c>
      <c r="Q1008">
        <v>700</v>
      </c>
      <c r="R1008">
        <v>330</v>
      </c>
      <c r="S1008">
        <v>2200</v>
      </c>
      <c r="V1008">
        <f>River_data[[#This Row],[Dissolved Oxygen Min]]*River_data[[#This Row],[Dissolved Oxygen Max]]/2</f>
        <v>21.9</v>
      </c>
      <c r="W1008">
        <f>River_data[[#This Row],[BOD Min]]*River_data[[#This Row],[BOD Max]]/2</f>
        <v>0.82500000000000007</v>
      </c>
      <c r="X1008">
        <f>AVERAGE(River_data[[#This Row],[pH Max]]-River_data[[#This Row],[pH Min]])</f>
        <v>1.2999999999999998</v>
      </c>
    </row>
    <row r="1009" spans="1:24" x14ac:dyDescent="0.3">
      <c r="A1009">
        <v>3936</v>
      </c>
      <c r="B1009" s="1" t="s">
        <v>1030</v>
      </c>
      <c r="C1009" s="1" t="s">
        <v>959</v>
      </c>
      <c r="D1009">
        <v>19</v>
      </c>
      <c r="E1009">
        <v>30</v>
      </c>
      <c r="F1009">
        <v>6.4</v>
      </c>
      <c r="G1009">
        <v>7.4</v>
      </c>
      <c r="H1009">
        <v>6.7</v>
      </c>
      <c r="I1009">
        <v>8.1</v>
      </c>
      <c r="J1009">
        <v>70</v>
      </c>
      <c r="K1009">
        <v>151</v>
      </c>
      <c r="L1009">
        <v>1.1000000000000001</v>
      </c>
      <c r="M1009">
        <v>1.4</v>
      </c>
      <c r="N1009">
        <v>0.32</v>
      </c>
      <c r="O1009">
        <v>1.42</v>
      </c>
      <c r="P1009">
        <v>110</v>
      </c>
      <c r="Q1009">
        <v>790</v>
      </c>
      <c r="R1009">
        <v>330</v>
      </c>
      <c r="S1009">
        <v>2200</v>
      </c>
      <c r="V1009">
        <f>River_data[[#This Row],[Dissolved Oxygen Min]]*River_data[[#This Row],[Dissolved Oxygen Max]]/2</f>
        <v>23.680000000000003</v>
      </c>
      <c r="W1009">
        <f>River_data[[#This Row],[BOD Min]]*River_data[[#This Row],[BOD Max]]/2</f>
        <v>0.77</v>
      </c>
      <c r="X1009">
        <f>AVERAGE(River_data[[#This Row],[pH Max]]-River_data[[#This Row],[pH Min]])</f>
        <v>1.3999999999999995</v>
      </c>
    </row>
    <row r="1010" spans="1:24" x14ac:dyDescent="0.3">
      <c r="A1010">
        <v>3938</v>
      </c>
      <c r="B1010" s="1" t="s">
        <v>1031</v>
      </c>
      <c r="C1010" s="1" t="s">
        <v>959</v>
      </c>
      <c r="D1010">
        <v>20</v>
      </c>
      <c r="E1010">
        <v>32</v>
      </c>
      <c r="F1010">
        <v>6.2</v>
      </c>
      <c r="G1010">
        <v>7.3</v>
      </c>
      <c r="H1010">
        <v>6.8</v>
      </c>
      <c r="I1010">
        <v>8</v>
      </c>
      <c r="J1010">
        <v>112</v>
      </c>
      <c r="K1010">
        <v>168</v>
      </c>
      <c r="L1010">
        <v>1.1000000000000001</v>
      </c>
      <c r="M1010">
        <v>1.8</v>
      </c>
      <c r="N1010">
        <v>0.32</v>
      </c>
      <c r="O1010">
        <v>1.49</v>
      </c>
      <c r="P1010">
        <v>78</v>
      </c>
      <c r="Q1010">
        <v>1300</v>
      </c>
      <c r="R1010">
        <v>330</v>
      </c>
      <c r="S1010">
        <v>4900</v>
      </c>
      <c r="V1010">
        <f>River_data[[#This Row],[Dissolved Oxygen Min]]*River_data[[#This Row],[Dissolved Oxygen Max]]/2</f>
        <v>22.63</v>
      </c>
      <c r="W1010">
        <f>River_data[[#This Row],[BOD Min]]*River_data[[#This Row],[BOD Max]]/2</f>
        <v>0.9900000000000001</v>
      </c>
      <c r="X1010">
        <f>AVERAGE(River_data[[#This Row],[pH Max]]-River_data[[#This Row],[pH Min]])</f>
        <v>1.2000000000000002</v>
      </c>
    </row>
    <row r="1011" spans="1:24" x14ac:dyDescent="0.3">
      <c r="A1011">
        <v>3937</v>
      </c>
      <c r="B1011" s="1" t="s">
        <v>1032</v>
      </c>
      <c r="C1011" s="1" t="s">
        <v>959</v>
      </c>
      <c r="D1011">
        <v>20</v>
      </c>
      <c r="E1011">
        <v>29.3</v>
      </c>
      <c r="F1011">
        <v>6.3</v>
      </c>
      <c r="G1011">
        <v>7</v>
      </c>
      <c r="H1011">
        <v>6.7</v>
      </c>
      <c r="I1011">
        <v>8.1</v>
      </c>
      <c r="J1011">
        <v>93</v>
      </c>
      <c r="K1011">
        <v>140</v>
      </c>
      <c r="L1011">
        <v>1.1000000000000001</v>
      </c>
      <c r="M1011">
        <v>1.7</v>
      </c>
      <c r="N1011">
        <v>0.32</v>
      </c>
      <c r="O1011">
        <v>1.51</v>
      </c>
      <c r="P1011">
        <v>2</v>
      </c>
      <c r="Q1011">
        <v>1700</v>
      </c>
      <c r="R1011">
        <v>330</v>
      </c>
      <c r="S1011">
        <v>2400</v>
      </c>
      <c r="T1011">
        <v>1700</v>
      </c>
      <c r="U1011">
        <v>1700</v>
      </c>
      <c r="V1011">
        <f>River_data[[#This Row],[Dissolved Oxygen Min]]*River_data[[#This Row],[Dissolved Oxygen Max]]/2</f>
        <v>22.05</v>
      </c>
      <c r="W1011">
        <f>River_data[[#This Row],[BOD Min]]*River_data[[#This Row],[BOD Max]]/2</f>
        <v>0.93500000000000005</v>
      </c>
      <c r="X1011">
        <f>AVERAGE(River_data[[#This Row],[pH Max]]-River_data[[#This Row],[pH Min]])</f>
        <v>1.3999999999999995</v>
      </c>
    </row>
    <row r="1012" spans="1:24" x14ac:dyDescent="0.3">
      <c r="A1012">
        <v>1084</v>
      </c>
      <c r="B1012" s="1" t="s">
        <v>1033</v>
      </c>
      <c r="C1012" s="1" t="s">
        <v>959</v>
      </c>
      <c r="D1012">
        <v>20</v>
      </c>
      <c r="E1012">
        <v>32</v>
      </c>
      <c r="F1012">
        <v>4.8</v>
      </c>
      <c r="G1012">
        <v>9.1999999999999993</v>
      </c>
      <c r="H1012">
        <v>6.6</v>
      </c>
      <c r="I1012">
        <v>7.8</v>
      </c>
      <c r="J1012">
        <v>140</v>
      </c>
      <c r="K1012">
        <v>20550</v>
      </c>
      <c r="L1012">
        <v>1.1000000000000001</v>
      </c>
      <c r="M1012">
        <v>2</v>
      </c>
      <c r="N1012">
        <v>0.32</v>
      </c>
      <c r="O1012">
        <v>1.38</v>
      </c>
      <c r="P1012">
        <v>170</v>
      </c>
      <c r="Q1012">
        <v>2200</v>
      </c>
      <c r="R1012">
        <v>490</v>
      </c>
      <c r="S1012">
        <v>4900</v>
      </c>
      <c r="V1012">
        <f>River_data[[#This Row],[Dissolved Oxygen Min]]*River_data[[#This Row],[Dissolved Oxygen Max]]/2</f>
        <v>22.08</v>
      </c>
      <c r="W1012">
        <f>River_data[[#This Row],[BOD Min]]*River_data[[#This Row],[BOD Max]]/2</f>
        <v>1.1000000000000001</v>
      </c>
      <c r="X1012">
        <f>AVERAGE(River_data[[#This Row],[pH Max]]-River_data[[#This Row],[pH Min]])</f>
        <v>1.2000000000000002</v>
      </c>
    </row>
    <row r="1013" spans="1:24" x14ac:dyDescent="0.3">
      <c r="A1013">
        <v>10018</v>
      </c>
      <c r="B1013" s="1" t="s">
        <v>1034</v>
      </c>
      <c r="C1013" s="1" t="s">
        <v>959</v>
      </c>
      <c r="D1013">
        <v>20</v>
      </c>
      <c r="E1013">
        <v>32</v>
      </c>
      <c r="F1013">
        <v>4.4000000000000004</v>
      </c>
      <c r="G1013">
        <v>9.1999999999999993</v>
      </c>
      <c r="H1013">
        <v>6.5</v>
      </c>
      <c r="I1013">
        <v>8.3000000000000007</v>
      </c>
      <c r="J1013">
        <v>150</v>
      </c>
      <c r="K1013">
        <v>21870</v>
      </c>
      <c r="L1013">
        <v>1.3</v>
      </c>
      <c r="M1013">
        <v>2.1</v>
      </c>
      <c r="N1013">
        <v>0.32</v>
      </c>
      <c r="O1013">
        <v>1.9</v>
      </c>
      <c r="P1013">
        <v>170</v>
      </c>
      <c r="Q1013">
        <v>4900</v>
      </c>
      <c r="R1013">
        <v>490</v>
      </c>
      <c r="S1013">
        <v>17000</v>
      </c>
      <c r="V1013">
        <f>River_data[[#This Row],[Dissolved Oxygen Min]]*River_data[[#This Row],[Dissolved Oxygen Max]]/2</f>
        <v>20.239999999999998</v>
      </c>
      <c r="W1013">
        <f>River_data[[#This Row],[BOD Min]]*River_data[[#This Row],[BOD Max]]/2</f>
        <v>1.3650000000000002</v>
      </c>
      <c r="X1013">
        <f>AVERAGE(River_data[[#This Row],[pH Max]]-River_data[[#This Row],[pH Min]])</f>
        <v>1.8000000000000007</v>
      </c>
    </row>
    <row r="1014" spans="1:24" x14ac:dyDescent="0.3">
      <c r="A1014">
        <v>3940</v>
      </c>
      <c r="B1014" s="1" t="s">
        <v>1035</v>
      </c>
      <c r="C1014" s="1" t="s">
        <v>959</v>
      </c>
      <c r="D1014">
        <v>20</v>
      </c>
      <c r="E1014">
        <v>30</v>
      </c>
      <c r="F1014">
        <v>4.8</v>
      </c>
      <c r="G1014">
        <v>9.1999999999999993</v>
      </c>
      <c r="H1014">
        <v>6.7</v>
      </c>
      <c r="I1014">
        <v>8.4</v>
      </c>
      <c r="J1014">
        <v>105</v>
      </c>
      <c r="K1014">
        <v>322</v>
      </c>
      <c r="L1014">
        <v>1.1000000000000001</v>
      </c>
      <c r="M1014">
        <v>1.6</v>
      </c>
      <c r="N1014">
        <v>0.32</v>
      </c>
      <c r="O1014">
        <v>2.2400000000000002</v>
      </c>
      <c r="P1014">
        <v>130</v>
      </c>
      <c r="Q1014">
        <v>24000</v>
      </c>
      <c r="R1014">
        <v>790</v>
      </c>
      <c r="S1014">
        <v>54000</v>
      </c>
      <c r="V1014">
        <f>River_data[[#This Row],[Dissolved Oxygen Min]]*River_data[[#This Row],[Dissolved Oxygen Max]]/2</f>
        <v>22.08</v>
      </c>
      <c r="W1014">
        <f>River_data[[#This Row],[BOD Min]]*River_data[[#This Row],[BOD Max]]/2</f>
        <v>0.88000000000000012</v>
      </c>
      <c r="X1014">
        <f>AVERAGE(River_data[[#This Row],[pH Max]]-River_data[[#This Row],[pH Min]])</f>
        <v>1.7000000000000002</v>
      </c>
    </row>
    <row r="1015" spans="1:24" x14ac:dyDescent="0.3">
      <c r="A1015">
        <v>3941</v>
      </c>
      <c r="B1015" s="1" t="s">
        <v>1036</v>
      </c>
      <c r="C1015" s="1" t="s">
        <v>959</v>
      </c>
      <c r="D1015">
        <v>20</v>
      </c>
      <c r="E1015">
        <v>30</v>
      </c>
      <c r="F1015">
        <v>4.4000000000000004</v>
      </c>
      <c r="G1015">
        <v>9.6</v>
      </c>
      <c r="H1015">
        <v>6.6</v>
      </c>
      <c r="I1015">
        <v>8.1999999999999993</v>
      </c>
      <c r="J1015">
        <v>98</v>
      </c>
      <c r="K1015">
        <v>380</v>
      </c>
      <c r="L1015">
        <v>1.2</v>
      </c>
      <c r="M1015">
        <v>1.9</v>
      </c>
      <c r="N1015">
        <v>0.32</v>
      </c>
      <c r="O1015">
        <v>1.69</v>
      </c>
      <c r="P1015">
        <v>330</v>
      </c>
      <c r="Q1015">
        <v>7900</v>
      </c>
      <c r="R1015">
        <v>1700</v>
      </c>
      <c r="S1015">
        <v>22000</v>
      </c>
      <c r="V1015">
        <f>River_data[[#This Row],[Dissolved Oxygen Min]]*River_data[[#This Row],[Dissolved Oxygen Max]]/2</f>
        <v>21.12</v>
      </c>
      <c r="W1015">
        <f>River_data[[#This Row],[BOD Min]]*River_data[[#This Row],[BOD Max]]/2</f>
        <v>1.1399999999999999</v>
      </c>
      <c r="X1015">
        <f>AVERAGE(River_data[[#This Row],[pH Max]]-River_data[[#This Row],[pH Min]])</f>
        <v>1.5999999999999996</v>
      </c>
    </row>
    <row r="1016" spans="1:24" x14ac:dyDescent="0.3">
      <c r="A1016">
        <v>2421</v>
      </c>
      <c r="B1016" s="1" t="s">
        <v>1037</v>
      </c>
      <c r="C1016" s="1" t="s">
        <v>959</v>
      </c>
      <c r="D1016">
        <v>20</v>
      </c>
      <c r="E1016">
        <v>29</v>
      </c>
      <c r="F1016">
        <v>6.8</v>
      </c>
      <c r="G1016">
        <v>8.5</v>
      </c>
      <c r="H1016">
        <v>6.7</v>
      </c>
      <c r="I1016">
        <v>8.5</v>
      </c>
      <c r="J1016">
        <v>144</v>
      </c>
      <c r="K1016">
        <v>322</v>
      </c>
      <c r="L1016">
        <v>1.1000000000000001</v>
      </c>
      <c r="M1016">
        <v>2</v>
      </c>
      <c r="N1016">
        <v>0.32</v>
      </c>
      <c r="O1016">
        <v>1.42</v>
      </c>
      <c r="P1016">
        <v>130</v>
      </c>
      <c r="Q1016">
        <v>3300</v>
      </c>
      <c r="R1016">
        <v>330</v>
      </c>
      <c r="S1016">
        <v>11000</v>
      </c>
      <c r="V1016">
        <f>River_data[[#This Row],[Dissolved Oxygen Min]]*River_data[[#This Row],[Dissolved Oxygen Max]]/2</f>
        <v>28.9</v>
      </c>
      <c r="W1016">
        <f>River_data[[#This Row],[BOD Min]]*River_data[[#This Row],[BOD Max]]/2</f>
        <v>1.1000000000000001</v>
      </c>
      <c r="X1016">
        <f>AVERAGE(River_data[[#This Row],[pH Max]]-River_data[[#This Row],[pH Min]])</f>
        <v>1.7999999999999998</v>
      </c>
    </row>
    <row r="1017" spans="1:24" x14ac:dyDescent="0.3">
      <c r="A1017">
        <v>5535</v>
      </c>
      <c r="B1017" s="1" t="s">
        <v>1024</v>
      </c>
      <c r="C1017" s="1" t="s">
        <v>959</v>
      </c>
      <c r="D1017">
        <v>25.2</v>
      </c>
      <c r="E1017">
        <v>32</v>
      </c>
      <c r="F1017">
        <v>4.5</v>
      </c>
      <c r="G1017">
        <v>7.6</v>
      </c>
      <c r="H1017">
        <v>7.1</v>
      </c>
      <c r="I1017">
        <v>8</v>
      </c>
      <c r="J1017">
        <v>1384</v>
      </c>
      <c r="K1017">
        <v>41900</v>
      </c>
      <c r="L1017">
        <v>1.2</v>
      </c>
      <c r="M1017">
        <v>1.9</v>
      </c>
      <c r="N1017">
        <v>0.32</v>
      </c>
      <c r="O1017">
        <v>1.51</v>
      </c>
      <c r="P1017">
        <v>20</v>
      </c>
      <c r="Q1017">
        <v>1300</v>
      </c>
      <c r="R1017">
        <v>130</v>
      </c>
      <c r="S1017">
        <v>3500</v>
      </c>
      <c r="V1017">
        <f>River_data[[#This Row],[Dissolved Oxygen Min]]*River_data[[#This Row],[Dissolved Oxygen Max]]/2</f>
        <v>17.099999999999998</v>
      </c>
      <c r="W1017">
        <f>River_data[[#This Row],[BOD Min]]*River_data[[#This Row],[BOD Max]]/2</f>
        <v>1.1399999999999999</v>
      </c>
      <c r="X1017">
        <f>AVERAGE(River_data[[#This Row],[pH Max]]-River_data[[#This Row],[pH Min]])</f>
        <v>0.90000000000000036</v>
      </c>
    </row>
    <row r="1018" spans="1:24" x14ac:dyDescent="0.3">
      <c r="A1018">
        <v>1037</v>
      </c>
      <c r="B1018" s="1" t="s">
        <v>1038</v>
      </c>
      <c r="C1018" s="1" t="s">
        <v>959</v>
      </c>
      <c r="D1018">
        <v>22</v>
      </c>
      <c r="E1018">
        <v>31</v>
      </c>
      <c r="F1018">
        <v>5</v>
      </c>
      <c r="G1018">
        <v>8.8000000000000007</v>
      </c>
      <c r="H1018">
        <v>6.9</v>
      </c>
      <c r="I1018">
        <v>8.1999999999999993</v>
      </c>
      <c r="J1018">
        <v>114</v>
      </c>
      <c r="K1018">
        <v>218</v>
      </c>
      <c r="L1018">
        <v>1.1000000000000001</v>
      </c>
      <c r="M1018">
        <v>1.7</v>
      </c>
      <c r="N1018">
        <v>0.32</v>
      </c>
      <c r="O1018">
        <v>3.24</v>
      </c>
      <c r="P1018">
        <v>140</v>
      </c>
      <c r="Q1018">
        <v>2300</v>
      </c>
      <c r="R1018">
        <v>490</v>
      </c>
      <c r="S1018">
        <v>4900</v>
      </c>
      <c r="V1018">
        <f>River_data[[#This Row],[Dissolved Oxygen Min]]*River_data[[#This Row],[Dissolved Oxygen Max]]/2</f>
        <v>22</v>
      </c>
      <c r="W1018">
        <f>River_data[[#This Row],[BOD Min]]*River_data[[#This Row],[BOD Max]]/2</f>
        <v>0.93500000000000005</v>
      </c>
      <c r="X1018">
        <f>AVERAGE(River_data[[#This Row],[pH Max]]-River_data[[#This Row],[pH Min]])</f>
        <v>1.2999999999999989</v>
      </c>
    </row>
    <row r="1019" spans="1:24" x14ac:dyDescent="0.3">
      <c r="A1019">
        <v>1038</v>
      </c>
      <c r="B1019" s="1" t="s">
        <v>1039</v>
      </c>
      <c r="C1019" s="1" t="s">
        <v>959</v>
      </c>
      <c r="D1019">
        <v>21</v>
      </c>
      <c r="E1019">
        <v>31</v>
      </c>
      <c r="F1019">
        <v>2.4</v>
      </c>
      <c r="G1019">
        <v>7</v>
      </c>
      <c r="H1019">
        <v>6.6</v>
      </c>
      <c r="I1019">
        <v>7.8</v>
      </c>
      <c r="J1019">
        <v>188</v>
      </c>
      <c r="K1019">
        <v>625</v>
      </c>
      <c r="L1019">
        <v>3.2</v>
      </c>
      <c r="M1019">
        <v>5.7</v>
      </c>
      <c r="N1019">
        <v>0.72</v>
      </c>
      <c r="O1019">
        <v>18.78</v>
      </c>
      <c r="P1019">
        <v>4900</v>
      </c>
      <c r="Q1019">
        <v>54000</v>
      </c>
      <c r="R1019">
        <v>9400</v>
      </c>
      <c r="S1019">
        <v>92000</v>
      </c>
      <c r="T1019">
        <v>22</v>
      </c>
      <c r="U1019">
        <v>350</v>
      </c>
      <c r="V1019">
        <f>River_data[[#This Row],[Dissolved Oxygen Min]]*River_data[[#This Row],[Dissolved Oxygen Max]]/2</f>
        <v>8.4</v>
      </c>
      <c r="W1019">
        <f>River_data[[#This Row],[BOD Min]]*River_data[[#This Row],[BOD Max]]/2</f>
        <v>9.120000000000001</v>
      </c>
      <c r="X1019">
        <f>AVERAGE(River_data[[#This Row],[pH Max]]-River_data[[#This Row],[pH Min]])</f>
        <v>1.2000000000000002</v>
      </c>
    </row>
    <row r="1020" spans="1:24" x14ac:dyDescent="0.3">
      <c r="A1020">
        <v>1302</v>
      </c>
      <c r="B1020" s="1" t="s">
        <v>1040</v>
      </c>
      <c r="C1020" s="1" t="s">
        <v>959</v>
      </c>
      <c r="D1020">
        <v>23</v>
      </c>
      <c r="E1020">
        <v>32</v>
      </c>
      <c r="F1020">
        <v>2.8</v>
      </c>
      <c r="G1020">
        <v>7.8</v>
      </c>
      <c r="H1020">
        <v>6.7</v>
      </c>
      <c r="I1020">
        <v>7.8</v>
      </c>
      <c r="J1020">
        <v>141</v>
      </c>
      <c r="K1020">
        <v>368</v>
      </c>
      <c r="L1020">
        <v>3.4</v>
      </c>
      <c r="M1020">
        <v>5.3</v>
      </c>
      <c r="N1020">
        <v>0.75</v>
      </c>
      <c r="O1020">
        <v>11.44</v>
      </c>
      <c r="P1020">
        <v>33</v>
      </c>
      <c r="Q1020">
        <v>17000</v>
      </c>
      <c r="R1020">
        <v>7000</v>
      </c>
      <c r="S1020">
        <v>54000</v>
      </c>
      <c r="T1020">
        <v>17</v>
      </c>
      <c r="U1020">
        <v>130</v>
      </c>
      <c r="V1020">
        <f>River_data[[#This Row],[Dissolved Oxygen Min]]*River_data[[#This Row],[Dissolved Oxygen Max]]/2</f>
        <v>10.92</v>
      </c>
      <c r="W1020">
        <f>River_data[[#This Row],[BOD Min]]*River_data[[#This Row],[BOD Max]]/2</f>
        <v>9.01</v>
      </c>
      <c r="X1020">
        <f>AVERAGE(River_data[[#This Row],[pH Max]]-River_data[[#This Row],[pH Min]])</f>
        <v>1.0999999999999996</v>
      </c>
    </row>
    <row r="1021" spans="1:24" x14ac:dyDescent="0.3">
      <c r="A1021">
        <v>2414</v>
      </c>
      <c r="B1021" s="1" t="s">
        <v>1041</v>
      </c>
      <c r="C1021" s="1" t="s">
        <v>959</v>
      </c>
      <c r="D1021">
        <v>17</v>
      </c>
      <c r="E1021">
        <v>34</v>
      </c>
      <c r="F1021">
        <v>5.4</v>
      </c>
      <c r="G1021">
        <v>8.1</v>
      </c>
      <c r="H1021">
        <v>6.6</v>
      </c>
      <c r="I1021">
        <v>8.1</v>
      </c>
      <c r="J1021">
        <v>110</v>
      </c>
      <c r="K1021">
        <v>263</v>
      </c>
      <c r="L1021">
        <v>1.5</v>
      </c>
      <c r="M1021">
        <v>2.8</v>
      </c>
      <c r="N1021">
        <v>0.32</v>
      </c>
      <c r="O1021">
        <v>6.84</v>
      </c>
      <c r="P1021">
        <v>13</v>
      </c>
      <c r="Q1021">
        <v>2300</v>
      </c>
      <c r="R1021">
        <v>130</v>
      </c>
      <c r="S1021">
        <v>4900</v>
      </c>
      <c r="T1021">
        <v>2</v>
      </c>
      <c r="U1021">
        <v>14</v>
      </c>
      <c r="V1021">
        <f>River_data[[#This Row],[Dissolved Oxygen Min]]*River_data[[#This Row],[Dissolved Oxygen Max]]/2</f>
        <v>21.87</v>
      </c>
      <c r="W1021">
        <f>River_data[[#This Row],[BOD Min]]*River_data[[#This Row],[BOD Max]]/2</f>
        <v>2.0999999999999996</v>
      </c>
      <c r="X1021">
        <f>AVERAGE(River_data[[#This Row],[pH Max]]-River_data[[#This Row],[pH Min]])</f>
        <v>1.5</v>
      </c>
    </row>
    <row r="1022" spans="1:24" x14ac:dyDescent="0.3">
      <c r="A1022">
        <v>1039</v>
      </c>
      <c r="B1022" s="1" t="s">
        <v>1042</v>
      </c>
      <c r="C1022" s="1" t="s">
        <v>959</v>
      </c>
      <c r="D1022">
        <v>16</v>
      </c>
      <c r="E1022">
        <v>34</v>
      </c>
      <c r="F1022">
        <v>6.1</v>
      </c>
      <c r="G1022">
        <v>10.5</v>
      </c>
      <c r="H1022">
        <v>6.7</v>
      </c>
      <c r="I1022">
        <v>8.1</v>
      </c>
      <c r="J1022">
        <v>112</v>
      </c>
      <c r="K1022">
        <v>246</v>
      </c>
      <c r="L1022">
        <v>1.1000000000000001</v>
      </c>
      <c r="M1022">
        <v>2.1</v>
      </c>
      <c r="N1022">
        <v>0.34</v>
      </c>
      <c r="O1022">
        <v>6.28</v>
      </c>
      <c r="P1022">
        <v>13</v>
      </c>
      <c r="Q1022">
        <v>24000</v>
      </c>
      <c r="R1022">
        <v>130</v>
      </c>
      <c r="S1022">
        <v>54000</v>
      </c>
      <c r="V1022">
        <f>River_data[[#This Row],[Dissolved Oxygen Min]]*River_data[[#This Row],[Dissolved Oxygen Max]]/2</f>
        <v>32.024999999999999</v>
      </c>
      <c r="W1022">
        <f>River_data[[#This Row],[BOD Min]]*River_data[[#This Row],[BOD Max]]/2</f>
        <v>1.1550000000000002</v>
      </c>
      <c r="X1022">
        <f>AVERAGE(River_data[[#This Row],[pH Max]]-River_data[[#This Row],[pH Min]])</f>
        <v>1.3999999999999995</v>
      </c>
    </row>
    <row r="1023" spans="1:24" x14ac:dyDescent="0.3">
      <c r="A1023">
        <v>1040</v>
      </c>
      <c r="B1023" s="1" t="s">
        <v>1043</v>
      </c>
      <c r="C1023" s="1" t="s">
        <v>959</v>
      </c>
      <c r="D1023">
        <v>22</v>
      </c>
      <c r="E1023">
        <v>29</v>
      </c>
      <c r="F1023">
        <v>6</v>
      </c>
      <c r="G1023">
        <v>9.8000000000000007</v>
      </c>
      <c r="H1023">
        <v>7.1</v>
      </c>
      <c r="I1023">
        <v>8.5</v>
      </c>
      <c r="J1023">
        <v>114</v>
      </c>
      <c r="K1023">
        <v>185</v>
      </c>
      <c r="L1023">
        <v>1.1000000000000001</v>
      </c>
      <c r="M1023">
        <v>2</v>
      </c>
      <c r="N1023">
        <v>0.32</v>
      </c>
      <c r="O1023">
        <v>0.7</v>
      </c>
      <c r="P1023">
        <v>17</v>
      </c>
      <c r="Q1023">
        <v>490</v>
      </c>
      <c r="R1023">
        <v>45</v>
      </c>
      <c r="S1023">
        <v>2400</v>
      </c>
      <c r="V1023">
        <f>River_data[[#This Row],[Dissolved Oxygen Min]]*River_data[[#This Row],[Dissolved Oxygen Max]]/2</f>
        <v>29.400000000000002</v>
      </c>
      <c r="W1023">
        <f>River_data[[#This Row],[BOD Min]]*River_data[[#This Row],[BOD Max]]/2</f>
        <v>1.1000000000000001</v>
      </c>
      <c r="X1023">
        <f>AVERAGE(River_data[[#This Row],[pH Max]]-River_data[[#This Row],[pH Min]])</f>
        <v>1.4000000000000004</v>
      </c>
    </row>
    <row r="1024" spans="1:24" x14ac:dyDescent="0.3">
      <c r="A1024">
        <v>1041</v>
      </c>
      <c r="B1024" s="1" t="s">
        <v>1044</v>
      </c>
      <c r="C1024" s="1" t="s">
        <v>959</v>
      </c>
      <c r="D1024">
        <v>23</v>
      </c>
      <c r="E1024">
        <v>30</v>
      </c>
      <c r="F1024">
        <v>6.2</v>
      </c>
      <c r="G1024">
        <v>10.199999999999999</v>
      </c>
      <c r="H1024">
        <v>7.1</v>
      </c>
      <c r="I1024">
        <v>8.4</v>
      </c>
      <c r="J1024">
        <v>116</v>
      </c>
      <c r="K1024">
        <v>158</v>
      </c>
      <c r="L1024">
        <v>1.1000000000000001</v>
      </c>
      <c r="M1024">
        <v>1.9</v>
      </c>
      <c r="N1024">
        <v>0.32</v>
      </c>
      <c r="O1024">
        <v>0.75</v>
      </c>
      <c r="P1024">
        <v>130</v>
      </c>
      <c r="Q1024">
        <v>1700</v>
      </c>
      <c r="R1024">
        <v>490</v>
      </c>
      <c r="S1024">
        <v>4900</v>
      </c>
      <c r="V1024">
        <f>River_data[[#This Row],[Dissolved Oxygen Min]]*River_data[[#This Row],[Dissolved Oxygen Max]]/2</f>
        <v>31.619999999999997</v>
      </c>
      <c r="W1024">
        <f>River_data[[#This Row],[BOD Min]]*River_data[[#This Row],[BOD Max]]/2</f>
        <v>1.0449999999999999</v>
      </c>
      <c r="X1024">
        <f>AVERAGE(River_data[[#This Row],[pH Max]]-River_data[[#This Row],[pH Min]])</f>
        <v>1.3000000000000007</v>
      </c>
    </row>
    <row r="1025" spans="1:24" x14ac:dyDescent="0.3">
      <c r="A1025">
        <v>2415</v>
      </c>
      <c r="B1025" s="1" t="s">
        <v>1045</v>
      </c>
      <c r="C1025" s="1" t="s">
        <v>959</v>
      </c>
      <c r="D1025">
        <v>23</v>
      </c>
      <c r="E1025">
        <v>30</v>
      </c>
      <c r="F1025">
        <v>6.4</v>
      </c>
      <c r="G1025">
        <v>9.8000000000000007</v>
      </c>
      <c r="H1025">
        <v>7.1</v>
      </c>
      <c r="I1025">
        <v>8.3000000000000007</v>
      </c>
      <c r="J1025">
        <v>113</v>
      </c>
      <c r="K1025">
        <v>176</v>
      </c>
      <c r="L1025">
        <v>1.2</v>
      </c>
      <c r="M1025">
        <v>1.5</v>
      </c>
      <c r="N1025">
        <v>0.32</v>
      </c>
      <c r="O1025">
        <v>0.57999999999999996</v>
      </c>
      <c r="P1025">
        <v>45</v>
      </c>
      <c r="Q1025">
        <v>790</v>
      </c>
      <c r="R1025">
        <v>330</v>
      </c>
      <c r="S1025">
        <v>2400</v>
      </c>
      <c r="V1025">
        <f>River_data[[#This Row],[Dissolved Oxygen Min]]*River_data[[#This Row],[Dissolved Oxygen Max]]/2</f>
        <v>31.360000000000003</v>
      </c>
      <c r="W1025">
        <f>River_data[[#This Row],[BOD Min]]*River_data[[#This Row],[BOD Max]]/2</f>
        <v>0.89999999999999991</v>
      </c>
      <c r="X1025">
        <f>AVERAGE(River_data[[#This Row],[pH Max]]-River_data[[#This Row],[pH Min]])</f>
        <v>1.2000000000000011</v>
      </c>
    </row>
    <row r="1026" spans="1:24" x14ac:dyDescent="0.3">
      <c r="A1026">
        <v>2416</v>
      </c>
      <c r="B1026" s="1" t="s">
        <v>1046</v>
      </c>
      <c r="C1026" s="1" t="s">
        <v>959</v>
      </c>
      <c r="D1026">
        <v>23</v>
      </c>
      <c r="E1026">
        <v>28</v>
      </c>
      <c r="F1026">
        <v>5.6</v>
      </c>
      <c r="G1026">
        <v>9.1999999999999993</v>
      </c>
      <c r="H1026">
        <v>6.9</v>
      </c>
      <c r="I1026">
        <v>8.1</v>
      </c>
      <c r="J1026">
        <v>126</v>
      </c>
      <c r="K1026">
        <v>233</v>
      </c>
      <c r="L1026">
        <v>1.3</v>
      </c>
      <c r="M1026">
        <v>1.7</v>
      </c>
      <c r="N1026">
        <v>0.32</v>
      </c>
      <c r="O1026">
        <v>0.59</v>
      </c>
      <c r="P1026">
        <v>78</v>
      </c>
      <c r="Q1026">
        <v>330</v>
      </c>
      <c r="R1026">
        <v>290</v>
      </c>
      <c r="S1026">
        <v>1300</v>
      </c>
      <c r="V1026">
        <f>River_data[[#This Row],[Dissolved Oxygen Min]]*River_data[[#This Row],[Dissolved Oxygen Max]]/2</f>
        <v>25.759999999999998</v>
      </c>
      <c r="W1026">
        <f>River_data[[#This Row],[BOD Min]]*River_data[[#This Row],[BOD Max]]/2</f>
        <v>1.105</v>
      </c>
      <c r="X1026">
        <f>AVERAGE(River_data[[#This Row],[pH Max]]-River_data[[#This Row],[pH Min]])</f>
        <v>1.1999999999999993</v>
      </c>
    </row>
    <row r="1027" spans="1:24" x14ac:dyDescent="0.3">
      <c r="A1027">
        <v>1042</v>
      </c>
      <c r="B1027" s="1" t="s">
        <v>1047</v>
      </c>
      <c r="C1027" s="1" t="s">
        <v>959</v>
      </c>
      <c r="D1027">
        <v>22</v>
      </c>
      <c r="E1027">
        <v>28</v>
      </c>
      <c r="F1027">
        <v>6.2</v>
      </c>
      <c r="G1027">
        <v>8.6</v>
      </c>
      <c r="H1027">
        <v>7.1</v>
      </c>
      <c r="I1027">
        <v>8.1</v>
      </c>
      <c r="J1027">
        <v>143</v>
      </c>
      <c r="K1027">
        <v>224</v>
      </c>
      <c r="L1027">
        <v>1.2</v>
      </c>
      <c r="M1027">
        <v>2.1</v>
      </c>
      <c r="N1027">
        <v>0.32</v>
      </c>
      <c r="O1027">
        <v>1.28</v>
      </c>
      <c r="P1027">
        <v>330</v>
      </c>
      <c r="Q1027">
        <v>1700</v>
      </c>
      <c r="R1027">
        <v>940</v>
      </c>
      <c r="S1027">
        <v>3500</v>
      </c>
      <c r="V1027">
        <f>River_data[[#This Row],[Dissolved Oxygen Min]]*River_data[[#This Row],[Dissolved Oxygen Max]]/2</f>
        <v>26.66</v>
      </c>
      <c r="W1027">
        <f>River_data[[#This Row],[BOD Min]]*River_data[[#This Row],[BOD Max]]/2</f>
        <v>1.26</v>
      </c>
      <c r="X1027">
        <f>AVERAGE(River_data[[#This Row],[pH Max]]-River_data[[#This Row],[pH Min]])</f>
        <v>1</v>
      </c>
    </row>
    <row r="1028" spans="1:24" x14ac:dyDescent="0.3">
      <c r="A1028">
        <v>2417</v>
      </c>
      <c r="B1028" s="1" t="s">
        <v>1048</v>
      </c>
      <c r="C1028" s="1" t="s">
        <v>959</v>
      </c>
      <c r="D1028">
        <v>23</v>
      </c>
      <c r="E1028">
        <v>29</v>
      </c>
      <c r="F1028">
        <v>6.8</v>
      </c>
      <c r="G1028">
        <v>9</v>
      </c>
      <c r="H1028">
        <v>6.9</v>
      </c>
      <c r="I1028">
        <v>7.5</v>
      </c>
      <c r="J1028">
        <v>134</v>
      </c>
      <c r="K1028">
        <v>227</v>
      </c>
      <c r="L1028">
        <v>1.4</v>
      </c>
      <c r="M1028">
        <v>1.8</v>
      </c>
      <c r="N1028">
        <v>0.32</v>
      </c>
      <c r="O1028">
        <v>1.62</v>
      </c>
      <c r="P1028">
        <v>330</v>
      </c>
      <c r="Q1028">
        <v>2400</v>
      </c>
      <c r="R1028">
        <v>1700</v>
      </c>
      <c r="S1028">
        <v>4900</v>
      </c>
      <c r="V1028">
        <f>River_data[[#This Row],[Dissolved Oxygen Min]]*River_data[[#This Row],[Dissolved Oxygen Max]]/2</f>
        <v>30.599999999999998</v>
      </c>
      <c r="W1028">
        <f>River_data[[#This Row],[BOD Min]]*River_data[[#This Row],[BOD Max]]/2</f>
        <v>1.26</v>
      </c>
      <c r="X1028">
        <f>AVERAGE(River_data[[#This Row],[pH Max]]-River_data[[#This Row],[pH Min]])</f>
        <v>0.59999999999999964</v>
      </c>
    </row>
    <row r="1029" spans="1:24" x14ac:dyDescent="0.3">
      <c r="A1029">
        <v>1303</v>
      </c>
      <c r="B1029" s="1" t="s">
        <v>1049</v>
      </c>
      <c r="C1029" s="1" t="s">
        <v>959</v>
      </c>
      <c r="D1029">
        <v>22</v>
      </c>
      <c r="E1029">
        <v>28</v>
      </c>
      <c r="F1029">
        <v>6.8</v>
      </c>
      <c r="G1029">
        <v>9</v>
      </c>
      <c r="H1029">
        <v>7.1</v>
      </c>
      <c r="I1029">
        <v>8.1999999999999993</v>
      </c>
      <c r="J1029">
        <v>136</v>
      </c>
      <c r="K1029">
        <v>187</v>
      </c>
      <c r="L1029">
        <v>1.1000000000000001</v>
      </c>
      <c r="M1029">
        <v>2.4</v>
      </c>
      <c r="N1029">
        <v>0.32</v>
      </c>
      <c r="O1029">
        <v>0.67</v>
      </c>
      <c r="P1029">
        <v>130</v>
      </c>
      <c r="Q1029">
        <v>1300</v>
      </c>
      <c r="R1029">
        <v>490</v>
      </c>
      <c r="S1029">
        <v>2800</v>
      </c>
      <c r="V1029">
        <f>River_data[[#This Row],[Dissolved Oxygen Min]]*River_data[[#This Row],[Dissolved Oxygen Max]]/2</f>
        <v>30.599999999999998</v>
      </c>
      <c r="W1029">
        <f>River_data[[#This Row],[BOD Min]]*River_data[[#This Row],[BOD Max]]/2</f>
        <v>1.32</v>
      </c>
      <c r="X1029">
        <f>AVERAGE(River_data[[#This Row],[pH Max]]-River_data[[#This Row],[pH Min]])</f>
        <v>1.0999999999999996</v>
      </c>
    </row>
    <row r="1030" spans="1:24" x14ac:dyDescent="0.3">
      <c r="A1030">
        <v>1043</v>
      </c>
      <c r="B1030" s="1" t="s">
        <v>1050</v>
      </c>
      <c r="C1030" s="1" t="s">
        <v>959</v>
      </c>
      <c r="D1030">
        <v>24</v>
      </c>
      <c r="E1030">
        <v>29</v>
      </c>
      <c r="F1030">
        <v>6</v>
      </c>
      <c r="G1030">
        <v>9</v>
      </c>
      <c r="H1030">
        <v>6.5</v>
      </c>
      <c r="I1030">
        <v>7.6</v>
      </c>
      <c r="J1030">
        <v>133</v>
      </c>
      <c r="K1030">
        <v>386</v>
      </c>
      <c r="L1030">
        <v>1.1000000000000001</v>
      </c>
      <c r="M1030">
        <v>1.6</v>
      </c>
      <c r="N1030">
        <v>0.32</v>
      </c>
      <c r="O1030">
        <v>2.82</v>
      </c>
      <c r="P1030">
        <v>78</v>
      </c>
      <c r="Q1030">
        <v>2300</v>
      </c>
      <c r="R1030">
        <v>490</v>
      </c>
      <c r="S1030">
        <v>4600</v>
      </c>
      <c r="V1030">
        <f>River_data[[#This Row],[Dissolved Oxygen Min]]*River_data[[#This Row],[Dissolved Oxygen Max]]/2</f>
        <v>27</v>
      </c>
      <c r="W1030">
        <f>River_data[[#This Row],[BOD Min]]*River_data[[#This Row],[BOD Max]]/2</f>
        <v>0.88000000000000012</v>
      </c>
      <c r="X1030">
        <f>AVERAGE(River_data[[#This Row],[pH Max]]-River_data[[#This Row],[pH Min]])</f>
        <v>1.0999999999999996</v>
      </c>
    </row>
    <row r="1031" spans="1:24" x14ac:dyDescent="0.3">
      <c r="A1031">
        <v>2418</v>
      </c>
      <c r="B1031" s="1" t="s">
        <v>1051</v>
      </c>
      <c r="C1031" s="1" t="s">
        <v>959</v>
      </c>
      <c r="D1031">
        <v>21</v>
      </c>
      <c r="E1031">
        <v>23</v>
      </c>
      <c r="F1031">
        <v>6</v>
      </c>
      <c r="G1031">
        <v>8.9</v>
      </c>
      <c r="H1031">
        <v>6.6</v>
      </c>
      <c r="I1031">
        <v>8.1</v>
      </c>
      <c r="J1031">
        <v>110</v>
      </c>
      <c r="K1031">
        <v>325</v>
      </c>
      <c r="L1031">
        <v>1.1000000000000001</v>
      </c>
      <c r="M1031">
        <v>1.6</v>
      </c>
      <c r="N1031">
        <v>0.32</v>
      </c>
      <c r="O1031">
        <v>1.33</v>
      </c>
      <c r="P1031">
        <v>78</v>
      </c>
      <c r="Q1031">
        <v>1700</v>
      </c>
      <c r="R1031">
        <v>330</v>
      </c>
      <c r="S1031">
        <v>3300</v>
      </c>
      <c r="V1031">
        <f>River_data[[#This Row],[Dissolved Oxygen Min]]*River_data[[#This Row],[Dissolved Oxygen Max]]/2</f>
        <v>26.700000000000003</v>
      </c>
      <c r="W1031">
        <f>River_data[[#This Row],[BOD Min]]*River_data[[#This Row],[BOD Max]]/2</f>
        <v>0.88000000000000012</v>
      </c>
      <c r="X1031">
        <f>AVERAGE(River_data[[#This Row],[pH Max]]-River_data[[#This Row],[pH Min]])</f>
        <v>1.5</v>
      </c>
    </row>
    <row r="1032" spans="1:24" x14ac:dyDescent="0.3">
      <c r="A1032">
        <v>10019</v>
      </c>
      <c r="B1032" s="1" t="s">
        <v>1052</v>
      </c>
      <c r="C1032" s="1" t="s">
        <v>959</v>
      </c>
      <c r="D1032">
        <v>21</v>
      </c>
      <c r="E1032">
        <v>24</v>
      </c>
      <c r="F1032">
        <v>6.2</v>
      </c>
      <c r="G1032">
        <v>8.6</v>
      </c>
      <c r="H1032">
        <v>6.9</v>
      </c>
      <c r="I1032">
        <v>8.1999999999999993</v>
      </c>
      <c r="J1032">
        <v>135</v>
      </c>
      <c r="K1032">
        <v>178</v>
      </c>
      <c r="L1032">
        <v>1.3</v>
      </c>
      <c r="M1032">
        <v>1.6</v>
      </c>
      <c r="N1032">
        <v>0.32</v>
      </c>
      <c r="O1032">
        <v>1.66</v>
      </c>
      <c r="P1032">
        <v>130</v>
      </c>
      <c r="Q1032">
        <v>24000</v>
      </c>
      <c r="R1032">
        <v>790</v>
      </c>
      <c r="S1032">
        <v>54000</v>
      </c>
      <c r="V1032">
        <f>River_data[[#This Row],[Dissolved Oxygen Min]]*River_data[[#This Row],[Dissolved Oxygen Max]]/2</f>
        <v>26.66</v>
      </c>
      <c r="W1032">
        <f>River_data[[#This Row],[BOD Min]]*River_data[[#This Row],[BOD Max]]/2</f>
        <v>1.04</v>
      </c>
      <c r="X1032">
        <f>AVERAGE(River_data[[#This Row],[pH Max]]-River_data[[#This Row],[pH Min]])</f>
        <v>1.2999999999999989</v>
      </c>
    </row>
    <row r="1033" spans="1:24" x14ac:dyDescent="0.3">
      <c r="A1033">
        <v>1044</v>
      </c>
      <c r="B1033" s="1" t="s">
        <v>1053</v>
      </c>
      <c r="C1033" s="1" t="s">
        <v>959</v>
      </c>
      <c r="D1033">
        <v>21</v>
      </c>
      <c r="E1033">
        <v>24</v>
      </c>
      <c r="F1033">
        <v>6.4</v>
      </c>
      <c r="G1033">
        <v>8.6999999999999993</v>
      </c>
      <c r="H1033">
        <v>6.5</v>
      </c>
      <c r="I1033">
        <v>8.4</v>
      </c>
      <c r="J1033">
        <v>131</v>
      </c>
      <c r="K1033">
        <v>186</v>
      </c>
      <c r="L1033">
        <v>1.1000000000000001</v>
      </c>
      <c r="M1033">
        <v>1.9</v>
      </c>
      <c r="N1033">
        <v>0.32</v>
      </c>
      <c r="O1033">
        <v>1.2</v>
      </c>
      <c r="P1033">
        <v>110</v>
      </c>
      <c r="Q1033">
        <v>2200</v>
      </c>
      <c r="R1033">
        <v>490</v>
      </c>
      <c r="S1033">
        <v>9400</v>
      </c>
      <c r="V1033">
        <f>River_data[[#This Row],[Dissolved Oxygen Min]]*River_data[[#This Row],[Dissolved Oxygen Max]]/2</f>
        <v>27.84</v>
      </c>
      <c r="W1033">
        <f>River_data[[#This Row],[BOD Min]]*River_data[[#This Row],[BOD Max]]/2</f>
        <v>1.0449999999999999</v>
      </c>
      <c r="X1033">
        <f>AVERAGE(River_data[[#This Row],[pH Max]]-River_data[[#This Row],[pH Min]])</f>
        <v>1.9000000000000004</v>
      </c>
    </row>
    <row r="1034" spans="1:24" x14ac:dyDescent="0.3">
      <c r="A1034">
        <v>1045</v>
      </c>
      <c r="B1034" s="1" t="s">
        <v>1054</v>
      </c>
      <c r="C1034" s="1" t="s">
        <v>959</v>
      </c>
      <c r="D1034">
        <v>24.1</v>
      </c>
      <c r="E1034">
        <v>33.5</v>
      </c>
      <c r="F1034">
        <v>5.8</v>
      </c>
      <c r="G1034">
        <v>8.6</v>
      </c>
      <c r="H1034">
        <v>7.3</v>
      </c>
      <c r="I1034">
        <v>8.1999999999999993</v>
      </c>
      <c r="J1034">
        <v>165</v>
      </c>
      <c r="K1034">
        <v>233</v>
      </c>
      <c r="L1034">
        <v>1.1000000000000001</v>
      </c>
      <c r="M1034">
        <v>1.4</v>
      </c>
      <c r="N1034">
        <v>0.32</v>
      </c>
      <c r="O1034">
        <v>0.88</v>
      </c>
      <c r="P1034">
        <v>330</v>
      </c>
      <c r="Q1034">
        <v>1700</v>
      </c>
      <c r="R1034">
        <v>1300</v>
      </c>
      <c r="S1034">
        <v>4000</v>
      </c>
      <c r="V1034">
        <f>River_data[[#This Row],[Dissolved Oxygen Min]]*River_data[[#This Row],[Dissolved Oxygen Max]]/2</f>
        <v>24.939999999999998</v>
      </c>
      <c r="W1034">
        <f>River_data[[#This Row],[BOD Min]]*River_data[[#This Row],[BOD Max]]/2</f>
        <v>0.77</v>
      </c>
      <c r="X1034">
        <f>AVERAGE(River_data[[#This Row],[pH Max]]-River_data[[#This Row],[pH Min]])</f>
        <v>0.89999999999999947</v>
      </c>
    </row>
    <row r="1035" spans="1:24" x14ac:dyDescent="0.3">
      <c r="A1035">
        <v>3916</v>
      </c>
      <c r="B1035" s="1" t="s">
        <v>1055</v>
      </c>
      <c r="C1035" s="1" t="s">
        <v>959</v>
      </c>
      <c r="D1035">
        <v>23</v>
      </c>
      <c r="E1035">
        <v>32</v>
      </c>
      <c r="F1035">
        <v>3.2</v>
      </c>
      <c r="G1035">
        <v>9</v>
      </c>
      <c r="H1035">
        <v>6.5</v>
      </c>
      <c r="I1035">
        <v>8.5</v>
      </c>
      <c r="J1035">
        <v>140</v>
      </c>
      <c r="K1035">
        <v>345</v>
      </c>
      <c r="L1035">
        <v>1.8</v>
      </c>
      <c r="M1035">
        <v>4.8</v>
      </c>
      <c r="N1035">
        <v>0.52</v>
      </c>
      <c r="O1035">
        <v>7.32</v>
      </c>
      <c r="P1035">
        <v>78</v>
      </c>
      <c r="Q1035">
        <v>2300</v>
      </c>
      <c r="R1035">
        <v>330</v>
      </c>
      <c r="S1035">
        <v>7900</v>
      </c>
      <c r="T1035">
        <v>2</v>
      </c>
      <c r="U1035">
        <v>23</v>
      </c>
      <c r="V1035">
        <f>River_data[[#This Row],[Dissolved Oxygen Min]]*River_data[[#This Row],[Dissolved Oxygen Max]]/2</f>
        <v>14.4</v>
      </c>
      <c r="W1035">
        <f>River_data[[#This Row],[BOD Min]]*River_data[[#This Row],[BOD Max]]/2</f>
        <v>4.32</v>
      </c>
      <c r="X1035">
        <f>AVERAGE(River_data[[#This Row],[pH Max]]-River_data[[#This Row],[pH Min]])</f>
        <v>2</v>
      </c>
    </row>
    <row r="1036" spans="1:24" x14ac:dyDescent="0.3">
      <c r="A1036">
        <v>3917</v>
      </c>
      <c r="B1036" s="1" t="s">
        <v>1056</v>
      </c>
      <c r="C1036" s="1" t="s">
        <v>959</v>
      </c>
      <c r="D1036">
        <v>23</v>
      </c>
      <c r="E1036">
        <v>29</v>
      </c>
      <c r="F1036">
        <v>6.4</v>
      </c>
      <c r="G1036">
        <v>8.6</v>
      </c>
      <c r="H1036">
        <v>6.5</v>
      </c>
      <c r="I1036">
        <v>7.6</v>
      </c>
      <c r="J1036">
        <v>124</v>
      </c>
      <c r="K1036">
        <v>187</v>
      </c>
      <c r="L1036">
        <v>1.1000000000000001</v>
      </c>
      <c r="M1036">
        <v>1.9</v>
      </c>
      <c r="N1036">
        <v>0.32</v>
      </c>
      <c r="O1036">
        <v>0.7</v>
      </c>
      <c r="P1036">
        <v>1700</v>
      </c>
      <c r="Q1036">
        <v>17000</v>
      </c>
      <c r="R1036">
        <v>3500</v>
      </c>
      <c r="S1036">
        <v>35000</v>
      </c>
      <c r="T1036">
        <v>14</v>
      </c>
      <c r="U1036">
        <v>79</v>
      </c>
      <c r="V1036">
        <f>River_data[[#This Row],[Dissolved Oxygen Min]]*River_data[[#This Row],[Dissolved Oxygen Max]]/2</f>
        <v>27.52</v>
      </c>
      <c r="W1036">
        <f>River_data[[#This Row],[BOD Min]]*River_data[[#This Row],[BOD Max]]/2</f>
        <v>1.0449999999999999</v>
      </c>
      <c r="X1036">
        <f>AVERAGE(River_data[[#This Row],[pH Max]]-River_data[[#This Row],[pH Min]])</f>
        <v>1.0999999999999996</v>
      </c>
    </row>
    <row r="1037" spans="1:24" x14ac:dyDescent="0.3">
      <c r="A1037">
        <v>3918</v>
      </c>
      <c r="B1037" s="1" t="s">
        <v>1057</v>
      </c>
      <c r="C1037" s="1" t="s">
        <v>959</v>
      </c>
      <c r="D1037">
        <v>24</v>
      </c>
      <c r="E1037">
        <v>29</v>
      </c>
      <c r="F1037">
        <v>6.4</v>
      </c>
      <c r="G1037">
        <v>9.4</v>
      </c>
      <c r="H1037">
        <v>6.8</v>
      </c>
      <c r="I1037">
        <v>7.5</v>
      </c>
      <c r="J1037">
        <v>126</v>
      </c>
      <c r="K1037">
        <v>220</v>
      </c>
      <c r="L1037">
        <v>1.1000000000000001</v>
      </c>
      <c r="M1037">
        <v>1.6</v>
      </c>
      <c r="N1037">
        <v>0.32</v>
      </c>
      <c r="O1037">
        <v>0.88</v>
      </c>
      <c r="P1037">
        <v>110</v>
      </c>
      <c r="Q1037">
        <v>1400</v>
      </c>
      <c r="R1037">
        <v>490</v>
      </c>
      <c r="S1037">
        <v>3500</v>
      </c>
      <c r="V1037">
        <f>River_data[[#This Row],[Dissolved Oxygen Min]]*River_data[[#This Row],[Dissolved Oxygen Max]]/2</f>
        <v>30.080000000000002</v>
      </c>
      <c r="W1037">
        <f>River_data[[#This Row],[BOD Min]]*River_data[[#This Row],[BOD Max]]/2</f>
        <v>0.88000000000000012</v>
      </c>
      <c r="X1037">
        <f>AVERAGE(River_data[[#This Row],[pH Max]]-River_data[[#This Row],[pH Min]])</f>
        <v>0.70000000000000018</v>
      </c>
    </row>
    <row r="1038" spans="1:24" x14ac:dyDescent="0.3">
      <c r="A1038">
        <v>2419</v>
      </c>
      <c r="B1038" s="1" t="s">
        <v>1058</v>
      </c>
      <c r="C1038" s="1" t="s">
        <v>959</v>
      </c>
      <c r="D1038">
        <v>20</v>
      </c>
      <c r="E1038">
        <v>23</v>
      </c>
      <c r="F1038">
        <v>6.2</v>
      </c>
      <c r="G1038">
        <v>8.6</v>
      </c>
      <c r="H1038">
        <v>6.9</v>
      </c>
      <c r="I1038">
        <v>8.1999999999999993</v>
      </c>
      <c r="J1038">
        <v>125</v>
      </c>
      <c r="K1038">
        <v>162</v>
      </c>
      <c r="L1038">
        <v>1.1000000000000001</v>
      </c>
      <c r="M1038">
        <v>1.6</v>
      </c>
      <c r="N1038">
        <v>0.32</v>
      </c>
      <c r="O1038">
        <v>1.2</v>
      </c>
      <c r="P1038">
        <v>45</v>
      </c>
      <c r="Q1038">
        <v>2300</v>
      </c>
      <c r="R1038">
        <v>330</v>
      </c>
      <c r="S1038">
        <v>4900</v>
      </c>
      <c r="V1038">
        <f>River_data[[#This Row],[Dissolved Oxygen Min]]*River_data[[#This Row],[Dissolved Oxygen Max]]/2</f>
        <v>26.66</v>
      </c>
      <c r="W1038">
        <f>River_data[[#This Row],[BOD Min]]*River_data[[#This Row],[BOD Max]]/2</f>
        <v>0.88000000000000012</v>
      </c>
      <c r="X1038">
        <f>AVERAGE(River_data[[#This Row],[pH Max]]-River_data[[#This Row],[pH Min]])</f>
        <v>1.2999999999999989</v>
      </c>
    </row>
    <row r="1039" spans="1:24" x14ac:dyDescent="0.3">
      <c r="A1039">
        <v>2420</v>
      </c>
      <c r="B1039" s="1" t="s">
        <v>1059</v>
      </c>
      <c r="C1039" s="1" t="s">
        <v>959</v>
      </c>
      <c r="D1039">
        <v>23.6</v>
      </c>
      <c r="E1039">
        <v>33.1</v>
      </c>
      <c r="F1039">
        <v>5.5</v>
      </c>
      <c r="G1039">
        <v>8.6</v>
      </c>
      <c r="H1039">
        <v>7.3</v>
      </c>
      <c r="I1039">
        <v>8.4</v>
      </c>
      <c r="J1039">
        <v>140</v>
      </c>
      <c r="K1039">
        <v>371</v>
      </c>
      <c r="L1039">
        <v>1.1000000000000001</v>
      </c>
      <c r="M1039">
        <v>1.5</v>
      </c>
      <c r="N1039">
        <v>0.32</v>
      </c>
      <c r="O1039">
        <v>0.6</v>
      </c>
      <c r="P1039">
        <v>220</v>
      </c>
      <c r="Q1039">
        <v>2300</v>
      </c>
      <c r="R1039">
        <v>700</v>
      </c>
      <c r="S1039">
        <v>4900</v>
      </c>
      <c r="V1039">
        <f>River_data[[#This Row],[Dissolved Oxygen Min]]*River_data[[#This Row],[Dissolved Oxygen Max]]/2</f>
        <v>23.65</v>
      </c>
      <c r="W1039">
        <f>River_data[[#This Row],[BOD Min]]*River_data[[#This Row],[BOD Max]]/2</f>
        <v>0.82500000000000007</v>
      </c>
      <c r="X1039">
        <f>AVERAGE(River_data[[#This Row],[pH Max]]-River_data[[#This Row],[pH Min]])</f>
        <v>1.1000000000000005</v>
      </c>
    </row>
    <row r="1040" spans="1:24" x14ac:dyDescent="0.3">
      <c r="A1040">
        <v>3922</v>
      </c>
      <c r="B1040" s="1" t="s">
        <v>1060</v>
      </c>
      <c r="C1040" s="1" t="s">
        <v>959</v>
      </c>
      <c r="D1040">
        <v>21</v>
      </c>
      <c r="E1040">
        <v>23</v>
      </c>
      <c r="F1040">
        <v>6.3</v>
      </c>
      <c r="G1040">
        <v>8.9</v>
      </c>
      <c r="H1040">
        <v>6.8</v>
      </c>
      <c r="I1040">
        <v>8.5</v>
      </c>
      <c r="J1040">
        <v>108</v>
      </c>
      <c r="K1040">
        <v>236</v>
      </c>
      <c r="L1040">
        <v>1.1000000000000001</v>
      </c>
      <c r="M1040">
        <v>1.9</v>
      </c>
      <c r="N1040">
        <v>0.32</v>
      </c>
      <c r="O1040">
        <v>4.34</v>
      </c>
      <c r="P1040">
        <v>110</v>
      </c>
      <c r="Q1040">
        <v>2300</v>
      </c>
      <c r="R1040">
        <v>790</v>
      </c>
      <c r="S1040">
        <v>5600</v>
      </c>
      <c r="V1040">
        <f>River_data[[#This Row],[Dissolved Oxygen Min]]*River_data[[#This Row],[Dissolved Oxygen Max]]/2</f>
        <v>28.035</v>
      </c>
      <c r="W1040">
        <f>River_data[[#This Row],[BOD Min]]*River_data[[#This Row],[BOD Max]]/2</f>
        <v>1.0449999999999999</v>
      </c>
      <c r="X1040">
        <f>AVERAGE(River_data[[#This Row],[pH Max]]-River_data[[#This Row],[pH Min]])</f>
        <v>1.7000000000000002</v>
      </c>
    </row>
    <row r="1041" spans="1:24" x14ac:dyDescent="0.3">
      <c r="A1041">
        <v>3921</v>
      </c>
      <c r="B1041" s="1" t="s">
        <v>1061</v>
      </c>
      <c r="C1041" s="1" t="s">
        <v>959</v>
      </c>
      <c r="D1041">
        <v>23</v>
      </c>
      <c r="E1041">
        <v>28</v>
      </c>
      <c r="F1041">
        <v>3.8</v>
      </c>
      <c r="G1041">
        <v>7.8</v>
      </c>
      <c r="H1041">
        <v>6.9</v>
      </c>
      <c r="I1041">
        <v>7.9</v>
      </c>
      <c r="J1041">
        <v>302</v>
      </c>
      <c r="K1041">
        <v>710</v>
      </c>
      <c r="L1041">
        <v>1.1000000000000001</v>
      </c>
      <c r="M1041">
        <v>1.9</v>
      </c>
      <c r="N1041">
        <v>0.32</v>
      </c>
      <c r="O1041">
        <v>3.13</v>
      </c>
      <c r="P1041">
        <v>230</v>
      </c>
      <c r="Q1041">
        <v>2300</v>
      </c>
      <c r="R1041">
        <v>790</v>
      </c>
      <c r="S1041">
        <v>4900</v>
      </c>
      <c r="V1041">
        <f>River_data[[#This Row],[Dissolved Oxygen Min]]*River_data[[#This Row],[Dissolved Oxygen Max]]/2</f>
        <v>14.819999999999999</v>
      </c>
      <c r="W1041">
        <f>River_data[[#This Row],[BOD Min]]*River_data[[#This Row],[BOD Max]]/2</f>
        <v>1.0449999999999999</v>
      </c>
      <c r="X1041">
        <f>AVERAGE(River_data[[#This Row],[pH Max]]-River_data[[#This Row],[pH Min]])</f>
        <v>1</v>
      </c>
    </row>
    <row r="1042" spans="1:24" x14ac:dyDescent="0.3">
      <c r="A1042">
        <v>3931</v>
      </c>
      <c r="B1042" s="1" t="s">
        <v>1062</v>
      </c>
      <c r="C1042" s="1" t="s">
        <v>959</v>
      </c>
      <c r="D1042">
        <v>22</v>
      </c>
      <c r="E1042">
        <v>29</v>
      </c>
      <c r="F1042">
        <v>4.5999999999999996</v>
      </c>
      <c r="G1042">
        <v>9.6</v>
      </c>
      <c r="H1042">
        <v>7.5</v>
      </c>
      <c r="I1042">
        <v>7.9</v>
      </c>
      <c r="J1042">
        <v>260</v>
      </c>
      <c r="K1042">
        <v>455</v>
      </c>
      <c r="L1042">
        <v>1.1000000000000001</v>
      </c>
      <c r="M1042">
        <v>1.8</v>
      </c>
      <c r="N1042">
        <v>0.32</v>
      </c>
      <c r="O1042">
        <v>1</v>
      </c>
      <c r="P1042">
        <v>110</v>
      </c>
      <c r="Q1042">
        <v>1700</v>
      </c>
      <c r="R1042">
        <v>490</v>
      </c>
      <c r="S1042">
        <v>4900</v>
      </c>
      <c r="T1042">
        <v>17</v>
      </c>
      <c r="U1042">
        <v>17</v>
      </c>
      <c r="V1042">
        <f>River_data[[#This Row],[Dissolved Oxygen Min]]*River_data[[#This Row],[Dissolved Oxygen Max]]/2</f>
        <v>22.08</v>
      </c>
      <c r="W1042">
        <f>River_data[[#This Row],[BOD Min]]*River_data[[#This Row],[BOD Max]]/2</f>
        <v>0.9900000000000001</v>
      </c>
      <c r="X1042">
        <f>AVERAGE(River_data[[#This Row],[pH Max]]-River_data[[#This Row],[pH Min]])</f>
        <v>0.40000000000000036</v>
      </c>
    </row>
    <row r="1043" spans="1:24" x14ac:dyDescent="0.3">
      <c r="A1043">
        <v>2412</v>
      </c>
      <c r="B1043" s="1" t="s">
        <v>1063</v>
      </c>
      <c r="C1043" s="1" t="s">
        <v>959</v>
      </c>
      <c r="D1043">
        <v>23</v>
      </c>
      <c r="E1043">
        <v>30</v>
      </c>
      <c r="F1043">
        <v>5.4</v>
      </c>
      <c r="G1043">
        <v>8.4</v>
      </c>
      <c r="H1043">
        <v>6.7</v>
      </c>
      <c r="I1043">
        <v>7.9</v>
      </c>
      <c r="J1043">
        <v>100</v>
      </c>
      <c r="K1043">
        <v>198</v>
      </c>
      <c r="L1043">
        <v>1.1000000000000001</v>
      </c>
      <c r="M1043">
        <v>1.5</v>
      </c>
      <c r="N1043">
        <v>0.32</v>
      </c>
      <c r="O1043">
        <v>0.56999999999999995</v>
      </c>
      <c r="P1043">
        <v>78</v>
      </c>
      <c r="Q1043">
        <v>1300</v>
      </c>
      <c r="R1043">
        <v>490</v>
      </c>
      <c r="S1043">
        <v>4900</v>
      </c>
      <c r="V1043">
        <f>River_data[[#This Row],[Dissolved Oxygen Min]]*River_data[[#This Row],[Dissolved Oxygen Max]]/2</f>
        <v>22.680000000000003</v>
      </c>
      <c r="W1043">
        <f>River_data[[#This Row],[BOD Min]]*River_data[[#This Row],[BOD Max]]/2</f>
        <v>0.82500000000000007</v>
      </c>
      <c r="X1043">
        <f>AVERAGE(River_data[[#This Row],[pH Max]]-River_data[[#This Row],[pH Min]])</f>
        <v>1.2000000000000002</v>
      </c>
    </row>
    <row r="1044" spans="1:24" x14ac:dyDescent="0.3">
      <c r="A1044">
        <v>3915</v>
      </c>
      <c r="B1044" s="1" t="s">
        <v>1064</v>
      </c>
      <c r="C1044" s="1" t="s">
        <v>959</v>
      </c>
      <c r="D1044">
        <v>20</v>
      </c>
      <c r="E1044">
        <v>31</v>
      </c>
      <c r="F1044">
        <v>6.2</v>
      </c>
      <c r="G1044">
        <v>8.1</v>
      </c>
      <c r="H1044">
        <v>6.7</v>
      </c>
      <c r="I1044">
        <v>8.1999999999999993</v>
      </c>
      <c r="J1044">
        <v>115</v>
      </c>
      <c r="K1044">
        <v>178</v>
      </c>
      <c r="L1044">
        <v>1.1000000000000001</v>
      </c>
      <c r="M1044">
        <v>1.6</v>
      </c>
      <c r="N1044">
        <v>0.32</v>
      </c>
      <c r="O1044">
        <v>0.81</v>
      </c>
      <c r="P1044">
        <v>78</v>
      </c>
      <c r="Q1044">
        <v>1300</v>
      </c>
      <c r="R1044">
        <v>330</v>
      </c>
      <c r="S1044">
        <v>3900</v>
      </c>
      <c r="V1044">
        <f>River_data[[#This Row],[Dissolved Oxygen Min]]*River_data[[#This Row],[Dissolved Oxygen Max]]/2</f>
        <v>25.11</v>
      </c>
      <c r="W1044">
        <f>River_data[[#This Row],[BOD Min]]*River_data[[#This Row],[BOD Max]]/2</f>
        <v>0.88000000000000012</v>
      </c>
      <c r="X1044">
        <f>AVERAGE(River_data[[#This Row],[pH Max]]-River_data[[#This Row],[pH Min]])</f>
        <v>1.4999999999999991</v>
      </c>
    </row>
    <row r="1045" spans="1:24" x14ac:dyDescent="0.3">
      <c r="A1045">
        <v>3924</v>
      </c>
      <c r="B1045" s="1" t="s">
        <v>1065</v>
      </c>
      <c r="C1045" s="1" t="s">
        <v>959</v>
      </c>
      <c r="D1045">
        <v>22</v>
      </c>
      <c r="E1045">
        <v>28</v>
      </c>
      <c r="F1045">
        <v>6</v>
      </c>
      <c r="G1045">
        <v>10.4</v>
      </c>
      <c r="H1045">
        <v>7.1</v>
      </c>
      <c r="I1045">
        <v>8.1</v>
      </c>
      <c r="J1045">
        <v>185</v>
      </c>
      <c r="K1045">
        <v>386</v>
      </c>
      <c r="L1045">
        <v>1.1000000000000001</v>
      </c>
      <c r="M1045">
        <v>1.9</v>
      </c>
      <c r="N1045">
        <v>0.32</v>
      </c>
      <c r="O1045">
        <v>0.97</v>
      </c>
      <c r="P1045">
        <v>230</v>
      </c>
      <c r="Q1045">
        <v>4900</v>
      </c>
      <c r="R1045">
        <v>1300</v>
      </c>
      <c r="S1045">
        <v>24000</v>
      </c>
      <c r="V1045">
        <f>River_data[[#This Row],[Dissolved Oxygen Min]]*River_data[[#This Row],[Dissolved Oxygen Max]]/2</f>
        <v>31.200000000000003</v>
      </c>
      <c r="W1045">
        <f>River_data[[#This Row],[BOD Min]]*River_data[[#This Row],[BOD Max]]/2</f>
        <v>1.0449999999999999</v>
      </c>
      <c r="X1045">
        <f>AVERAGE(River_data[[#This Row],[pH Max]]-River_data[[#This Row],[pH Min]])</f>
        <v>1</v>
      </c>
    </row>
    <row r="1046" spans="1:24" x14ac:dyDescent="0.3">
      <c r="A1046">
        <v>3933</v>
      </c>
      <c r="B1046" s="1" t="s">
        <v>1066</v>
      </c>
      <c r="C1046" s="1" t="s">
        <v>959</v>
      </c>
      <c r="D1046">
        <v>21</v>
      </c>
      <c r="E1046">
        <v>23</v>
      </c>
      <c r="F1046">
        <v>6</v>
      </c>
      <c r="G1046">
        <v>8.4</v>
      </c>
      <c r="H1046">
        <v>6.8</v>
      </c>
      <c r="I1046">
        <v>8</v>
      </c>
      <c r="J1046">
        <v>83</v>
      </c>
      <c r="K1046">
        <v>205</v>
      </c>
      <c r="L1046">
        <v>1.1000000000000001</v>
      </c>
      <c r="M1046">
        <v>2</v>
      </c>
      <c r="N1046">
        <v>0.32</v>
      </c>
      <c r="O1046">
        <v>1.05</v>
      </c>
      <c r="P1046">
        <v>130</v>
      </c>
      <c r="Q1046">
        <v>2200</v>
      </c>
      <c r="R1046">
        <v>330</v>
      </c>
      <c r="S1046">
        <v>3500</v>
      </c>
      <c r="V1046">
        <f>River_data[[#This Row],[Dissolved Oxygen Min]]*River_data[[#This Row],[Dissolved Oxygen Max]]/2</f>
        <v>25.200000000000003</v>
      </c>
      <c r="W1046">
        <f>River_data[[#This Row],[BOD Min]]*River_data[[#This Row],[BOD Max]]/2</f>
        <v>1.1000000000000001</v>
      </c>
      <c r="X1046">
        <f>AVERAGE(River_data[[#This Row],[pH Max]]-River_data[[#This Row],[pH Min]])</f>
        <v>1.2000000000000002</v>
      </c>
    </row>
    <row r="1047" spans="1:24" x14ac:dyDescent="0.3">
      <c r="A1047">
        <v>3927</v>
      </c>
      <c r="B1047" s="1" t="s">
        <v>1067</v>
      </c>
      <c r="C1047" s="1" t="s">
        <v>959</v>
      </c>
      <c r="D1047">
        <v>22</v>
      </c>
      <c r="E1047">
        <v>29</v>
      </c>
      <c r="F1047">
        <v>6.2</v>
      </c>
      <c r="G1047">
        <v>9</v>
      </c>
      <c r="H1047">
        <v>7.5</v>
      </c>
      <c r="I1047">
        <v>8.1999999999999993</v>
      </c>
      <c r="J1047">
        <v>163</v>
      </c>
      <c r="K1047">
        <v>366</v>
      </c>
      <c r="L1047">
        <v>1.1000000000000001</v>
      </c>
      <c r="M1047">
        <v>1.4</v>
      </c>
      <c r="N1047">
        <v>0.32</v>
      </c>
      <c r="O1047">
        <v>92.02</v>
      </c>
      <c r="P1047">
        <v>78</v>
      </c>
      <c r="Q1047">
        <v>2100</v>
      </c>
      <c r="R1047">
        <v>330</v>
      </c>
      <c r="S1047">
        <v>4000</v>
      </c>
      <c r="V1047">
        <f>River_data[[#This Row],[Dissolved Oxygen Min]]*River_data[[#This Row],[Dissolved Oxygen Max]]/2</f>
        <v>27.900000000000002</v>
      </c>
      <c r="W1047">
        <f>River_data[[#This Row],[BOD Min]]*River_data[[#This Row],[BOD Max]]/2</f>
        <v>0.77</v>
      </c>
      <c r="X1047">
        <f>AVERAGE(River_data[[#This Row],[pH Max]]-River_data[[#This Row],[pH Min]])</f>
        <v>0.69999999999999929</v>
      </c>
    </row>
    <row r="1048" spans="1:24" x14ac:dyDescent="0.3">
      <c r="A1048">
        <v>3928</v>
      </c>
      <c r="B1048" s="1" t="s">
        <v>1068</v>
      </c>
      <c r="C1048" s="1" t="s">
        <v>959</v>
      </c>
      <c r="D1048">
        <v>23</v>
      </c>
      <c r="E1048">
        <v>29</v>
      </c>
      <c r="F1048">
        <v>6.8</v>
      </c>
      <c r="G1048">
        <v>10.8</v>
      </c>
      <c r="H1048">
        <v>7.5</v>
      </c>
      <c r="I1048">
        <v>8.4</v>
      </c>
      <c r="J1048">
        <v>174</v>
      </c>
      <c r="K1048">
        <v>416</v>
      </c>
      <c r="L1048">
        <v>1.4</v>
      </c>
      <c r="M1048">
        <v>2</v>
      </c>
      <c r="N1048">
        <v>0.32</v>
      </c>
      <c r="O1048">
        <v>1.18</v>
      </c>
      <c r="P1048">
        <v>170</v>
      </c>
      <c r="Q1048">
        <v>2200</v>
      </c>
      <c r="R1048">
        <v>490</v>
      </c>
      <c r="S1048">
        <v>4900</v>
      </c>
      <c r="V1048">
        <f>River_data[[#This Row],[Dissolved Oxygen Min]]*River_data[[#This Row],[Dissolved Oxygen Max]]/2</f>
        <v>36.72</v>
      </c>
      <c r="W1048">
        <f>River_data[[#This Row],[BOD Min]]*River_data[[#This Row],[BOD Max]]/2</f>
        <v>1.4</v>
      </c>
      <c r="X1048">
        <f>AVERAGE(River_data[[#This Row],[pH Max]]-River_data[[#This Row],[pH Min]])</f>
        <v>0.90000000000000036</v>
      </c>
    </row>
    <row r="1049" spans="1:24" x14ac:dyDescent="0.3">
      <c r="A1049">
        <v>3932</v>
      </c>
      <c r="B1049" s="1" t="s">
        <v>1069</v>
      </c>
      <c r="C1049" s="1" t="s">
        <v>959</v>
      </c>
      <c r="D1049">
        <v>24</v>
      </c>
      <c r="E1049">
        <v>29</v>
      </c>
      <c r="F1049">
        <v>5.2</v>
      </c>
      <c r="G1049">
        <v>8.6</v>
      </c>
      <c r="H1049">
        <v>7.2</v>
      </c>
      <c r="I1049">
        <v>8.1</v>
      </c>
      <c r="J1049">
        <v>101</v>
      </c>
      <c r="K1049">
        <v>272</v>
      </c>
      <c r="L1049">
        <v>1.1000000000000001</v>
      </c>
      <c r="M1049">
        <v>1.9</v>
      </c>
      <c r="N1049">
        <v>0.32</v>
      </c>
      <c r="O1049">
        <v>0.65</v>
      </c>
      <c r="P1049">
        <v>130</v>
      </c>
      <c r="Q1049">
        <v>790</v>
      </c>
      <c r="R1049">
        <v>490</v>
      </c>
      <c r="S1049">
        <v>2800</v>
      </c>
      <c r="V1049">
        <f>River_data[[#This Row],[Dissolved Oxygen Min]]*River_data[[#This Row],[Dissolved Oxygen Max]]/2</f>
        <v>22.36</v>
      </c>
      <c r="W1049">
        <f>River_data[[#This Row],[BOD Min]]*River_data[[#This Row],[BOD Max]]/2</f>
        <v>1.0449999999999999</v>
      </c>
      <c r="X1049">
        <f>AVERAGE(River_data[[#This Row],[pH Max]]-River_data[[#This Row],[pH Min]])</f>
        <v>0.89999999999999947</v>
      </c>
    </row>
    <row r="1050" spans="1:24" x14ac:dyDescent="0.3">
      <c r="A1050">
        <v>1036</v>
      </c>
      <c r="B1050" s="1" t="s">
        <v>1070</v>
      </c>
      <c r="C1050" s="1" t="s">
        <v>242</v>
      </c>
      <c r="D1050">
        <v>19.2</v>
      </c>
      <c r="E1050">
        <v>36</v>
      </c>
      <c r="F1050">
        <v>6.7</v>
      </c>
      <c r="G1050">
        <v>8.6999999999999993</v>
      </c>
      <c r="H1050">
        <v>6.8</v>
      </c>
      <c r="I1050">
        <v>8.3000000000000007</v>
      </c>
      <c r="J1050">
        <v>198</v>
      </c>
      <c r="K1050">
        <v>424</v>
      </c>
      <c r="L1050">
        <v>1.2</v>
      </c>
      <c r="M1050">
        <v>3.2</v>
      </c>
      <c r="N1050">
        <v>0</v>
      </c>
      <c r="O1050">
        <v>0</v>
      </c>
      <c r="V1050">
        <f>River_data[[#This Row],[Dissolved Oxygen Min]]*River_data[[#This Row],[Dissolved Oxygen Max]]/2</f>
        <v>29.145</v>
      </c>
      <c r="W1050">
        <f>River_data[[#This Row],[BOD Min]]*River_data[[#This Row],[BOD Max]]/2</f>
        <v>1.92</v>
      </c>
      <c r="X1050">
        <f>AVERAGE(River_data[[#This Row],[pH Max]]-River_data[[#This Row],[pH Min]])</f>
        <v>1.5000000000000009</v>
      </c>
    </row>
    <row r="1051" spans="1:24" x14ac:dyDescent="0.3">
      <c r="A1051">
        <v>2413</v>
      </c>
      <c r="B1051" s="1" t="s">
        <v>1071</v>
      </c>
      <c r="C1051" s="1" t="s">
        <v>959</v>
      </c>
      <c r="D1051">
        <v>22</v>
      </c>
      <c r="E1051">
        <v>32</v>
      </c>
      <c r="F1051">
        <v>5</v>
      </c>
      <c r="G1051">
        <v>8.3000000000000007</v>
      </c>
      <c r="H1051">
        <v>6.8</v>
      </c>
      <c r="I1051">
        <v>8.5</v>
      </c>
      <c r="J1051">
        <v>123</v>
      </c>
      <c r="K1051">
        <v>220</v>
      </c>
      <c r="L1051">
        <v>1.1000000000000001</v>
      </c>
      <c r="M1051">
        <v>1.8</v>
      </c>
      <c r="N1051">
        <v>0.32</v>
      </c>
      <c r="O1051">
        <v>1.31</v>
      </c>
      <c r="P1051">
        <v>330</v>
      </c>
      <c r="Q1051">
        <v>2300</v>
      </c>
      <c r="R1051">
        <v>1700</v>
      </c>
      <c r="S1051">
        <v>4900</v>
      </c>
      <c r="V1051">
        <f>River_data[[#This Row],[Dissolved Oxygen Min]]*River_data[[#This Row],[Dissolved Oxygen Max]]/2</f>
        <v>20.75</v>
      </c>
      <c r="W1051">
        <f>River_data[[#This Row],[BOD Min]]*River_data[[#This Row],[BOD Max]]/2</f>
        <v>0.9900000000000001</v>
      </c>
      <c r="X1051">
        <f>AVERAGE(River_data[[#This Row],[pH Max]]-River_data[[#This Row],[pH Min]])</f>
        <v>1.7000000000000002</v>
      </c>
    </row>
    <row r="1052" spans="1:24" x14ac:dyDescent="0.3">
      <c r="A1052">
        <v>3919</v>
      </c>
      <c r="B1052" s="1" t="s">
        <v>1072</v>
      </c>
      <c r="C1052" s="1" t="s">
        <v>959</v>
      </c>
      <c r="D1052">
        <v>21</v>
      </c>
      <c r="E1052">
        <v>27</v>
      </c>
      <c r="F1052">
        <v>4.8</v>
      </c>
      <c r="G1052">
        <v>12.4</v>
      </c>
      <c r="H1052">
        <v>6.8</v>
      </c>
      <c r="I1052">
        <v>8.4</v>
      </c>
      <c r="J1052">
        <v>325</v>
      </c>
      <c r="K1052">
        <v>595</v>
      </c>
      <c r="L1052">
        <v>1.1000000000000001</v>
      </c>
      <c r="M1052">
        <v>1.6</v>
      </c>
      <c r="N1052">
        <v>0.47</v>
      </c>
      <c r="O1052">
        <v>3.86</v>
      </c>
      <c r="P1052">
        <v>78</v>
      </c>
      <c r="Q1052">
        <v>2300</v>
      </c>
      <c r="R1052">
        <v>330</v>
      </c>
      <c r="S1052">
        <v>4900</v>
      </c>
      <c r="V1052">
        <f>River_data[[#This Row],[Dissolved Oxygen Min]]*River_data[[#This Row],[Dissolved Oxygen Max]]/2</f>
        <v>29.759999999999998</v>
      </c>
      <c r="W1052">
        <f>River_data[[#This Row],[BOD Min]]*River_data[[#This Row],[BOD Max]]/2</f>
        <v>0.88000000000000012</v>
      </c>
      <c r="X1052">
        <f>AVERAGE(River_data[[#This Row],[pH Max]]-River_data[[#This Row],[pH Min]])</f>
        <v>1.6000000000000005</v>
      </c>
    </row>
    <row r="1053" spans="1:24" x14ac:dyDescent="0.3">
      <c r="A1053">
        <v>3920</v>
      </c>
      <c r="B1053" s="1" t="s">
        <v>1073</v>
      </c>
      <c r="C1053" s="1" t="s">
        <v>959</v>
      </c>
      <c r="D1053">
        <v>22</v>
      </c>
      <c r="E1053">
        <v>28</v>
      </c>
      <c r="F1053">
        <v>6.2</v>
      </c>
      <c r="G1053">
        <v>12.6</v>
      </c>
      <c r="H1053">
        <v>6.9</v>
      </c>
      <c r="I1053">
        <v>8.3000000000000007</v>
      </c>
      <c r="J1053">
        <v>410</v>
      </c>
      <c r="K1053">
        <v>721</v>
      </c>
      <c r="L1053">
        <v>1.3</v>
      </c>
      <c r="M1053">
        <v>2</v>
      </c>
      <c r="N1053">
        <v>0.32</v>
      </c>
      <c r="O1053">
        <v>2.34</v>
      </c>
      <c r="P1053">
        <v>130</v>
      </c>
      <c r="Q1053">
        <v>2100</v>
      </c>
      <c r="R1053">
        <v>490</v>
      </c>
      <c r="S1053">
        <v>4900</v>
      </c>
      <c r="T1053">
        <v>2</v>
      </c>
      <c r="U1053">
        <v>17</v>
      </c>
      <c r="V1053">
        <f>River_data[[#This Row],[Dissolved Oxygen Min]]*River_data[[#This Row],[Dissolved Oxygen Max]]/2</f>
        <v>39.06</v>
      </c>
      <c r="W1053">
        <f>River_data[[#This Row],[BOD Min]]*River_data[[#This Row],[BOD Max]]/2</f>
        <v>1.3</v>
      </c>
      <c r="X1053">
        <f>AVERAGE(River_data[[#This Row],[pH Max]]-River_data[[#This Row],[pH Min]])</f>
        <v>1.4000000000000004</v>
      </c>
    </row>
    <row r="1054" spans="1:24" x14ac:dyDescent="0.3">
      <c r="A1054">
        <v>3925</v>
      </c>
      <c r="B1054" s="1" t="s">
        <v>1074</v>
      </c>
      <c r="C1054" s="1" t="s">
        <v>959</v>
      </c>
      <c r="D1054">
        <v>23</v>
      </c>
      <c r="E1054">
        <v>28</v>
      </c>
      <c r="F1054">
        <v>6.2</v>
      </c>
      <c r="G1054">
        <v>12</v>
      </c>
      <c r="H1054">
        <v>7.4</v>
      </c>
      <c r="I1054">
        <v>8.4</v>
      </c>
      <c r="J1054">
        <v>290</v>
      </c>
      <c r="K1054">
        <v>523</v>
      </c>
      <c r="L1054">
        <v>1.1000000000000001</v>
      </c>
      <c r="M1054">
        <v>1.6</v>
      </c>
      <c r="N1054">
        <v>0.32</v>
      </c>
      <c r="O1054">
        <v>1.78</v>
      </c>
      <c r="P1054">
        <v>130</v>
      </c>
      <c r="Q1054">
        <v>790</v>
      </c>
      <c r="R1054">
        <v>460</v>
      </c>
      <c r="S1054">
        <v>3500</v>
      </c>
      <c r="V1054">
        <f>River_data[[#This Row],[Dissolved Oxygen Min]]*River_data[[#This Row],[Dissolved Oxygen Max]]/2</f>
        <v>37.200000000000003</v>
      </c>
      <c r="W1054">
        <f>River_data[[#This Row],[BOD Min]]*River_data[[#This Row],[BOD Max]]/2</f>
        <v>0.88000000000000012</v>
      </c>
      <c r="X1054">
        <f>AVERAGE(River_data[[#This Row],[pH Max]]-River_data[[#This Row],[pH Min]])</f>
        <v>1</v>
      </c>
    </row>
    <row r="1055" spans="1:24" x14ac:dyDescent="0.3">
      <c r="A1055">
        <v>3926</v>
      </c>
      <c r="B1055" s="1" t="s">
        <v>1075</v>
      </c>
      <c r="C1055" s="1" t="s">
        <v>959</v>
      </c>
      <c r="D1055">
        <v>23</v>
      </c>
      <c r="E1055">
        <v>28</v>
      </c>
      <c r="F1055">
        <v>4.8</v>
      </c>
      <c r="G1055">
        <v>10.8</v>
      </c>
      <c r="H1055">
        <v>7.5</v>
      </c>
      <c r="I1055">
        <v>8.3000000000000007</v>
      </c>
      <c r="J1055">
        <v>312</v>
      </c>
      <c r="K1055">
        <v>530</v>
      </c>
      <c r="L1055">
        <v>1.4</v>
      </c>
      <c r="M1055">
        <v>1.8</v>
      </c>
      <c r="N1055">
        <v>0.32</v>
      </c>
      <c r="O1055">
        <v>92.02</v>
      </c>
      <c r="P1055">
        <v>130</v>
      </c>
      <c r="Q1055">
        <v>1300</v>
      </c>
      <c r="R1055">
        <v>700</v>
      </c>
      <c r="S1055">
        <v>4900</v>
      </c>
      <c r="V1055">
        <f>River_data[[#This Row],[Dissolved Oxygen Min]]*River_data[[#This Row],[Dissolved Oxygen Max]]/2</f>
        <v>25.92</v>
      </c>
      <c r="W1055">
        <f>River_data[[#This Row],[BOD Min]]*River_data[[#This Row],[BOD Max]]/2</f>
        <v>1.26</v>
      </c>
      <c r="X1055">
        <f>AVERAGE(River_data[[#This Row],[pH Max]]-River_data[[#This Row],[pH Min]])</f>
        <v>0.80000000000000071</v>
      </c>
    </row>
    <row r="1056" spans="1:24" x14ac:dyDescent="0.3">
      <c r="A1056">
        <v>3929</v>
      </c>
      <c r="B1056" s="1" t="s">
        <v>1076</v>
      </c>
      <c r="C1056" s="1" t="s">
        <v>959</v>
      </c>
      <c r="D1056">
        <v>23</v>
      </c>
      <c r="E1056">
        <v>30</v>
      </c>
      <c r="F1056">
        <v>6.6</v>
      </c>
      <c r="G1056">
        <v>10</v>
      </c>
      <c r="H1056">
        <v>7.3</v>
      </c>
      <c r="I1056">
        <v>8.1999999999999993</v>
      </c>
      <c r="J1056">
        <v>280</v>
      </c>
      <c r="K1056">
        <v>520</v>
      </c>
      <c r="L1056">
        <v>1.1000000000000001</v>
      </c>
      <c r="M1056">
        <v>1.6</v>
      </c>
      <c r="N1056">
        <v>0.32</v>
      </c>
      <c r="O1056">
        <v>3.74</v>
      </c>
      <c r="P1056">
        <v>170</v>
      </c>
      <c r="Q1056">
        <v>2300</v>
      </c>
      <c r="R1056">
        <v>700</v>
      </c>
      <c r="S1056">
        <v>4900</v>
      </c>
      <c r="V1056">
        <f>River_data[[#This Row],[Dissolved Oxygen Min]]*River_data[[#This Row],[Dissolved Oxygen Max]]/2</f>
        <v>33</v>
      </c>
      <c r="W1056">
        <f>River_data[[#This Row],[BOD Min]]*River_data[[#This Row],[BOD Max]]/2</f>
        <v>0.88000000000000012</v>
      </c>
      <c r="X1056">
        <f>AVERAGE(River_data[[#This Row],[pH Max]]-River_data[[#This Row],[pH Min]])</f>
        <v>0.89999999999999947</v>
      </c>
    </row>
    <row r="1057" spans="1:24" x14ac:dyDescent="0.3">
      <c r="A1057">
        <v>3930</v>
      </c>
      <c r="B1057" s="1" t="s">
        <v>1077</v>
      </c>
      <c r="C1057" s="1" t="s">
        <v>959</v>
      </c>
      <c r="D1057">
        <v>21</v>
      </c>
      <c r="E1057">
        <v>28</v>
      </c>
      <c r="F1057">
        <v>5.8</v>
      </c>
      <c r="G1057">
        <v>9</v>
      </c>
      <c r="H1057">
        <v>7.2</v>
      </c>
      <c r="I1057">
        <v>7.9</v>
      </c>
      <c r="J1057">
        <v>471</v>
      </c>
      <c r="K1057">
        <v>1052</v>
      </c>
      <c r="L1057">
        <v>1.1000000000000001</v>
      </c>
      <c r="M1057">
        <v>2.5</v>
      </c>
      <c r="N1057">
        <v>0.32</v>
      </c>
      <c r="O1057">
        <v>2.98</v>
      </c>
      <c r="P1057">
        <v>130</v>
      </c>
      <c r="Q1057">
        <v>1100</v>
      </c>
      <c r="R1057">
        <v>330</v>
      </c>
      <c r="S1057">
        <v>3500</v>
      </c>
      <c r="T1057">
        <v>2</v>
      </c>
      <c r="U1057">
        <v>34</v>
      </c>
      <c r="V1057">
        <f>River_data[[#This Row],[Dissolved Oxygen Min]]*River_data[[#This Row],[Dissolved Oxygen Max]]/2</f>
        <v>26.099999999999998</v>
      </c>
      <c r="W1057">
        <f>River_data[[#This Row],[BOD Min]]*River_data[[#This Row],[BOD Max]]/2</f>
        <v>1.375</v>
      </c>
      <c r="X1057">
        <f>AVERAGE(River_data[[#This Row],[pH Max]]-River_data[[#This Row],[pH Min]])</f>
        <v>0.70000000000000018</v>
      </c>
    </row>
    <row r="1058" spans="1:24" x14ac:dyDescent="0.3">
      <c r="A1058">
        <v>1095</v>
      </c>
      <c r="B1058" s="1" t="s">
        <v>1078</v>
      </c>
      <c r="C1058" s="1" t="s">
        <v>938</v>
      </c>
      <c r="D1058">
        <v>20</v>
      </c>
      <c r="E1058">
        <v>29</v>
      </c>
      <c r="F1058">
        <v>5.9</v>
      </c>
      <c r="G1058">
        <v>7.3</v>
      </c>
      <c r="H1058">
        <v>7.1</v>
      </c>
      <c r="I1058">
        <v>8</v>
      </c>
      <c r="J1058">
        <v>157</v>
      </c>
      <c r="K1058">
        <v>302</v>
      </c>
      <c r="L1058">
        <v>2.8</v>
      </c>
      <c r="M1058">
        <v>3.2</v>
      </c>
      <c r="N1058">
        <v>0.3</v>
      </c>
      <c r="O1058">
        <v>2.4</v>
      </c>
      <c r="P1058">
        <v>4</v>
      </c>
      <c r="Q1058">
        <v>46</v>
      </c>
      <c r="R1058">
        <v>38</v>
      </c>
      <c r="S1058">
        <v>68</v>
      </c>
      <c r="T1058">
        <v>2</v>
      </c>
      <c r="U1058">
        <v>2</v>
      </c>
      <c r="V1058">
        <f>River_data[[#This Row],[Dissolved Oxygen Min]]*River_data[[#This Row],[Dissolved Oxygen Max]]/2</f>
        <v>21.535</v>
      </c>
      <c r="W1058">
        <f>River_data[[#This Row],[BOD Min]]*River_data[[#This Row],[BOD Max]]/2</f>
        <v>4.4799999999999995</v>
      </c>
      <c r="X1058">
        <f>AVERAGE(River_data[[#This Row],[pH Max]]-River_data[[#This Row],[pH Min]])</f>
        <v>0.90000000000000036</v>
      </c>
    </row>
    <row r="1059" spans="1:24" x14ac:dyDescent="0.3">
      <c r="A1059">
        <v>2177</v>
      </c>
      <c r="B1059" s="1" t="s">
        <v>1079</v>
      </c>
      <c r="C1059" s="1" t="s">
        <v>938</v>
      </c>
      <c r="D1059">
        <v>20</v>
      </c>
      <c r="E1059">
        <v>28</v>
      </c>
      <c r="F1059">
        <v>5.5</v>
      </c>
      <c r="G1059">
        <v>6.5</v>
      </c>
      <c r="H1059">
        <v>7.2</v>
      </c>
      <c r="I1059">
        <v>7.9</v>
      </c>
      <c r="J1059">
        <v>280</v>
      </c>
      <c r="K1059">
        <v>856</v>
      </c>
      <c r="L1059">
        <v>2.8</v>
      </c>
      <c r="M1059">
        <v>3.6</v>
      </c>
      <c r="N1059">
        <v>0.75</v>
      </c>
      <c r="O1059">
        <v>3.67</v>
      </c>
      <c r="P1059">
        <v>4</v>
      </c>
      <c r="Q1059">
        <v>63</v>
      </c>
      <c r="R1059">
        <v>35</v>
      </c>
      <c r="S1059">
        <v>68</v>
      </c>
      <c r="T1059">
        <v>2</v>
      </c>
      <c r="U1059">
        <v>4</v>
      </c>
      <c r="V1059">
        <f>River_data[[#This Row],[Dissolved Oxygen Min]]*River_data[[#This Row],[Dissolved Oxygen Max]]/2</f>
        <v>17.875</v>
      </c>
      <c r="W1059">
        <f>River_data[[#This Row],[BOD Min]]*River_data[[#This Row],[BOD Max]]/2</f>
        <v>5.04</v>
      </c>
      <c r="X1059">
        <f>AVERAGE(River_data[[#This Row],[pH Max]]-River_data[[#This Row],[pH Min]])</f>
        <v>0.70000000000000018</v>
      </c>
    </row>
    <row r="1060" spans="1:24" x14ac:dyDescent="0.3">
      <c r="A1060">
        <v>2179</v>
      </c>
      <c r="B1060" s="1" t="s">
        <v>1080</v>
      </c>
      <c r="C1060" s="1" t="s">
        <v>938</v>
      </c>
      <c r="D1060">
        <v>20</v>
      </c>
      <c r="E1060">
        <v>28</v>
      </c>
      <c r="F1060">
        <v>4.8</v>
      </c>
      <c r="G1060">
        <v>7.2</v>
      </c>
      <c r="H1060">
        <v>7.2</v>
      </c>
      <c r="I1060">
        <v>7.9</v>
      </c>
      <c r="J1060">
        <v>308</v>
      </c>
      <c r="K1060">
        <v>3317</v>
      </c>
      <c r="L1060">
        <v>3</v>
      </c>
      <c r="M1060">
        <v>4.2</v>
      </c>
      <c r="N1060">
        <v>0.61</v>
      </c>
      <c r="O1060">
        <v>3.19</v>
      </c>
      <c r="P1060">
        <v>4</v>
      </c>
      <c r="Q1060">
        <v>48</v>
      </c>
      <c r="R1060">
        <v>40</v>
      </c>
      <c r="S1060">
        <v>58</v>
      </c>
      <c r="T1060">
        <v>2</v>
      </c>
      <c r="U1060">
        <v>2</v>
      </c>
      <c r="V1060">
        <f>River_data[[#This Row],[Dissolved Oxygen Min]]*River_data[[#This Row],[Dissolved Oxygen Max]]/2</f>
        <v>17.28</v>
      </c>
      <c r="W1060">
        <f>River_data[[#This Row],[BOD Min]]*River_data[[#This Row],[BOD Max]]/2</f>
        <v>6.3000000000000007</v>
      </c>
      <c r="X1060">
        <f>AVERAGE(River_data[[#This Row],[pH Max]]-River_data[[#This Row],[pH Min]])</f>
        <v>0.70000000000000018</v>
      </c>
    </row>
    <row r="1061" spans="1:24" x14ac:dyDescent="0.3">
      <c r="A1061">
        <v>1096</v>
      </c>
      <c r="B1061" s="1" t="s">
        <v>1081</v>
      </c>
      <c r="C1061" s="1" t="s">
        <v>938</v>
      </c>
      <c r="D1061">
        <v>20</v>
      </c>
      <c r="E1061">
        <v>29</v>
      </c>
      <c r="F1061">
        <v>3.5</v>
      </c>
      <c r="G1061">
        <v>6.9</v>
      </c>
      <c r="H1061">
        <v>7.3</v>
      </c>
      <c r="I1061">
        <v>8.1</v>
      </c>
      <c r="J1061">
        <v>272</v>
      </c>
      <c r="K1061">
        <v>578</v>
      </c>
      <c r="L1061">
        <v>3.4</v>
      </c>
      <c r="M1061">
        <v>4.2</v>
      </c>
      <c r="N1061">
        <v>0.3</v>
      </c>
      <c r="O1061">
        <v>3.03</v>
      </c>
      <c r="P1061">
        <v>4</v>
      </c>
      <c r="Q1061">
        <v>63</v>
      </c>
      <c r="R1061">
        <v>48</v>
      </c>
      <c r="S1061">
        <v>110</v>
      </c>
      <c r="T1061">
        <v>2</v>
      </c>
      <c r="U1061">
        <v>2</v>
      </c>
      <c r="V1061">
        <f>River_data[[#This Row],[Dissolved Oxygen Min]]*River_data[[#This Row],[Dissolved Oxygen Max]]/2</f>
        <v>12.075000000000001</v>
      </c>
      <c r="W1061">
        <f>River_data[[#This Row],[BOD Min]]*River_data[[#This Row],[BOD Max]]/2</f>
        <v>7.14</v>
      </c>
      <c r="X1061">
        <f>AVERAGE(River_data[[#This Row],[pH Max]]-River_data[[#This Row],[pH Min]])</f>
        <v>0.79999999999999982</v>
      </c>
    </row>
    <row r="1062" spans="1:24" x14ac:dyDescent="0.3">
      <c r="A1062">
        <v>1211</v>
      </c>
      <c r="B1062" s="1" t="s">
        <v>1082</v>
      </c>
      <c r="C1062" s="1" t="s">
        <v>938</v>
      </c>
      <c r="D1062">
        <v>20</v>
      </c>
      <c r="E1062">
        <v>28</v>
      </c>
      <c r="F1062">
        <v>3.8</v>
      </c>
      <c r="G1062">
        <v>6.8</v>
      </c>
      <c r="H1062">
        <v>6.8</v>
      </c>
      <c r="I1062">
        <v>8</v>
      </c>
      <c r="J1062">
        <v>272</v>
      </c>
      <c r="K1062">
        <v>588</v>
      </c>
      <c r="L1062">
        <v>3</v>
      </c>
      <c r="M1062">
        <v>4.2</v>
      </c>
      <c r="N1062">
        <v>0.59</v>
      </c>
      <c r="O1062">
        <v>4.0999999999999996</v>
      </c>
      <c r="P1062">
        <v>4</v>
      </c>
      <c r="Q1062">
        <v>47</v>
      </c>
      <c r="R1062">
        <v>46</v>
      </c>
      <c r="S1062">
        <v>115</v>
      </c>
      <c r="T1062">
        <v>2</v>
      </c>
      <c r="U1062">
        <v>2</v>
      </c>
      <c r="V1062">
        <f>River_data[[#This Row],[Dissolved Oxygen Min]]*River_data[[#This Row],[Dissolved Oxygen Max]]/2</f>
        <v>12.92</v>
      </c>
      <c r="W1062">
        <f>River_data[[#This Row],[BOD Min]]*River_data[[#This Row],[BOD Max]]/2</f>
        <v>6.3000000000000007</v>
      </c>
      <c r="X1062">
        <f>AVERAGE(River_data[[#This Row],[pH Max]]-River_data[[#This Row],[pH Min]])</f>
        <v>1.2000000000000002</v>
      </c>
    </row>
    <row r="1063" spans="1:24" x14ac:dyDescent="0.3">
      <c r="A1063">
        <v>2180</v>
      </c>
      <c r="B1063" s="1" t="s">
        <v>1083</v>
      </c>
      <c r="C1063" s="1" t="s">
        <v>938</v>
      </c>
      <c r="D1063">
        <v>20</v>
      </c>
      <c r="E1063">
        <v>28</v>
      </c>
      <c r="F1063">
        <v>2.2999999999999998</v>
      </c>
      <c r="G1063">
        <v>6.4</v>
      </c>
      <c r="H1063">
        <v>7.3</v>
      </c>
      <c r="I1063">
        <v>7.9</v>
      </c>
      <c r="J1063">
        <v>239</v>
      </c>
      <c r="K1063">
        <v>545</v>
      </c>
      <c r="L1063">
        <v>3</v>
      </c>
      <c r="M1063">
        <v>8</v>
      </c>
      <c r="N1063">
        <v>0.61</v>
      </c>
      <c r="O1063">
        <v>4.0999999999999996</v>
      </c>
      <c r="P1063">
        <v>4</v>
      </c>
      <c r="Q1063">
        <v>63</v>
      </c>
      <c r="R1063">
        <v>48</v>
      </c>
      <c r="S1063">
        <v>68</v>
      </c>
      <c r="T1063">
        <v>2</v>
      </c>
      <c r="U1063">
        <v>2</v>
      </c>
      <c r="V1063">
        <f>River_data[[#This Row],[Dissolved Oxygen Min]]*River_data[[#This Row],[Dissolved Oxygen Max]]/2</f>
        <v>7.3599999999999994</v>
      </c>
      <c r="W1063">
        <f>River_data[[#This Row],[BOD Min]]*River_data[[#This Row],[BOD Max]]/2</f>
        <v>12</v>
      </c>
      <c r="X1063">
        <f>AVERAGE(River_data[[#This Row],[pH Max]]-River_data[[#This Row],[pH Min]])</f>
        <v>0.60000000000000053</v>
      </c>
    </row>
    <row r="1064" spans="1:24" x14ac:dyDescent="0.3">
      <c r="A1064">
        <v>2181</v>
      </c>
      <c r="B1064" s="1" t="s">
        <v>1084</v>
      </c>
      <c r="C1064" s="1" t="s">
        <v>938</v>
      </c>
      <c r="D1064">
        <v>20</v>
      </c>
      <c r="E1064">
        <v>28</v>
      </c>
      <c r="F1064">
        <v>5.4</v>
      </c>
      <c r="G1064">
        <v>7.1</v>
      </c>
      <c r="H1064">
        <v>7.2</v>
      </c>
      <c r="I1064">
        <v>7.9</v>
      </c>
      <c r="J1064">
        <v>243</v>
      </c>
      <c r="K1064">
        <v>3288</v>
      </c>
      <c r="L1064">
        <v>3</v>
      </c>
      <c r="M1064">
        <v>3.8</v>
      </c>
      <c r="N1064">
        <v>0.57999999999999996</v>
      </c>
      <c r="O1064">
        <v>4.3600000000000003</v>
      </c>
      <c r="P1064">
        <v>4</v>
      </c>
      <c r="Q1064">
        <v>43</v>
      </c>
      <c r="R1064">
        <v>43</v>
      </c>
      <c r="S1064">
        <v>55</v>
      </c>
      <c r="T1064">
        <v>2</v>
      </c>
      <c r="U1064">
        <v>4</v>
      </c>
      <c r="V1064">
        <f>River_data[[#This Row],[Dissolved Oxygen Min]]*River_data[[#This Row],[Dissolved Oxygen Max]]/2</f>
        <v>19.170000000000002</v>
      </c>
      <c r="W1064">
        <f>River_data[[#This Row],[BOD Min]]*River_data[[#This Row],[BOD Max]]/2</f>
        <v>5.6999999999999993</v>
      </c>
      <c r="X1064">
        <f>AVERAGE(River_data[[#This Row],[pH Max]]-River_data[[#This Row],[pH Min]])</f>
        <v>0.70000000000000018</v>
      </c>
    </row>
    <row r="1065" spans="1:24" x14ac:dyDescent="0.3">
      <c r="A1065">
        <v>2182</v>
      </c>
      <c r="B1065" s="1" t="s">
        <v>1085</v>
      </c>
      <c r="C1065" s="1" t="s">
        <v>938</v>
      </c>
      <c r="D1065">
        <v>20</v>
      </c>
      <c r="E1065">
        <v>28</v>
      </c>
      <c r="F1065">
        <v>5.5</v>
      </c>
      <c r="G1065">
        <v>6.4</v>
      </c>
      <c r="H1065">
        <v>7.2</v>
      </c>
      <c r="I1065">
        <v>8</v>
      </c>
      <c r="J1065">
        <v>238</v>
      </c>
      <c r="K1065">
        <v>761</v>
      </c>
      <c r="L1065">
        <v>2.8</v>
      </c>
      <c r="M1065">
        <v>3.8</v>
      </c>
      <c r="N1065">
        <v>0.63</v>
      </c>
      <c r="O1065">
        <v>5.4</v>
      </c>
      <c r="P1065">
        <v>4</v>
      </c>
      <c r="Q1065">
        <v>48</v>
      </c>
      <c r="R1065">
        <v>40</v>
      </c>
      <c r="S1065">
        <v>58</v>
      </c>
      <c r="T1065">
        <v>2</v>
      </c>
      <c r="U1065">
        <v>2</v>
      </c>
      <c r="V1065">
        <f>River_data[[#This Row],[Dissolved Oxygen Min]]*River_data[[#This Row],[Dissolved Oxygen Max]]/2</f>
        <v>17.600000000000001</v>
      </c>
      <c r="W1065">
        <f>River_data[[#This Row],[BOD Min]]*River_data[[#This Row],[BOD Max]]/2</f>
        <v>5.3199999999999994</v>
      </c>
      <c r="X1065">
        <f>AVERAGE(River_data[[#This Row],[pH Max]]-River_data[[#This Row],[pH Min]])</f>
        <v>0.79999999999999982</v>
      </c>
    </row>
    <row r="1066" spans="1:24" x14ac:dyDescent="0.3">
      <c r="A1066">
        <v>2183</v>
      </c>
      <c r="B1066" s="1" t="s">
        <v>1086</v>
      </c>
      <c r="C1066" s="1" t="s">
        <v>938</v>
      </c>
      <c r="D1066">
        <v>20</v>
      </c>
      <c r="E1066">
        <v>28</v>
      </c>
      <c r="F1066">
        <v>5.4</v>
      </c>
      <c r="G1066">
        <v>6.8</v>
      </c>
      <c r="H1066">
        <v>7.1</v>
      </c>
      <c r="I1066">
        <v>8</v>
      </c>
      <c r="J1066">
        <v>217</v>
      </c>
      <c r="K1066">
        <v>812</v>
      </c>
      <c r="L1066">
        <v>3</v>
      </c>
      <c r="M1066">
        <v>3.8</v>
      </c>
      <c r="N1066">
        <v>0.5</v>
      </c>
      <c r="O1066">
        <v>3.53</v>
      </c>
      <c r="P1066">
        <v>4</v>
      </c>
      <c r="Q1066">
        <v>58</v>
      </c>
      <c r="R1066">
        <v>40</v>
      </c>
      <c r="S1066">
        <v>58</v>
      </c>
      <c r="T1066">
        <v>2</v>
      </c>
      <c r="U1066">
        <v>2</v>
      </c>
      <c r="V1066">
        <f>River_data[[#This Row],[Dissolved Oxygen Min]]*River_data[[#This Row],[Dissolved Oxygen Max]]/2</f>
        <v>18.36</v>
      </c>
      <c r="W1066">
        <f>River_data[[#This Row],[BOD Min]]*River_data[[#This Row],[BOD Max]]/2</f>
        <v>5.6999999999999993</v>
      </c>
      <c r="X1066">
        <f>AVERAGE(River_data[[#This Row],[pH Max]]-River_data[[#This Row],[pH Min]])</f>
        <v>0.90000000000000036</v>
      </c>
    </row>
    <row r="1067" spans="1:24" x14ac:dyDescent="0.3">
      <c r="A1067">
        <v>2160</v>
      </c>
      <c r="B1067" s="1" t="s">
        <v>1087</v>
      </c>
      <c r="C1067" s="1" t="s">
        <v>938</v>
      </c>
      <c r="D1067">
        <v>22</v>
      </c>
      <c r="E1067">
        <v>36</v>
      </c>
      <c r="F1067">
        <v>4.4000000000000004</v>
      </c>
      <c r="G1067">
        <v>7.3</v>
      </c>
      <c r="H1067">
        <v>7.9</v>
      </c>
      <c r="I1067">
        <v>9</v>
      </c>
      <c r="J1067">
        <v>630</v>
      </c>
      <c r="K1067">
        <v>2614</v>
      </c>
      <c r="L1067">
        <v>3</v>
      </c>
      <c r="M1067">
        <v>8</v>
      </c>
      <c r="N1067">
        <v>0.3</v>
      </c>
      <c r="O1067">
        <v>7.5</v>
      </c>
      <c r="P1067">
        <v>2</v>
      </c>
      <c r="Q1067">
        <v>35</v>
      </c>
      <c r="R1067">
        <v>2</v>
      </c>
      <c r="S1067">
        <v>240</v>
      </c>
      <c r="T1067">
        <v>2</v>
      </c>
      <c r="U1067">
        <v>2</v>
      </c>
      <c r="V1067">
        <f>River_data[[#This Row],[Dissolved Oxygen Min]]*River_data[[#This Row],[Dissolved Oxygen Max]]/2</f>
        <v>16.060000000000002</v>
      </c>
      <c r="W1067">
        <f>River_data[[#This Row],[BOD Min]]*River_data[[#This Row],[BOD Max]]/2</f>
        <v>12</v>
      </c>
      <c r="X1067">
        <f>AVERAGE(River_data[[#This Row],[pH Max]]-River_data[[#This Row],[pH Min]])</f>
        <v>1.0999999999999996</v>
      </c>
    </row>
    <row r="1068" spans="1:24" x14ac:dyDescent="0.3">
      <c r="A1068">
        <v>2158</v>
      </c>
      <c r="B1068" s="1" t="s">
        <v>1088</v>
      </c>
      <c r="C1068" s="1" t="s">
        <v>938</v>
      </c>
      <c r="D1068">
        <v>22</v>
      </c>
      <c r="E1068">
        <v>36</v>
      </c>
      <c r="F1068">
        <v>6</v>
      </c>
      <c r="G1068">
        <v>7.3</v>
      </c>
      <c r="H1068">
        <v>8.5</v>
      </c>
      <c r="I1068">
        <v>9</v>
      </c>
      <c r="J1068">
        <v>612</v>
      </c>
      <c r="K1068">
        <v>1273</v>
      </c>
      <c r="L1068">
        <v>2.4</v>
      </c>
      <c r="M1068">
        <v>7.5</v>
      </c>
      <c r="N1068">
        <v>0.3</v>
      </c>
      <c r="O1068">
        <v>1.45</v>
      </c>
      <c r="P1068">
        <v>2</v>
      </c>
      <c r="Q1068">
        <v>17</v>
      </c>
      <c r="R1068">
        <v>2</v>
      </c>
      <c r="S1068">
        <v>47</v>
      </c>
      <c r="T1068">
        <v>2</v>
      </c>
      <c r="U1068">
        <v>2</v>
      </c>
      <c r="V1068">
        <f>River_data[[#This Row],[Dissolved Oxygen Min]]*River_data[[#This Row],[Dissolved Oxygen Max]]/2</f>
        <v>21.9</v>
      </c>
      <c r="W1068">
        <f>River_data[[#This Row],[BOD Min]]*River_data[[#This Row],[BOD Max]]/2</f>
        <v>9</v>
      </c>
      <c r="X1068">
        <f>AVERAGE(River_data[[#This Row],[pH Max]]-River_data[[#This Row],[pH Min]])</f>
        <v>0.5</v>
      </c>
    </row>
    <row r="1069" spans="1:24" x14ac:dyDescent="0.3">
      <c r="A1069">
        <v>1312</v>
      </c>
      <c r="B1069" s="1" t="s">
        <v>1089</v>
      </c>
      <c r="C1069" s="1" t="s">
        <v>938</v>
      </c>
      <c r="D1069">
        <v>22</v>
      </c>
      <c r="E1069">
        <v>36</v>
      </c>
      <c r="F1069">
        <v>5.8</v>
      </c>
      <c r="G1069">
        <v>7.2</v>
      </c>
      <c r="H1069">
        <v>8.1999999999999993</v>
      </c>
      <c r="I1069">
        <v>8.9</v>
      </c>
      <c r="J1069">
        <v>630</v>
      </c>
      <c r="K1069">
        <v>1250</v>
      </c>
      <c r="L1069">
        <v>2.4</v>
      </c>
      <c r="M1069">
        <v>6</v>
      </c>
      <c r="N1069">
        <v>0.3</v>
      </c>
      <c r="O1069">
        <v>1.36</v>
      </c>
      <c r="P1069">
        <v>2</v>
      </c>
      <c r="Q1069">
        <v>9</v>
      </c>
      <c r="R1069">
        <v>2</v>
      </c>
      <c r="S1069">
        <v>47</v>
      </c>
      <c r="T1069">
        <v>2</v>
      </c>
      <c r="U1069">
        <v>2</v>
      </c>
      <c r="V1069">
        <f>River_data[[#This Row],[Dissolved Oxygen Min]]*River_data[[#This Row],[Dissolved Oxygen Max]]/2</f>
        <v>20.88</v>
      </c>
      <c r="W1069">
        <f>River_data[[#This Row],[BOD Min]]*River_data[[#This Row],[BOD Max]]/2</f>
        <v>7.1999999999999993</v>
      </c>
      <c r="X1069">
        <f>AVERAGE(River_data[[#This Row],[pH Max]]-River_data[[#This Row],[pH Min]])</f>
        <v>0.70000000000000107</v>
      </c>
    </row>
    <row r="1070" spans="1:24" x14ac:dyDescent="0.3">
      <c r="A1070">
        <v>2159</v>
      </c>
      <c r="B1070" s="1" t="s">
        <v>1090</v>
      </c>
      <c r="C1070" s="1" t="s">
        <v>938</v>
      </c>
      <c r="D1070">
        <v>22</v>
      </c>
      <c r="E1070">
        <v>36</v>
      </c>
      <c r="F1070">
        <v>6</v>
      </c>
      <c r="G1070">
        <v>7.3</v>
      </c>
      <c r="H1070">
        <v>8.5</v>
      </c>
      <c r="I1070">
        <v>9</v>
      </c>
      <c r="J1070">
        <v>652</v>
      </c>
      <c r="K1070">
        <v>1232</v>
      </c>
      <c r="L1070">
        <v>2.6</v>
      </c>
      <c r="M1070">
        <v>8.5</v>
      </c>
      <c r="N1070">
        <v>0.3</v>
      </c>
      <c r="O1070">
        <v>2.4700000000000002</v>
      </c>
      <c r="P1070">
        <v>2</v>
      </c>
      <c r="Q1070">
        <v>14</v>
      </c>
      <c r="R1070">
        <v>2</v>
      </c>
      <c r="S1070">
        <v>140</v>
      </c>
      <c r="T1070">
        <v>2</v>
      </c>
      <c r="U1070">
        <v>2</v>
      </c>
      <c r="V1070">
        <f>River_data[[#This Row],[Dissolved Oxygen Min]]*River_data[[#This Row],[Dissolved Oxygen Max]]/2</f>
        <v>21.9</v>
      </c>
      <c r="W1070">
        <f>River_data[[#This Row],[BOD Min]]*River_data[[#This Row],[BOD Max]]/2</f>
        <v>11.05</v>
      </c>
      <c r="X1070">
        <f>AVERAGE(River_data[[#This Row],[pH Max]]-River_data[[#This Row],[pH Min]])</f>
        <v>0.5</v>
      </c>
    </row>
    <row r="1071" spans="1:24" x14ac:dyDescent="0.3">
      <c r="A1071">
        <v>2161</v>
      </c>
      <c r="B1071" s="1" t="s">
        <v>1091</v>
      </c>
      <c r="C1071" s="1" t="s">
        <v>938</v>
      </c>
      <c r="D1071">
        <v>23</v>
      </c>
      <c r="E1071">
        <v>30</v>
      </c>
      <c r="F1071">
        <v>3</v>
      </c>
      <c r="G1071">
        <v>7.1</v>
      </c>
      <c r="H1071">
        <v>8</v>
      </c>
      <c r="I1071">
        <v>8.6999999999999993</v>
      </c>
      <c r="J1071">
        <v>456</v>
      </c>
      <c r="K1071">
        <v>9153</v>
      </c>
      <c r="L1071">
        <v>3</v>
      </c>
      <c r="M1071">
        <v>12</v>
      </c>
      <c r="N1071">
        <v>0.45</v>
      </c>
      <c r="O1071">
        <v>7.12</v>
      </c>
      <c r="P1071">
        <v>2</v>
      </c>
      <c r="Q1071">
        <v>25</v>
      </c>
      <c r="R1071">
        <v>2</v>
      </c>
      <c r="S1071">
        <v>170</v>
      </c>
      <c r="T1071">
        <v>2</v>
      </c>
      <c r="U1071">
        <v>2</v>
      </c>
      <c r="V1071">
        <f>River_data[[#This Row],[Dissolved Oxygen Min]]*River_data[[#This Row],[Dissolved Oxygen Max]]/2</f>
        <v>10.649999999999999</v>
      </c>
      <c r="W1071">
        <f>River_data[[#This Row],[BOD Min]]*River_data[[#This Row],[BOD Max]]/2</f>
        <v>18</v>
      </c>
      <c r="X1071">
        <f>AVERAGE(River_data[[#This Row],[pH Max]]-River_data[[#This Row],[pH Min]])</f>
        <v>0.69999999999999929</v>
      </c>
    </row>
    <row r="1072" spans="1:24" x14ac:dyDescent="0.3">
      <c r="A1072">
        <v>2157</v>
      </c>
      <c r="B1072" s="1" t="s">
        <v>1092</v>
      </c>
      <c r="C1072" s="1" t="s">
        <v>938</v>
      </c>
      <c r="D1072">
        <v>19</v>
      </c>
      <c r="E1072">
        <v>23</v>
      </c>
      <c r="F1072">
        <v>4.0999999999999996</v>
      </c>
      <c r="G1072">
        <v>7.2</v>
      </c>
      <c r="H1072">
        <v>7.9</v>
      </c>
      <c r="I1072">
        <v>8</v>
      </c>
      <c r="J1072">
        <v>419</v>
      </c>
      <c r="K1072">
        <v>546</v>
      </c>
      <c r="L1072">
        <v>3</v>
      </c>
      <c r="M1072">
        <v>6</v>
      </c>
      <c r="N1072">
        <v>0.35</v>
      </c>
      <c r="O1072">
        <v>3.17</v>
      </c>
      <c r="P1072">
        <v>2</v>
      </c>
      <c r="Q1072">
        <v>2</v>
      </c>
      <c r="R1072">
        <v>2</v>
      </c>
      <c r="S1072">
        <v>2</v>
      </c>
      <c r="T1072">
        <v>2</v>
      </c>
      <c r="U1072">
        <v>2</v>
      </c>
      <c r="V1072">
        <f>River_data[[#This Row],[Dissolved Oxygen Min]]*River_data[[#This Row],[Dissolved Oxygen Max]]/2</f>
        <v>14.76</v>
      </c>
      <c r="W1072">
        <f>River_data[[#This Row],[BOD Min]]*River_data[[#This Row],[BOD Max]]/2</f>
        <v>9</v>
      </c>
      <c r="X1072">
        <f>AVERAGE(River_data[[#This Row],[pH Max]]-River_data[[#This Row],[pH Min]])</f>
        <v>9.9999999999999645E-2</v>
      </c>
    </row>
    <row r="1073" spans="1:24" x14ac:dyDescent="0.3">
      <c r="A1073">
        <v>12</v>
      </c>
      <c r="B1073" s="1" t="s">
        <v>1093</v>
      </c>
      <c r="C1073" s="1" t="s">
        <v>938</v>
      </c>
      <c r="D1073">
        <v>18</v>
      </c>
      <c r="E1073">
        <v>24</v>
      </c>
      <c r="F1073">
        <v>2.9</v>
      </c>
      <c r="G1073">
        <v>7.4</v>
      </c>
      <c r="H1073">
        <v>7.4</v>
      </c>
      <c r="I1073">
        <v>8.8000000000000007</v>
      </c>
      <c r="J1073">
        <v>361</v>
      </c>
      <c r="K1073">
        <v>4548</v>
      </c>
      <c r="L1073">
        <v>2.4</v>
      </c>
      <c r="M1073">
        <v>11</v>
      </c>
      <c r="N1073">
        <v>0.41</v>
      </c>
      <c r="O1073">
        <v>3.48</v>
      </c>
      <c r="P1073">
        <v>2</v>
      </c>
      <c r="Q1073">
        <v>26</v>
      </c>
      <c r="R1073">
        <v>2</v>
      </c>
      <c r="S1073">
        <v>280</v>
      </c>
      <c r="T1073">
        <v>2</v>
      </c>
      <c r="U1073">
        <v>2</v>
      </c>
      <c r="V1073">
        <f>River_data[[#This Row],[Dissolved Oxygen Min]]*River_data[[#This Row],[Dissolved Oxygen Max]]/2</f>
        <v>10.73</v>
      </c>
      <c r="W1073">
        <f>River_data[[#This Row],[BOD Min]]*River_data[[#This Row],[BOD Max]]/2</f>
        <v>13.2</v>
      </c>
      <c r="X1073">
        <f>AVERAGE(River_data[[#This Row],[pH Max]]-River_data[[#This Row],[pH Min]])</f>
        <v>1.4000000000000004</v>
      </c>
    </row>
    <row r="1074" spans="1:24" x14ac:dyDescent="0.3">
      <c r="A1074">
        <v>1209</v>
      </c>
      <c r="B1074" s="1" t="s">
        <v>1094</v>
      </c>
      <c r="C1074" s="1" t="s">
        <v>938</v>
      </c>
      <c r="D1074">
        <v>18</v>
      </c>
      <c r="E1074">
        <v>34</v>
      </c>
      <c r="F1074">
        <v>5.5</v>
      </c>
      <c r="G1074">
        <v>7.2</v>
      </c>
      <c r="H1074">
        <v>8.1</v>
      </c>
      <c r="I1074">
        <v>8.6999999999999993</v>
      </c>
      <c r="J1074">
        <v>376</v>
      </c>
      <c r="K1074">
        <v>7952</v>
      </c>
      <c r="L1074">
        <v>2.6</v>
      </c>
      <c r="M1074">
        <v>6.5</v>
      </c>
      <c r="N1074">
        <v>0.31</v>
      </c>
      <c r="O1074">
        <v>4.32</v>
      </c>
      <c r="P1074">
        <v>2</v>
      </c>
      <c r="Q1074">
        <v>33</v>
      </c>
      <c r="R1074">
        <v>2</v>
      </c>
      <c r="S1074">
        <v>170</v>
      </c>
      <c r="T1074">
        <v>2</v>
      </c>
      <c r="U1074">
        <v>2</v>
      </c>
      <c r="V1074">
        <f>River_data[[#This Row],[Dissolved Oxygen Min]]*River_data[[#This Row],[Dissolved Oxygen Max]]/2</f>
        <v>19.8</v>
      </c>
      <c r="W1074">
        <f>River_data[[#This Row],[BOD Min]]*River_data[[#This Row],[BOD Max]]/2</f>
        <v>8.4500000000000011</v>
      </c>
      <c r="X1074">
        <f>AVERAGE(River_data[[#This Row],[pH Max]]-River_data[[#This Row],[pH Min]])</f>
        <v>0.59999999999999964</v>
      </c>
    </row>
    <row r="1075" spans="1:24" x14ac:dyDescent="0.3">
      <c r="A1075">
        <v>1210</v>
      </c>
      <c r="B1075" s="1" t="s">
        <v>1095</v>
      </c>
      <c r="C1075" s="1" t="s">
        <v>938</v>
      </c>
      <c r="D1075">
        <v>19</v>
      </c>
      <c r="E1075">
        <v>35</v>
      </c>
      <c r="F1075">
        <v>6.4</v>
      </c>
      <c r="G1075">
        <v>7.2</v>
      </c>
      <c r="H1075">
        <v>8.1</v>
      </c>
      <c r="I1075">
        <v>8.6999999999999993</v>
      </c>
      <c r="J1075">
        <v>375</v>
      </c>
      <c r="K1075">
        <v>7229</v>
      </c>
      <c r="L1075">
        <v>2.8</v>
      </c>
      <c r="M1075">
        <v>5</v>
      </c>
      <c r="N1075">
        <v>0.3</v>
      </c>
      <c r="O1075">
        <v>16.100000000000001</v>
      </c>
      <c r="P1075">
        <v>2</v>
      </c>
      <c r="Q1075">
        <v>22</v>
      </c>
      <c r="R1075">
        <v>2</v>
      </c>
      <c r="S1075">
        <v>170</v>
      </c>
      <c r="T1075">
        <v>2</v>
      </c>
      <c r="U1075">
        <v>2</v>
      </c>
      <c r="V1075">
        <f>River_data[[#This Row],[Dissolved Oxygen Min]]*River_data[[#This Row],[Dissolved Oxygen Max]]/2</f>
        <v>23.040000000000003</v>
      </c>
      <c r="W1075">
        <f>River_data[[#This Row],[BOD Min]]*River_data[[#This Row],[BOD Max]]/2</f>
        <v>7</v>
      </c>
      <c r="X1075">
        <f>AVERAGE(River_data[[#This Row],[pH Max]]-River_data[[#This Row],[pH Min]])</f>
        <v>0.59999999999999964</v>
      </c>
    </row>
    <row r="1076" spans="1:24" x14ac:dyDescent="0.3">
      <c r="A1076">
        <v>30049</v>
      </c>
      <c r="B1076" s="1" t="s">
        <v>1096</v>
      </c>
      <c r="C1076" s="1" t="s">
        <v>938</v>
      </c>
      <c r="D1076">
        <v>21</v>
      </c>
      <c r="E1076">
        <v>21</v>
      </c>
      <c r="F1076">
        <v>5.3</v>
      </c>
      <c r="G1076">
        <v>5.3</v>
      </c>
      <c r="H1076">
        <v>8.3000000000000007</v>
      </c>
      <c r="I1076">
        <v>8.3000000000000007</v>
      </c>
      <c r="J1076">
        <v>530</v>
      </c>
      <c r="K1076">
        <v>530</v>
      </c>
      <c r="L1076">
        <v>4.8</v>
      </c>
      <c r="M1076">
        <v>4.8</v>
      </c>
      <c r="N1076">
        <v>1.17</v>
      </c>
      <c r="O1076">
        <v>1.17</v>
      </c>
      <c r="P1076">
        <v>25</v>
      </c>
      <c r="Q1076">
        <v>25</v>
      </c>
      <c r="R1076">
        <v>275</v>
      </c>
      <c r="S1076">
        <v>275</v>
      </c>
      <c r="T1076">
        <v>7</v>
      </c>
      <c r="U1076">
        <v>7</v>
      </c>
      <c r="V1076">
        <f>River_data[[#This Row],[Dissolved Oxygen Min]]*River_data[[#This Row],[Dissolved Oxygen Max]]/2</f>
        <v>14.045</v>
      </c>
      <c r="W1076">
        <f>River_data[[#This Row],[BOD Min]]*River_data[[#This Row],[BOD Max]]/2</f>
        <v>11.52</v>
      </c>
      <c r="X1076">
        <f>AVERAGE(River_data[[#This Row],[pH Max]]-River_data[[#This Row],[pH Min]])</f>
        <v>0</v>
      </c>
    </row>
    <row r="1077" spans="1:24" x14ac:dyDescent="0.3">
      <c r="A1077">
        <v>2360</v>
      </c>
      <c r="B1077" s="1" t="s">
        <v>1097</v>
      </c>
      <c r="C1077" s="1" t="s">
        <v>1098</v>
      </c>
      <c r="D1077">
        <v>22</v>
      </c>
      <c r="E1077">
        <v>24</v>
      </c>
      <c r="F1077">
        <v>6.5</v>
      </c>
      <c r="G1077">
        <v>7.9</v>
      </c>
      <c r="H1077">
        <v>7.1</v>
      </c>
      <c r="I1077">
        <v>8.3000000000000007</v>
      </c>
      <c r="J1077">
        <v>574</v>
      </c>
      <c r="K1077">
        <v>1054</v>
      </c>
      <c r="L1077">
        <v>2</v>
      </c>
      <c r="M1077">
        <v>4.2</v>
      </c>
      <c r="N1077">
        <v>12.07</v>
      </c>
      <c r="O1077">
        <v>28.06</v>
      </c>
      <c r="P1077">
        <v>5</v>
      </c>
      <c r="Q1077">
        <v>6</v>
      </c>
      <c r="R1077">
        <v>18</v>
      </c>
      <c r="S1077">
        <v>23</v>
      </c>
      <c r="T1077">
        <v>4</v>
      </c>
      <c r="U1077">
        <v>5</v>
      </c>
      <c r="V1077">
        <f>River_data[[#This Row],[Dissolved Oxygen Min]]*River_data[[#This Row],[Dissolved Oxygen Max]]/2</f>
        <v>25.675000000000001</v>
      </c>
      <c r="W1077">
        <f>River_data[[#This Row],[BOD Min]]*River_data[[#This Row],[BOD Max]]/2</f>
        <v>4.2</v>
      </c>
      <c r="X1077">
        <f>AVERAGE(River_data[[#This Row],[pH Max]]-River_data[[#This Row],[pH Min]])</f>
        <v>1.2000000000000011</v>
      </c>
    </row>
    <row r="1078" spans="1:24" x14ac:dyDescent="0.3">
      <c r="A1078">
        <v>4227</v>
      </c>
      <c r="B1078" s="1" t="s">
        <v>1099</v>
      </c>
      <c r="C1078" s="1" t="s">
        <v>1098</v>
      </c>
      <c r="D1078">
        <v>20</v>
      </c>
      <c r="E1078">
        <v>27</v>
      </c>
      <c r="F1078">
        <v>6.2</v>
      </c>
      <c r="G1078">
        <v>7.8</v>
      </c>
      <c r="H1078">
        <v>7.1</v>
      </c>
      <c r="I1078">
        <v>8.4</v>
      </c>
      <c r="J1078">
        <v>406</v>
      </c>
      <c r="K1078">
        <v>913</v>
      </c>
      <c r="L1078">
        <v>2.8</v>
      </c>
      <c r="M1078">
        <v>4.2</v>
      </c>
      <c r="N1078">
        <v>10.06</v>
      </c>
      <c r="O1078">
        <v>26.08</v>
      </c>
      <c r="P1078">
        <v>6</v>
      </c>
      <c r="Q1078">
        <v>6</v>
      </c>
      <c r="R1078">
        <v>17</v>
      </c>
      <c r="S1078">
        <v>25</v>
      </c>
      <c r="T1078">
        <v>2</v>
      </c>
      <c r="U1078">
        <v>6</v>
      </c>
      <c r="V1078">
        <f>River_data[[#This Row],[Dissolved Oxygen Min]]*River_data[[#This Row],[Dissolved Oxygen Max]]/2</f>
        <v>24.18</v>
      </c>
      <c r="W1078">
        <f>River_data[[#This Row],[BOD Min]]*River_data[[#This Row],[BOD Max]]/2</f>
        <v>5.88</v>
      </c>
      <c r="X1078">
        <f>AVERAGE(River_data[[#This Row],[pH Max]]-River_data[[#This Row],[pH Min]])</f>
        <v>1.3000000000000007</v>
      </c>
    </row>
    <row r="1079" spans="1:24" x14ac:dyDescent="0.3">
      <c r="A1079">
        <v>5105</v>
      </c>
      <c r="B1079" s="1" t="s">
        <v>1100</v>
      </c>
      <c r="C1079" s="1" t="s">
        <v>1098</v>
      </c>
      <c r="D1079">
        <v>22</v>
      </c>
      <c r="E1079">
        <v>25</v>
      </c>
      <c r="F1079">
        <v>6.1</v>
      </c>
      <c r="G1079">
        <v>7.5</v>
      </c>
      <c r="H1079">
        <v>7.2</v>
      </c>
      <c r="I1079">
        <v>8.3000000000000007</v>
      </c>
      <c r="J1079">
        <v>610</v>
      </c>
      <c r="K1079">
        <v>1225</v>
      </c>
      <c r="L1079">
        <v>2.6</v>
      </c>
      <c r="M1079">
        <v>4.2</v>
      </c>
      <c r="N1079">
        <v>11.07</v>
      </c>
      <c r="O1079">
        <v>36.15</v>
      </c>
      <c r="P1079">
        <v>6</v>
      </c>
      <c r="Q1079">
        <v>6</v>
      </c>
      <c r="R1079">
        <v>20</v>
      </c>
      <c r="S1079">
        <v>27</v>
      </c>
      <c r="T1079">
        <v>3</v>
      </c>
      <c r="U1079">
        <v>4</v>
      </c>
      <c r="V1079">
        <f>River_data[[#This Row],[Dissolved Oxygen Min]]*River_data[[#This Row],[Dissolved Oxygen Max]]/2</f>
        <v>22.875</v>
      </c>
      <c r="W1079">
        <f>River_data[[#This Row],[BOD Min]]*River_data[[#This Row],[BOD Max]]/2</f>
        <v>5.4600000000000009</v>
      </c>
      <c r="X1079">
        <f>AVERAGE(River_data[[#This Row],[pH Max]]-River_data[[#This Row],[pH Min]])</f>
        <v>1.1000000000000005</v>
      </c>
    </row>
    <row r="1080" spans="1:24" x14ac:dyDescent="0.3">
      <c r="A1080">
        <v>13</v>
      </c>
      <c r="B1080" s="1" t="s">
        <v>1101</v>
      </c>
      <c r="C1080" s="1" t="s">
        <v>1098</v>
      </c>
      <c r="D1080">
        <v>25</v>
      </c>
      <c r="E1080">
        <v>27</v>
      </c>
      <c r="F1080">
        <v>0.3</v>
      </c>
      <c r="G1080">
        <v>6.2</v>
      </c>
      <c r="H1080">
        <v>7.4</v>
      </c>
      <c r="I1080">
        <v>8.1999999999999993</v>
      </c>
      <c r="J1080">
        <v>360</v>
      </c>
      <c r="K1080">
        <v>1309</v>
      </c>
      <c r="L1080">
        <v>1</v>
      </c>
      <c r="M1080">
        <v>8</v>
      </c>
      <c r="N1080">
        <v>0.72</v>
      </c>
      <c r="O1080">
        <v>4.4000000000000004</v>
      </c>
      <c r="P1080">
        <v>2</v>
      </c>
      <c r="Q1080">
        <v>17</v>
      </c>
      <c r="R1080">
        <v>14</v>
      </c>
      <c r="S1080">
        <v>540</v>
      </c>
      <c r="T1080">
        <v>2</v>
      </c>
      <c r="U1080">
        <v>4</v>
      </c>
      <c r="V1080">
        <f>River_data[[#This Row],[Dissolved Oxygen Min]]*River_data[[#This Row],[Dissolved Oxygen Max]]/2</f>
        <v>0.92999999999999994</v>
      </c>
      <c r="W1080">
        <f>River_data[[#This Row],[BOD Min]]*River_data[[#This Row],[BOD Max]]/2</f>
        <v>4</v>
      </c>
      <c r="X1080">
        <f>AVERAGE(River_data[[#This Row],[pH Max]]-River_data[[#This Row],[pH Min]])</f>
        <v>0.79999999999999893</v>
      </c>
    </row>
    <row r="1081" spans="1:24" x14ac:dyDescent="0.3">
      <c r="A1081">
        <v>2361</v>
      </c>
      <c r="B1081" s="1" t="s">
        <v>1102</v>
      </c>
      <c r="C1081" s="1" t="s">
        <v>1098</v>
      </c>
      <c r="D1081">
        <v>24</v>
      </c>
      <c r="E1081">
        <v>26</v>
      </c>
      <c r="F1081">
        <v>5.4</v>
      </c>
      <c r="G1081">
        <v>6.2</v>
      </c>
      <c r="H1081">
        <v>7.2</v>
      </c>
      <c r="I1081">
        <v>8.1999999999999993</v>
      </c>
      <c r="J1081">
        <v>364</v>
      </c>
      <c r="K1081">
        <v>1398</v>
      </c>
      <c r="L1081">
        <v>1</v>
      </c>
      <c r="M1081">
        <v>2.4</v>
      </c>
      <c r="N1081">
        <v>0.62</v>
      </c>
      <c r="O1081">
        <v>2.6</v>
      </c>
      <c r="P1081">
        <v>2</v>
      </c>
      <c r="Q1081">
        <v>2</v>
      </c>
      <c r="R1081">
        <v>24</v>
      </c>
      <c r="S1081">
        <v>43</v>
      </c>
      <c r="T1081">
        <v>2</v>
      </c>
      <c r="U1081">
        <v>2</v>
      </c>
      <c r="V1081">
        <f>River_data[[#This Row],[Dissolved Oxygen Min]]*River_data[[#This Row],[Dissolved Oxygen Max]]/2</f>
        <v>16.740000000000002</v>
      </c>
      <c r="W1081">
        <f>River_data[[#This Row],[BOD Min]]*River_data[[#This Row],[BOD Max]]/2</f>
        <v>1.2</v>
      </c>
      <c r="X1081">
        <f>AVERAGE(River_data[[#This Row],[pH Max]]-River_data[[#This Row],[pH Min]])</f>
        <v>0.99999999999999911</v>
      </c>
    </row>
    <row r="1082" spans="1:24" x14ac:dyDescent="0.3">
      <c r="A1082">
        <v>2362</v>
      </c>
      <c r="B1082" s="1" t="s">
        <v>1103</v>
      </c>
      <c r="C1082" s="1" t="s">
        <v>1098</v>
      </c>
      <c r="D1082">
        <v>24</v>
      </c>
      <c r="E1082">
        <v>28</v>
      </c>
      <c r="F1082">
        <v>5.2</v>
      </c>
      <c r="G1082">
        <v>6.1</v>
      </c>
      <c r="H1082">
        <v>7.3</v>
      </c>
      <c r="I1082">
        <v>8.4</v>
      </c>
      <c r="J1082">
        <v>365</v>
      </c>
      <c r="K1082">
        <v>597</v>
      </c>
      <c r="L1082">
        <v>1</v>
      </c>
      <c r="M1082">
        <v>3.4</v>
      </c>
      <c r="N1082">
        <v>0.62</v>
      </c>
      <c r="O1082">
        <v>2.6</v>
      </c>
      <c r="P1082">
        <v>2</v>
      </c>
      <c r="Q1082">
        <v>2</v>
      </c>
      <c r="R1082">
        <v>14</v>
      </c>
      <c r="S1082">
        <v>48</v>
      </c>
      <c r="T1082">
        <v>2</v>
      </c>
      <c r="U1082">
        <v>2</v>
      </c>
      <c r="V1082">
        <f>River_data[[#This Row],[Dissolved Oxygen Min]]*River_data[[#This Row],[Dissolved Oxygen Max]]/2</f>
        <v>15.86</v>
      </c>
      <c r="W1082">
        <f>River_data[[#This Row],[BOD Min]]*River_data[[#This Row],[BOD Max]]/2</f>
        <v>1.7</v>
      </c>
      <c r="X1082">
        <f>AVERAGE(River_data[[#This Row],[pH Max]]-River_data[[#This Row],[pH Min]])</f>
        <v>1.1000000000000005</v>
      </c>
    </row>
    <row r="1083" spans="1:24" x14ac:dyDescent="0.3">
      <c r="A1083">
        <v>2363</v>
      </c>
      <c r="B1083" s="1" t="s">
        <v>1104</v>
      </c>
      <c r="C1083" s="1" t="s">
        <v>1098</v>
      </c>
      <c r="D1083">
        <v>25</v>
      </c>
      <c r="E1083">
        <v>26</v>
      </c>
      <c r="F1083">
        <v>4.8</v>
      </c>
      <c r="G1083">
        <v>6.1</v>
      </c>
      <c r="H1083">
        <v>7</v>
      </c>
      <c r="I1083">
        <v>8.1999999999999993</v>
      </c>
      <c r="J1083">
        <v>401</v>
      </c>
      <c r="K1083">
        <v>595</v>
      </c>
      <c r="L1083">
        <v>1.4</v>
      </c>
      <c r="M1083">
        <v>4</v>
      </c>
      <c r="N1083">
        <v>0.78</v>
      </c>
      <c r="O1083">
        <v>2.2000000000000002</v>
      </c>
      <c r="P1083">
        <v>2</v>
      </c>
      <c r="Q1083">
        <v>2</v>
      </c>
      <c r="R1083">
        <v>21</v>
      </c>
      <c r="S1083">
        <v>40</v>
      </c>
      <c r="T1083">
        <v>2</v>
      </c>
      <c r="U1083">
        <v>2</v>
      </c>
      <c r="V1083">
        <f>River_data[[#This Row],[Dissolved Oxygen Min]]*River_data[[#This Row],[Dissolved Oxygen Max]]/2</f>
        <v>14.639999999999999</v>
      </c>
      <c r="W1083">
        <f>River_data[[#This Row],[BOD Min]]*River_data[[#This Row],[BOD Max]]/2</f>
        <v>2.8</v>
      </c>
      <c r="X1083">
        <f>AVERAGE(River_data[[#This Row],[pH Max]]-River_data[[#This Row],[pH Min]])</f>
        <v>1.1999999999999993</v>
      </c>
    </row>
    <row r="1084" spans="1:24" x14ac:dyDescent="0.3">
      <c r="A1084">
        <v>2364</v>
      </c>
      <c r="B1084" s="1" t="s">
        <v>1105</v>
      </c>
      <c r="C1084" s="1" t="s">
        <v>1098</v>
      </c>
      <c r="D1084">
        <v>24.5</v>
      </c>
      <c r="E1084">
        <v>27</v>
      </c>
      <c r="F1084">
        <v>5</v>
      </c>
      <c r="G1084">
        <v>6.2</v>
      </c>
      <c r="H1084">
        <v>7.2</v>
      </c>
      <c r="I1084">
        <v>8.1999999999999993</v>
      </c>
      <c r="J1084">
        <v>380</v>
      </c>
      <c r="K1084">
        <v>744</v>
      </c>
      <c r="L1084">
        <v>1</v>
      </c>
      <c r="M1084">
        <v>4</v>
      </c>
      <c r="N1084">
        <v>0.42</v>
      </c>
      <c r="O1084">
        <v>2.4</v>
      </c>
      <c r="P1084">
        <v>2</v>
      </c>
      <c r="Q1084">
        <v>2</v>
      </c>
      <c r="R1084">
        <v>24</v>
      </c>
      <c r="S1084">
        <v>58</v>
      </c>
      <c r="T1084">
        <v>2</v>
      </c>
      <c r="U1084">
        <v>2</v>
      </c>
      <c r="V1084">
        <f>River_data[[#This Row],[Dissolved Oxygen Min]]*River_data[[#This Row],[Dissolved Oxygen Max]]/2</f>
        <v>15.5</v>
      </c>
      <c r="W1084">
        <f>River_data[[#This Row],[BOD Min]]*River_data[[#This Row],[BOD Max]]/2</f>
        <v>2</v>
      </c>
      <c r="X1084">
        <f>AVERAGE(River_data[[#This Row],[pH Max]]-River_data[[#This Row],[pH Min]])</f>
        <v>0.99999999999999911</v>
      </c>
    </row>
    <row r="1085" spans="1:24" x14ac:dyDescent="0.3">
      <c r="A1085">
        <v>5497</v>
      </c>
      <c r="B1085" s="1" t="s">
        <v>1106</v>
      </c>
      <c r="C1085" s="1" t="s">
        <v>1098</v>
      </c>
      <c r="D1085">
        <v>25.8</v>
      </c>
      <c r="E1085">
        <v>28</v>
      </c>
      <c r="F1085">
        <v>2.8</v>
      </c>
      <c r="G1085">
        <v>6.2</v>
      </c>
      <c r="H1085">
        <v>6.7</v>
      </c>
      <c r="I1085">
        <v>7.8</v>
      </c>
      <c r="J1085">
        <v>424</v>
      </c>
      <c r="K1085">
        <v>1040</v>
      </c>
      <c r="L1085">
        <v>1</v>
      </c>
      <c r="M1085">
        <v>2.6</v>
      </c>
      <c r="N1085">
        <v>0.8</v>
      </c>
      <c r="O1085">
        <v>3.8</v>
      </c>
      <c r="P1085">
        <v>2</v>
      </c>
      <c r="Q1085">
        <v>2</v>
      </c>
      <c r="R1085">
        <v>17</v>
      </c>
      <c r="S1085">
        <v>120</v>
      </c>
      <c r="T1085">
        <v>2</v>
      </c>
      <c r="U1085">
        <v>2</v>
      </c>
      <c r="V1085">
        <f>River_data[[#This Row],[Dissolved Oxygen Min]]*River_data[[#This Row],[Dissolved Oxygen Max]]/2</f>
        <v>8.68</v>
      </c>
      <c r="W1085">
        <f>River_data[[#This Row],[BOD Min]]*River_data[[#This Row],[BOD Max]]/2</f>
        <v>1.3</v>
      </c>
      <c r="X1085">
        <f>AVERAGE(River_data[[#This Row],[pH Max]]-River_data[[#This Row],[pH Min]])</f>
        <v>1.0999999999999996</v>
      </c>
    </row>
    <row r="1086" spans="1:24" x14ac:dyDescent="0.3">
      <c r="A1086">
        <v>2356</v>
      </c>
      <c r="B1086" s="1" t="s">
        <v>1107</v>
      </c>
      <c r="C1086" s="1" t="s">
        <v>1098</v>
      </c>
      <c r="D1086">
        <v>25</v>
      </c>
      <c r="E1086">
        <v>27</v>
      </c>
      <c r="F1086">
        <v>5</v>
      </c>
      <c r="G1086">
        <v>6.2</v>
      </c>
      <c r="H1086">
        <v>7.3</v>
      </c>
      <c r="I1086">
        <v>8.1</v>
      </c>
      <c r="J1086">
        <v>412</v>
      </c>
      <c r="K1086">
        <v>744</v>
      </c>
      <c r="L1086">
        <v>1</v>
      </c>
      <c r="M1086">
        <v>2.4</v>
      </c>
      <c r="N1086">
        <v>0.82</v>
      </c>
      <c r="O1086">
        <v>2.4</v>
      </c>
      <c r="P1086">
        <v>2</v>
      </c>
      <c r="Q1086">
        <v>2</v>
      </c>
      <c r="R1086">
        <v>21</v>
      </c>
      <c r="S1086">
        <v>94</v>
      </c>
      <c r="T1086">
        <v>2</v>
      </c>
      <c r="U1086">
        <v>2</v>
      </c>
      <c r="V1086">
        <f>River_data[[#This Row],[Dissolved Oxygen Min]]*River_data[[#This Row],[Dissolved Oxygen Max]]/2</f>
        <v>15.5</v>
      </c>
      <c r="W1086">
        <f>River_data[[#This Row],[BOD Min]]*River_data[[#This Row],[BOD Max]]/2</f>
        <v>1.2</v>
      </c>
      <c r="X1086">
        <f>AVERAGE(River_data[[#This Row],[pH Max]]-River_data[[#This Row],[pH Min]])</f>
        <v>0.79999999999999982</v>
      </c>
    </row>
    <row r="1087" spans="1:24" x14ac:dyDescent="0.3">
      <c r="A1087">
        <v>4662</v>
      </c>
      <c r="B1087" s="1" t="s">
        <v>1108</v>
      </c>
      <c r="C1087" s="1" t="s">
        <v>1098</v>
      </c>
      <c r="D1087">
        <v>24</v>
      </c>
      <c r="E1087">
        <v>28</v>
      </c>
      <c r="F1087">
        <v>5.6</v>
      </c>
      <c r="G1087">
        <v>6.3</v>
      </c>
      <c r="H1087">
        <v>7</v>
      </c>
      <c r="I1087">
        <v>8.4</v>
      </c>
      <c r="J1087">
        <v>322</v>
      </c>
      <c r="K1087">
        <v>1128</v>
      </c>
      <c r="L1087">
        <v>1</v>
      </c>
      <c r="M1087">
        <v>4</v>
      </c>
      <c r="N1087">
        <v>0.3</v>
      </c>
      <c r="O1087">
        <v>4.5999999999999996</v>
      </c>
      <c r="P1087">
        <v>2</v>
      </c>
      <c r="Q1087">
        <v>2</v>
      </c>
      <c r="R1087">
        <v>21</v>
      </c>
      <c r="S1087">
        <v>34</v>
      </c>
      <c r="T1087">
        <v>2</v>
      </c>
      <c r="U1087">
        <v>2</v>
      </c>
      <c r="V1087">
        <f>River_data[[#This Row],[Dissolved Oxygen Min]]*River_data[[#This Row],[Dissolved Oxygen Max]]/2</f>
        <v>17.639999999999997</v>
      </c>
      <c r="W1087">
        <f>River_data[[#This Row],[BOD Min]]*River_data[[#This Row],[BOD Max]]/2</f>
        <v>2</v>
      </c>
      <c r="X1087">
        <f>AVERAGE(River_data[[#This Row],[pH Max]]-River_data[[#This Row],[pH Min]])</f>
        <v>1.4000000000000004</v>
      </c>
    </row>
    <row r="1088" spans="1:24" x14ac:dyDescent="0.3">
      <c r="A1088">
        <v>2365</v>
      </c>
      <c r="B1088" s="1" t="s">
        <v>1109</v>
      </c>
      <c r="C1088" s="1" t="s">
        <v>1098</v>
      </c>
      <c r="D1088">
        <v>25</v>
      </c>
      <c r="E1088">
        <v>30</v>
      </c>
      <c r="F1088">
        <v>5.4</v>
      </c>
      <c r="G1088">
        <v>6.2</v>
      </c>
      <c r="H1088">
        <v>7.1</v>
      </c>
      <c r="I1088">
        <v>8.4</v>
      </c>
      <c r="J1088">
        <v>251</v>
      </c>
      <c r="K1088">
        <v>588</v>
      </c>
      <c r="L1088">
        <v>1</v>
      </c>
      <c r="M1088">
        <v>2</v>
      </c>
      <c r="N1088">
        <v>0.3</v>
      </c>
      <c r="O1088">
        <v>2.6</v>
      </c>
      <c r="P1088">
        <v>2</v>
      </c>
      <c r="Q1088">
        <v>2</v>
      </c>
      <c r="R1088">
        <v>17</v>
      </c>
      <c r="S1088">
        <v>40</v>
      </c>
      <c r="T1088">
        <v>2</v>
      </c>
      <c r="U1088">
        <v>2</v>
      </c>
      <c r="V1088">
        <f>River_data[[#This Row],[Dissolved Oxygen Min]]*River_data[[#This Row],[Dissolved Oxygen Max]]/2</f>
        <v>16.740000000000002</v>
      </c>
      <c r="W1088">
        <f>River_data[[#This Row],[BOD Min]]*River_data[[#This Row],[BOD Max]]/2</f>
        <v>1</v>
      </c>
      <c r="X1088">
        <f>AVERAGE(River_data[[#This Row],[pH Max]]-River_data[[#This Row],[pH Min]])</f>
        <v>1.3000000000000007</v>
      </c>
    </row>
    <row r="1089" spans="1:24" x14ac:dyDescent="0.3">
      <c r="A1089">
        <v>2366</v>
      </c>
      <c r="B1089" s="1" t="s">
        <v>1110</v>
      </c>
      <c r="C1089" s="1" t="s">
        <v>1098</v>
      </c>
      <c r="D1089">
        <v>26</v>
      </c>
      <c r="E1089">
        <v>30</v>
      </c>
      <c r="F1089">
        <v>5.4</v>
      </c>
      <c r="G1089">
        <v>6.2</v>
      </c>
      <c r="H1089">
        <v>7</v>
      </c>
      <c r="I1089">
        <v>8.4</v>
      </c>
      <c r="J1089">
        <v>225</v>
      </c>
      <c r="K1089">
        <v>517</v>
      </c>
      <c r="L1089">
        <v>1</v>
      </c>
      <c r="M1089">
        <v>2.2000000000000002</v>
      </c>
      <c r="N1089">
        <v>0.3</v>
      </c>
      <c r="O1089">
        <v>3.2</v>
      </c>
      <c r="P1089">
        <v>2</v>
      </c>
      <c r="Q1089">
        <v>2</v>
      </c>
      <c r="R1089">
        <v>20</v>
      </c>
      <c r="S1089">
        <v>58</v>
      </c>
      <c r="T1089">
        <v>2</v>
      </c>
      <c r="U1089">
        <v>2</v>
      </c>
      <c r="V1089">
        <f>River_data[[#This Row],[Dissolved Oxygen Min]]*River_data[[#This Row],[Dissolved Oxygen Max]]/2</f>
        <v>16.740000000000002</v>
      </c>
      <c r="W1089">
        <f>River_data[[#This Row],[BOD Min]]*River_data[[#This Row],[BOD Max]]/2</f>
        <v>1.1000000000000001</v>
      </c>
      <c r="X1089">
        <f>AVERAGE(River_data[[#This Row],[pH Max]]-River_data[[#This Row],[pH Min]])</f>
        <v>1.4000000000000004</v>
      </c>
    </row>
    <row r="1090" spans="1:24" x14ac:dyDescent="0.3">
      <c r="A1090">
        <v>2367</v>
      </c>
      <c r="B1090" s="1" t="s">
        <v>1111</v>
      </c>
      <c r="C1090" s="1" t="s">
        <v>1098</v>
      </c>
      <c r="D1090">
        <v>25</v>
      </c>
      <c r="E1090">
        <v>31.1</v>
      </c>
      <c r="F1090">
        <v>5</v>
      </c>
      <c r="G1090">
        <v>6.2</v>
      </c>
      <c r="H1090">
        <v>7.3</v>
      </c>
      <c r="I1090">
        <v>8.4</v>
      </c>
      <c r="J1090">
        <v>254</v>
      </c>
      <c r="K1090">
        <v>762</v>
      </c>
      <c r="L1090">
        <v>1</v>
      </c>
      <c r="M1090">
        <v>2.5</v>
      </c>
      <c r="N1090">
        <v>0.43</v>
      </c>
      <c r="O1090">
        <v>2.8</v>
      </c>
      <c r="P1090">
        <v>2</v>
      </c>
      <c r="Q1090">
        <v>2</v>
      </c>
      <c r="R1090">
        <v>17</v>
      </c>
      <c r="S1090">
        <v>47</v>
      </c>
      <c r="T1090">
        <v>2</v>
      </c>
      <c r="U1090">
        <v>2</v>
      </c>
      <c r="V1090">
        <f>River_data[[#This Row],[Dissolved Oxygen Min]]*River_data[[#This Row],[Dissolved Oxygen Max]]/2</f>
        <v>15.5</v>
      </c>
      <c r="W1090">
        <f>River_data[[#This Row],[BOD Min]]*River_data[[#This Row],[BOD Max]]/2</f>
        <v>1.25</v>
      </c>
      <c r="X1090">
        <f>AVERAGE(River_data[[#This Row],[pH Max]]-River_data[[#This Row],[pH Min]])</f>
        <v>1.1000000000000005</v>
      </c>
    </row>
    <row r="1091" spans="1:24" x14ac:dyDescent="0.3">
      <c r="A1091">
        <v>2368</v>
      </c>
      <c r="B1091" s="1" t="s">
        <v>1112</v>
      </c>
      <c r="C1091" s="1" t="s">
        <v>1098</v>
      </c>
      <c r="D1091">
        <v>26</v>
      </c>
      <c r="E1091">
        <v>31</v>
      </c>
      <c r="F1091">
        <v>5.0999999999999996</v>
      </c>
      <c r="G1091">
        <v>6.1</v>
      </c>
      <c r="H1091">
        <v>7</v>
      </c>
      <c r="I1091">
        <v>8.1999999999999993</v>
      </c>
      <c r="J1091">
        <v>223</v>
      </c>
      <c r="K1091">
        <v>512</v>
      </c>
      <c r="L1091">
        <v>1.2</v>
      </c>
      <c r="M1091">
        <v>2.2000000000000002</v>
      </c>
      <c r="N1091">
        <v>0.55000000000000004</v>
      </c>
      <c r="O1091">
        <v>3.16</v>
      </c>
      <c r="P1091">
        <v>2</v>
      </c>
      <c r="Q1091">
        <v>2</v>
      </c>
      <c r="R1091">
        <v>17</v>
      </c>
      <c r="S1091">
        <v>47</v>
      </c>
      <c r="T1091">
        <v>2</v>
      </c>
      <c r="U1091">
        <v>2</v>
      </c>
      <c r="V1091">
        <f>River_data[[#This Row],[Dissolved Oxygen Min]]*River_data[[#This Row],[Dissolved Oxygen Max]]/2</f>
        <v>15.554999999999998</v>
      </c>
      <c r="W1091">
        <f>River_data[[#This Row],[BOD Min]]*River_data[[#This Row],[BOD Max]]/2</f>
        <v>1.32</v>
      </c>
      <c r="X1091">
        <f>AVERAGE(River_data[[#This Row],[pH Max]]-River_data[[#This Row],[pH Min]])</f>
        <v>1.1999999999999993</v>
      </c>
    </row>
    <row r="1092" spans="1:24" x14ac:dyDescent="0.3">
      <c r="A1092">
        <v>2369</v>
      </c>
      <c r="B1092" s="1" t="s">
        <v>1113</v>
      </c>
      <c r="C1092" s="1" t="s">
        <v>1098</v>
      </c>
      <c r="D1092">
        <v>24.8</v>
      </c>
      <c r="E1092">
        <v>31.3</v>
      </c>
      <c r="F1092">
        <v>4.8</v>
      </c>
      <c r="G1092">
        <v>6.2</v>
      </c>
      <c r="H1092">
        <v>7.1</v>
      </c>
      <c r="I1092">
        <v>8.1999999999999993</v>
      </c>
      <c r="J1092">
        <v>247</v>
      </c>
      <c r="K1092">
        <v>687</v>
      </c>
      <c r="L1092">
        <v>1</v>
      </c>
      <c r="M1092">
        <v>3.2</v>
      </c>
      <c r="N1092">
        <v>0.88</v>
      </c>
      <c r="O1092">
        <v>20.3</v>
      </c>
      <c r="P1092">
        <v>2</v>
      </c>
      <c r="Q1092">
        <v>2</v>
      </c>
      <c r="R1092">
        <v>24</v>
      </c>
      <c r="S1092">
        <v>220</v>
      </c>
      <c r="T1092">
        <v>2</v>
      </c>
      <c r="U1092">
        <v>2</v>
      </c>
      <c r="V1092">
        <f>River_data[[#This Row],[Dissolved Oxygen Min]]*River_data[[#This Row],[Dissolved Oxygen Max]]/2</f>
        <v>14.879999999999999</v>
      </c>
      <c r="W1092">
        <f>River_data[[#This Row],[BOD Min]]*River_data[[#This Row],[BOD Max]]/2</f>
        <v>1.6</v>
      </c>
      <c r="X1092">
        <f>AVERAGE(River_data[[#This Row],[pH Max]]-River_data[[#This Row],[pH Min]])</f>
        <v>1.0999999999999996</v>
      </c>
    </row>
    <row r="1093" spans="1:24" x14ac:dyDescent="0.3">
      <c r="A1093">
        <v>4367</v>
      </c>
      <c r="B1093" s="1" t="s">
        <v>1114</v>
      </c>
      <c r="C1093" s="1" t="s">
        <v>1115</v>
      </c>
      <c r="D1093">
        <v>22</v>
      </c>
      <c r="E1093">
        <v>32</v>
      </c>
      <c r="F1093">
        <v>6.2</v>
      </c>
      <c r="G1093">
        <v>7.5</v>
      </c>
      <c r="H1093">
        <v>7.8</v>
      </c>
      <c r="I1093">
        <v>8.4</v>
      </c>
      <c r="J1093">
        <v>130</v>
      </c>
      <c r="K1093">
        <v>2133</v>
      </c>
      <c r="L1093">
        <v>1.1000000000000001</v>
      </c>
      <c r="M1093">
        <v>2.2000000000000002</v>
      </c>
      <c r="N1093">
        <v>0.32</v>
      </c>
      <c r="O1093">
        <v>2.3199999999999998</v>
      </c>
      <c r="P1093">
        <v>3</v>
      </c>
      <c r="Q1093">
        <v>9</v>
      </c>
      <c r="R1093">
        <v>64</v>
      </c>
      <c r="S1093">
        <v>210</v>
      </c>
      <c r="T1093">
        <v>2</v>
      </c>
      <c r="U1093">
        <v>3</v>
      </c>
      <c r="V1093">
        <f>River_data[[#This Row],[Dissolved Oxygen Min]]*River_data[[#This Row],[Dissolved Oxygen Max]]/2</f>
        <v>23.25</v>
      </c>
      <c r="W1093">
        <f>River_data[[#This Row],[BOD Min]]*River_data[[#This Row],[BOD Max]]/2</f>
        <v>1.2100000000000002</v>
      </c>
      <c r="X1093">
        <f>AVERAGE(River_data[[#This Row],[pH Max]]-River_data[[#This Row],[pH Min]])</f>
        <v>0.60000000000000053</v>
      </c>
    </row>
    <row r="1094" spans="1:24" x14ac:dyDescent="0.3">
      <c r="A1094">
        <v>4359</v>
      </c>
      <c r="B1094" s="1" t="s">
        <v>1116</v>
      </c>
      <c r="C1094" s="1" t="s">
        <v>1115</v>
      </c>
      <c r="D1094">
        <v>23</v>
      </c>
      <c r="E1094">
        <v>27</v>
      </c>
      <c r="F1094">
        <v>6.2</v>
      </c>
      <c r="G1094">
        <v>7.8</v>
      </c>
      <c r="H1094">
        <v>7.2</v>
      </c>
      <c r="I1094">
        <v>8.5</v>
      </c>
      <c r="J1094">
        <v>64</v>
      </c>
      <c r="K1094">
        <v>762</v>
      </c>
      <c r="L1094">
        <v>1.3</v>
      </c>
      <c r="M1094">
        <v>2.2999999999999998</v>
      </c>
      <c r="N1094">
        <v>0.32</v>
      </c>
      <c r="O1094">
        <v>1.06</v>
      </c>
      <c r="P1094">
        <v>2</v>
      </c>
      <c r="Q1094">
        <v>9</v>
      </c>
      <c r="R1094">
        <v>21</v>
      </c>
      <c r="S1094">
        <v>120</v>
      </c>
      <c r="T1094">
        <v>2</v>
      </c>
      <c r="U1094">
        <v>2</v>
      </c>
      <c r="V1094">
        <f>River_data[[#This Row],[Dissolved Oxygen Min]]*River_data[[#This Row],[Dissolved Oxygen Max]]/2</f>
        <v>24.18</v>
      </c>
      <c r="W1094">
        <f>River_data[[#This Row],[BOD Min]]*River_data[[#This Row],[BOD Max]]/2</f>
        <v>1.4949999999999999</v>
      </c>
      <c r="X1094">
        <f>AVERAGE(River_data[[#This Row],[pH Max]]-River_data[[#This Row],[pH Min]])</f>
        <v>1.2999999999999998</v>
      </c>
    </row>
    <row r="1095" spans="1:24" x14ac:dyDescent="0.3">
      <c r="A1095">
        <v>14</v>
      </c>
      <c r="B1095" s="1" t="s">
        <v>1117</v>
      </c>
      <c r="C1095" s="1" t="s">
        <v>1115</v>
      </c>
      <c r="D1095">
        <v>22</v>
      </c>
      <c r="E1095">
        <v>34</v>
      </c>
      <c r="F1095">
        <v>6</v>
      </c>
      <c r="G1095">
        <v>7.5</v>
      </c>
      <c r="H1095">
        <v>7.4</v>
      </c>
      <c r="I1095">
        <v>8.4</v>
      </c>
      <c r="J1095">
        <v>130</v>
      </c>
      <c r="K1095">
        <v>284</v>
      </c>
      <c r="L1095">
        <v>1.2</v>
      </c>
      <c r="M1095">
        <v>2.6</v>
      </c>
      <c r="N1095">
        <v>0.3</v>
      </c>
      <c r="O1095">
        <v>3.87</v>
      </c>
      <c r="P1095">
        <v>3</v>
      </c>
      <c r="Q1095">
        <v>14</v>
      </c>
      <c r="R1095">
        <v>64</v>
      </c>
      <c r="S1095">
        <v>240</v>
      </c>
      <c r="T1095">
        <v>2</v>
      </c>
      <c r="U1095">
        <v>3</v>
      </c>
      <c r="V1095">
        <f>River_data[[#This Row],[Dissolved Oxygen Min]]*River_data[[#This Row],[Dissolved Oxygen Max]]/2</f>
        <v>22.5</v>
      </c>
      <c r="W1095">
        <f>River_data[[#This Row],[BOD Min]]*River_data[[#This Row],[BOD Max]]/2</f>
        <v>1.56</v>
      </c>
      <c r="X1095">
        <f>AVERAGE(River_data[[#This Row],[pH Max]]-River_data[[#This Row],[pH Min]])</f>
        <v>1</v>
      </c>
    </row>
    <row r="1096" spans="1:24" x14ac:dyDescent="0.3">
      <c r="A1096">
        <v>1218</v>
      </c>
      <c r="B1096" s="1" t="s">
        <v>1118</v>
      </c>
      <c r="C1096" s="1" t="s">
        <v>1115</v>
      </c>
      <c r="D1096">
        <v>25</v>
      </c>
      <c r="E1096">
        <v>32</v>
      </c>
      <c r="F1096">
        <v>6.9</v>
      </c>
      <c r="G1096">
        <v>7.6</v>
      </c>
      <c r="H1096">
        <v>6.6</v>
      </c>
      <c r="I1096">
        <v>8.3000000000000007</v>
      </c>
      <c r="J1096">
        <v>155</v>
      </c>
      <c r="K1096">
        <v>630</v>
      </c>
      <c r="L1096">
        <v>1.6</v>
      </c>
      <c r="M1096">
        <v>2.2000000000000002</v>
      </c>
      <c r="N1096">
        <v>0.3</v>
      </c>
      <c r="O1096">
        <v>1.82</v>
      </c>
      <c r="P1096">
        <v>4</v>
      </c>
      <c r="Q1096">
        <v>9</v>
      </c>
      <c r="R1096">
        <v>75</v>
      </c>
      <c r="S1096">
        <v>150</v>
      </c>
      <c r="T1096">
        <v>2</v>
      </c>
      <c r="U1096">
        <v>3</v>
      </c>
      <c r="V1096">
        <f>River_data[[#This Row],[Dissolved Oxygen Min]]*River_data[[#This Row],[Dissolved Oxygen Max]]/2</f>
        <v>26.22</v>
      </c>
      <c r="W1096">
        <f>River_data[[#This Row],[BOD Min]]*River_data[[#This Row],[BOD Max]]/2</f>
        <v>1.7600000000000002</v>
      </c>
      <c r="X1096">
        <f>AVERAGE(River_data[[#This Row],[pH Max]]-River_data[[#This Row],[pH Min]])</f>
        <v>1.7000000000000011</v>
      </c>
    </row>
    <row r="1097" spans="1:24" x14ac:dyDescent="0.3">
      <c r="A1097">
        <v>2370</v>
      </c>
      <c r="B1097" s="1" t="s">
        <v>1119</v>
      </c>
      <c r="C1097" s="1" t="s">
        <v>1115</v>
      </c>
      <c r="D1097">
        <v>25</v>
      </c>
      <c r="E1097">
        <v>27</v>
      </c>
      <c r="F1097">
        <v>6.7</v>
      </c>
      <c r="G1097">
        <v>7.5</v>
      </c>
      <c r="H1097">
        <v>6.3</v>
      </c>
      <c r="I1097">
        <v>8.3000000000000007</v>
      </c>
      <c r="J1097">
        <v>180</v>
      </c>
      <c r="K1097">
        <v>361</v>
      </c>
      <c r="L1097">
        <v>1.8</v>
      </c>
      <c r="M1097">
        <v>2.4</v>
      </c>
      <c r="N1097">
        <v>0.3</v>
      </c>
      <c r="O1097">
        <v>2.64</v>
      </c>
      <c r="P1097">
        <v>3</v>
      </c>
      <c r="Q1097">
        <v>11</v>
      </c>
      <c r="R1097">
        <v>75</v>
      </c>
      <c r="S1097">
        <v>210</v>
      </c>
      <c r="T1097">
        <v>2</v>
      </c>
      <c r="U1097">
        <v>3</v>
      </c>
      <c r="V1097">
        <f>River_data[[#This Row],[Dissolved Oxygen Min]]*River_data[[#This Row],[Dissolved Oxygen Max]]/2</f>
        <v>25.125</v>
      </c>
      <c r="W1097">
        <f>River_data[[#This Row],[BOD Min]]*River_data[[#This Row],[BOD Max]]/2</f>
        <v>2.16</v>
      </c>
      <c r="X1097">
        <f>AVERAGE(River_data[[#This Row],[pH Max]]-River_data[[#This Row],[pH Min]])</f>
        <v>2.0000000000000009</v>
      </c>
    </row>
    <row r="1098" spans="1:24" x14ac:dyDescent="0.3">
      <c r="A1098">
        <v>2371</v>
      </c>
      <c r="B1098" s="1" t="s">
        <v>1120</v>
      </c>
      <c r="C1098" s="1" t="s">
        <v>1115</v>
      </c>
      <c r="D1098">
        <v>25</v>
      </c>
      <c r="E1098">
        <v>27</v>
      </c>
      <c r="F1098">
        <v>6.1</v>
      </c>
      <c r="G1098">
        <v>7.2</v>
      </c>
      <c r="H1098">
        <v>6.4</v>
      </c>
      <c r="I1098">
        <v>8.4</v>
      </c>
      <c r="J1098">
        <v>141</v>
      </c>
      <c r="K1098">
        <v>296</v>
      </c>
      <c r="L1098">
        <v>2</v>
      </c>
      <c r="M1098">
        <v>2.4</v>
      </c>
      <c r="N1098">
        <v>0.32</v>
      </c>
      <c r="O1098">
        <v>2.4300000000000002</v>
      </c>
      <c r="P1098">
        <v>4</v>
      </c>
      <c r="Q1098">
        <v>20</v>
      </c>
      <c r="R1098">
        <v>150</v>
      </c>
      <c r="S1098">
        <v>240</v>
      </c>
      <c r="T1098">
        <v>2</v>
      </c>
      <c r="U1098">
        <v>3</v>
      </c>
      <c r="V1098">
        <f>River_data[[#This Row],[Dissolved Oxygen Min]]*River_data[[#This Row],[Dissolved Oxygen Max]]/2</f>
        <v>21.96</v>
      </c>
      <c r="W1098">
        <f>River_data[[#This Row],[BOD Min]]*River_data[[#This Row],[BOD Max]]/2</f>
        <v>2.4</v>
      </c>
      <c r="X1098">
        <f>AVERAGE(River_data[[#This Row],[pH Max]]-River_data[[#This Row],[pH Min]])</f>
        <v>2</v>
      </c>
    </row>
    <row r="1099" spans="1:24" x14ac:dyDescent="0.3">
      <c r="A1099">
        <v>3067</v>
      </c>
      <c r="B1099" s="1" t="s">
        <v>1121</v>
      </c>
      <c r="C1099" s="1" t="s">
        <v>1115</v>
      </c>
      <c r="D1099">
        <v>26</v>
      </c>
      <c r="E1099">
        <v>28</v>
      </c>
      <c r="F1099">
        <v>6.4</v>
      </c>
      <c r="G1099">
        <v>7.4</v>
      </c>
      <c r="H1099">
        <v>6.5</v>
      </c>
      <c r="I1099">
        <v>8.4</v>
      </c>
      <c r="J1099">
        <v>129</v>
      </c>
      <c r="K1099">
        <v>297</v>
      </c>
      <c r="L1099">
        <v>1.8</v>
      </c>
      <c r="M1099">
        <v>2.4</v>
      </c>
      <c r="N1099">
        <v>0.32</v>
      </c>
      <c r="O1099">
        <v>2.42</v>
      </c>
      <c r="P1099">
        <v>4</v>
      </c>
      <c r="Q1099">
        <v>15</v>
      </c>
      <c r="R1099">
        <v>39</v>
      </c>
      <c r="S1099">
        <v>240</v>
      </c>
      <c r="T1099">
        <v>2</v>
      </c>
      <c r="U1099">
        <v>3</v>
      </c>
      <c r="V1099">
        <f>River_data[[#This Row],[Dissolved Oxygen Min]]*River_data[[#This Row],[Dissolved Oxygen Max]]/2</f>
        <v>23.680000000000003</v>
      </c>
      <c r="W1099">
        <f>River_data[[#This Row],[BOD Min]]*River_data[[#This Row],[BOD Max]]/2</f>
        <v>2.16</v>
      </c>
      <c r="X1099">
        <f>AVERAGE(River_data[[#This Row],[pH Max]]-River_data[[#This Row],[pH Min]])</f>
        <v>1.9000000000000004</v>
      </c>
    </row>
    <row r="1100" spans="1:24" x14ac:dyDescent="0.3">
      <c r="A1100">
        <v>1219</v>
      </c>
      <c r="B1100" s="1" t="s">
        <v>1122</v>
      </c>
      <c r="C1100" s="1" t="s">
        <v>1115</v>
      </c>
      <c r="D1100">
        <v>25</v>
      </c>
      <c r="E1100">
        <v>29</v>
      </c>
      <c r="F1100">
        <v>6.4</v>
      </c>
      <c r="G1100">
        <v>7.4</v>
      </c>
      <c r="H1100">
        <v>6.6</v>
      </c>
      <c r="I1100">
        <v>8.5</v>
      </c>
      <c r="J1100">
        <v>125</v>
      </c>
      <c r="K1100">
        <v>285</v>
      </c>
      <c r="L1100">
        <v>2</v>
      </c>
      <c r="M1100">
        <v>2.4</v>
      </c>
      <c r="N1100">
        <v>0.32</v>
      </c>
      <c r="O1100">
        <v>1.02</v>
      </c>
      <c r="P1100">
        <v>4</v>
      </c>
      <c r="Q1100">
        <v>15</v>
      </c>
      <c r="R1100">
        <v>93</v>
      </c>
      <c r="S1100">
        <v>460</v>
      </c>
      <c r="T1100">
        <v>2</v>
      </c>
      <c r="U1100">
        <v>3</v>
      </c>
      <c r="V1100">
        <f>River_data[[#This Row],[Dissolved Oxygen Min]]*River_data[[#This Row],[Dissolved Oxygen Max]]/2</f>
        <v>23.680000000000003</v>
      </c>
      <c r="W1100">
        <f>River_data[[#This Row],[BOD Min]]*River_data[[#This Row],[BOD Max]]/2</f>
        <v>2.4</v>
      </c>
      <c r="X1100">
        <f>AVERAGE(River_data[[#This Row],[pH Max]]-River_data[[#This Row],[pH Min]])</f>
        <v>1.9000000000000004</v>
      </c>
    </row>
    <row r="1101" spans="1:24" x14ac:dyDescent="0.3">
      <c r="A1101">
        <v>3948</v>
      </c>
      <c r="B1101" s="1" t="s">
        <v>1123</v>
      </c>
      <c r="C1101" s="1" t="s">
        <v>959</v>
      </c>
      <c r="D1101">
        <v>13</v>
      </c>
      <c r="E1101">
        <v>30</v>
      </c>
      <c r="F1101">
        <v>4.5</v>
      </c>
      <c r="G1101">
        <v>8.1999999999999993</v>
      </c>
      <c r="H1101">
        <v>6.7</v>
      </c>
      <c r="I1101">
        <v>7.8</v>
      </c>
      <c r="J1101">
        <v>90</v>
      </c>
      <c r="K1101">
        <v>192</v>
      </c>
      <c r="L1101">
        <v>1.1000000000000001</v>
      </c>
      <c r="M1101">
        <v>1.8</v>
      </c>
      <c r="N1101">
        <v>0.32</v>
      </c>
      <c r="O1101">
        <v>3.77</v>
      </c>
      <c r="P1101">
        <v>78</v>
      </c>
      <c r="Q1101">
        <v>13000</v>
      </c>
      <c r="R1101">
        <v>490</v>
      </c>
      <c r="S1101">
        <v>28000</v>
      </c>
      <c r="V1101">
        <f>River_data[[#This Row],[Dissolved Oxygen Min]]*River_data[[#This Row],[Dissolved Oxygen Max]]/2</f>
        <v>18.45</v>
      </c>
      <c r="W1101">
        <f>River_data[[#This Row],[BOD Min]]*River_data[[#This Row],[BOD Max]]/2</f>
        <v>0.9900000000000001</v>
      </c>
      <c r="X1101">
        <f>AVERAGE(River_data[[#This Row],[pH Max]]-River_data[[#This Row],[pH Min]])</f>
        <v>1.0999999999999996</v>
      </c>
    </row>
    <row r="1102" spans="1:24" x14ac:dyDescent="0.3">
      <c r="A1102">
        <v>30062</v>
      </c>
      <c r="B1102" s="1" t="s">
        <v>1124</v>
      </c>
      <c r="C1102" s="1" t="s">
        <v>959</v>
      </c>
      <c r="D1102">
        <v>26</v>
      </c>
      <c r="E1102">
        <v>30</v>
      </c>
      <c r="F1102">
        <v>7.5</v>
      </c>
      <c r="G1102">
        <v>7.6</v>
      </c>
      <c r="H1102">
        <v>7</v>
      </c>
      <c r="I1102">
        <v>7</v>
      </c>
      <c r="J1102">
        <v>102</v>
      </c>
      <c r="K1102">
        <v>110</v>
      </c>
      <c r="L1102">
        <v>1</v>
      </c>
      <c r="M1102">
        <v>1</v>
      </c>
      <c r="N1102">
        <v>0.32</v>
      </c>
      <c r="O1102">
        <v>0.32</v>
      </c>
      <c r="P1102">
        <v>1300</v>
      </c>
      <c r="Q1102">
        <v>1300</v>
      </c>
      <c r="R1102">
        <v>2200</v>
      </c>
      <c r="S1102">
        <v>2200</v>
      </c>
      <c r="T1102">
        <v>20</v>
      </c>
      <c r="U1102">
        <v>20</v>
      </c>
      <c r="V1102">
        <f>River_data[[#This Row],[Dissolved Oxygen Min]]*River_data[[#This Row],[Dissolved Oxygen Max]]/2</f>
        <v>28.5</v>
      </c>
      <c r="W1102">
        <f>River_data[[#This Row],[BOD Min]]*River_data[[#This Row],[BOD Max]]/2</f>
        <v>0.5</v>
      </c>
      <c r="X1102">
        <f>AVERAGE(River_data[[#This Row],[pH Max]]-River_data[[#This Row],[pH Min]])</f>
        <v>0</v>
      </c>
    </row>
    <row r="1103" spans="1:24" x14ac:dyDescent="0.3">
      <c r="A1103">
        <v>3312</v>
      </c>
      <c r="B1103" s="1" t="s">
        <v>1125</v>
      </c>
      <c r="C1103" s="1" t="s">
        <v>352</v>
      </c>
      <c r="D1103">
        <v>20</v>
      </c>
      <c r="E1103">
        <v>31</v>
      </c>
      <c r="F1103">
        <v>7.1</v>
      </c>
      <c r="G1103">
        <v>7.2</v>
      </c>
      <c r="H1103">
        <v>7.4</v>
      </c>
      <c r="I1103">
        <v>8.1999999999999993</v>
      </c>
      <c r="J1103">
        <v>611</v>
      </c>
      <c r="K1103">
        <v>816</v>
      </c>
      <c r="L1103">
        <v>1.8</v>
      </c>
      <c r="M1103">
        <v>2.2000000000000002</v>
      </c>
      <c r="N1103">
        <v>1.6</v>
      </c>
      <c r="O1103">
        <v>2.44</v>
      </c>
      <c r="P1103">
        <v>3</v>
      </c>
      <c r="Q1103">
        <v>4</v>
      </c>
      <c r="R1103">
        <v>15</v>
      </c>
      <c r="S1103">
        <v>39</v>
      </c>
      <c r="V1103">
        <f>River_data[[#This Row],[Dissolved Oxygen Min]]*River_data[[#This Row],[Dissolved Oxygen Max]]/2</f>
        <v>25.56</v>
      </c>
      <c r="W1103">
        <f>River_data[[#This Row],[BOD Min]]*River_data[[#This Row],[BOD Max]]/2</f>
        <v>1.9800000000000002</v>
      </c>
      <c r="X1103">
        <f>AVERAGE(River_data[[#This Row],[pH Max]]-River_data[[#This Row],[pH Min]])</f>
        <v>0.79999999999999893</v>
      </c>
    </row>
    <row r="1104" spans="1:24" x14ac:dyDescent="0.3">
      <c r="A1104">
        <v>5537</v>
      </c>
      <c r="B1104" s="1" t="s">
        <v>1126</v>
      </c>
      <c r="C1104" s="1" t="s">
        <v>352</v>
      </c>
      <c r="D1104">
        <v>19</v>
      </c>
      <c r="E1104">
        <v>31</v>
      </c>
      <c r="F1104">
        <v>7.1</v>
      </c>
      <c r="G1104">
        <v>7.8</v>
      </c>
      <c r="H1104">
        <v>7.1</v>
      </c>
      <c r="I1104">
        <v>8.1</v>
      </c>
      <c r="J1104">
        <v>288</v>
      </c>
      <c r="K1104">
        <v>816</v>
      </c>
      <c r="L1104">
        <v>1</v>
      </c>
      <c r="M1104">
        <v>2.2000000000000002</v>
      </c>
      <c r="N1104">
        <v>0</v>
      </c>
      <c r="O1104">
        <v>3.38</v>
      </c>
      <c r="P1104">
        <v>2</v>
      </c>
      <c r="Q1104">
        <v>7</v>
      </c>
      <c r="R1104">
        <v>10</v>
      </c>
      <c r="S1104">
        <v>120</v>
      </c>
      <c r="V1104">
        <f>River_data[[#This Row],[Dissolved Oxygen Min]]*River_data[[#This Row],[Dissolved Oxygen Max]]/2</f>
        <v>27.689999999999998</v>
      </c>
      <c r="W1104">
        <f>River_data[[#This Row],[BOD Min]]*River_data[[#This Row],[BOD Max]]/2</f>
        <v>1.1000000000000001</v>
      </c>
      <c r="X1104">
        <f>AVERAGE(River_data[[#This Row],[pH Max]]-River_data[[#This Row],[pH Min]])</f>
        <v>1</v>
      </c>
    </row>
    <row r="1105" spans="1:24" x14ac:dyDescent="0.3">
      <c r="A1105">
        <v>2170</v>
      </c>
      <c r="B1105" s="1" t="s">
        <v>1127</v>
      </c>
      <c r="C1105" s="1" t="s">
        <v>938</v>
      </c>
      <c r="D1105">
        <v>19</v>
      </c>
      <c r="E1105">
        <v>30</v>
      </c>
      <c r="F1105">
        <v>5.4</v>
      </c>
      <c r="G1105">
        <v>6.8</v>
      </c>
      <c r="H1105">
        <v>7.2</v>
      </c>
      <c r="I1105">
        <v>8.6</v>
      </c>
      <c r="J1105">
        <v>906</v>
      </c>
      <c r="K1105">
        <v>1411</v>
      </c>
      <c r="L1105">
        <v>3</v>
      </c>
      <c r="M1105">
        <v>3.5</v>
      </c>
      <c r="N1105">
        <v>0.3</v>
      </c>
      <c r="O1105">
        <v>2.73</v>
      </c>
      <c r="P1105">
        <v>14</v>
      </c>
      <c r="Q1105">
        <v>43</v>
      </c>
      <c r="R1105">
        <v>110</v>
      </c>
      <c r="S1105">
        <v>350</v>
      </c>
      <c r="T1105">
        <v>2</v>
      </c>
      <c r="U1105">
        <v>2</v>
      </c>
      <c r="V1105">
        <f>River_data[[#This Row],[Dissolved Oxygen Min]]*River_data[[#This Row],[Dissolved Oxygen Max]]/2</f>
        <v>18.36</v>
      </c>
      <c r="W1105">
        <f>River_data[[#This Row],[BOD Min]]*River_data[[#This Row],[BOD Max]]/2</f>
        <v>5.25</v>
      </c>
      <c r="X1105">
        <f>AVERAGE(River_data[[#This Row],[pH Max]]-River_data[[#This Row],[pH Min]])</f>
        <v>1.3999999999999995</v>
      </c>
    </row>
    <row r="1106" spans="1:24" x14ac:dyDescent="0.3">
      <c r="A1106">
        <v>2171</v>
      </c>
      <c r="B1106" s="1" t="s">
        <v>1128</v>
      </c>
      <c r="C1106" s="1" t="s">
        <v>938</v>
      </c>
      <c r="D1106">
        <v>19</v>
      </c>
      <c r="E1106">
        <v>30</v>
      </c>
      <c r="F1106">
        <v>5.0999999999999996</v>
      </c>
      <c r="G1106">
        <v>6.6</v>
      </c>
      <c r="H1106">
        <v>7.6</v>
      </c>
      <c r="I1106">
        <v>8.6</v>
      </c>
      <c r="J1106">
        <v>819</v>
      </c>
      <c r="K1106">
        <v>1316</v>
      </c>
      <c r="L1106">
        <v>3</v>
      </c>
      <c r="M1106">
        <v>4</v>
      </c>
      <c r="N1106">
        <v>0.3</v>
      </c>
      <c r="O1106">
        <v>2.98</v>
      </c>
      <c r="P1106">
        <v>11</v>
      </c>
      <c r="Q1106">
        <v>48</v>
      </c>
      <c r="R1106">
        <v>140</v>
      </c>
      <c r="S1106">
        <v>430</v>
      </c>
      <c r="T1106">
        <v>2</v>
      </c>
      <c r="U1106">
        <v>2</v>
      </c>
      <c r="V1106">
        <f>River_data[[#This Row],[Dissolved Oxygen Min]]*River_data[[#This Row],[Dissolved Oxygen Max]]/2</f>
        <v>16.829999999999998</v>
      </c>
      <c r="W1106">
        <f>River_data[[#This Row],[BOD Min]]*River_data[[#This Row],[BOD Max]]/2</f>
        <v>6</v>
      </c>
      <c r="X1106">
        <f>AVERAGE(River_data[[#This Row],[pH Max]]-River_data[[#This Row],[pH Min]])</f>
        <v>1</v>
      </c>
    </row>
    <row r="1107" spans="1:24" x14ac:dyDescent="0.3">
      <c r="A1107">
        <v>1909</v>
      </c>
      <c r="B1107" s="1" t="s">
        <v>1129</v>
      </c>
      <c r="C1107" s="1" t="s">
        <v>938</v>
      </c>
      <c r="D1107">
        <v>16</v>
      </c>
      <c r="E1107">
        <v>21</v>
      </c>
      <c r="F1107">
        <v>2</v>
      </c>
      <c r="G1107">
        <v>6.2</v>
      </c>
      <c r="H1107">
        <v>7.5</v>
      </c>
      <c r="I1107">
        <v>8.4</v>
      </c>
      <c r="J1107">
        <v>730</v>
      </c>
      <c r="K1107">
        <v>1756</v>
      </c>
      <c r="L1107">
        <v>3</v>
      </c>
      <c r="M1107">
        <v>9.8000000000000007</v>
      </c>
      <c r="N1107">
        <v>0.3</v>
      </c>
      <c r="O1107">
        <v>2.93</v>
      </c>
      <c r="P1107">
        <v>14</v>
      </c>
      <c r="Q1107">
        <v>43</v>
      </c>
      <c r="R1107">
        <v>110</v>
      </c>
      <c r="S1107">
        <v>280</v>
      </c>
      <c r="T1107">
        <v>2</v>
      </c>
      <c r="U1107">
        <v>2</v>
      </c>
      <c r="V1107">
        <f>River_data[[#This Row],[Dissolved Oxygen Min]]*River_data[[#This Row],[Dissolved Oxygen Max]]/2</f>
        <v>6.2</v>
      </c>
      <c r="W1107">
        <f>River_data[[#This Row],[BOD Min]]*River_data[[#This Row],[BOD Max]]/2</f>
        <v>14.700000000000001</v>
      </c>
      <c r="X1107">
        <f>AVERAGE(River_data[[#This Row],[pH Max]]-River_data[[#This Row],[pH Min]])</f>
        <v>0.90000000000000036</v>
      </c>
    </row>
    <row r="1108" spans="1:24" x14ac:dyDescent="0.3">
      <c r="A1108">
        <v>3080</v>
      </c>
      <c r="B1108" s="1" t="s">
        <v>1130</v>
      </c>
      <c r="C1108" s="1" t="s">
        <v>1098</v>
      </c>
      <c r="D1108">
        <v>24</v>
      </c>
      <c r="E1108">
        <v>28.6</v>
      </c>
      <c r="F1108">
        <v>5</v>
      </c>
      <c r="G1108">
        <v>6.2</v>
      </c>
      <c r="H1108">
        <v>7.2</v>
      </c>
      <c r="I1108">
        <v>8.3000000000000007</v>
      </c>
      <c r="J1108">
        <v>412</v>
      </c>
      <c r="K1108">
        <v>835</v>
      </c>
      <c r="L1108">
        <v>1</v>
      </c>
      <c r="M1108">
        <v>2.2000000000000002</v>
      </c>
      <c r="N1108">
        <v>0.3</v>
      </c>
      <c r="O1108">
        <v>2.4</v>
      </c>
      <c r="P1108">
        <v>2</v>
      </c>
      <c r="Q1108">
        <v>2</v>
      </c>
      <c r="R1108">
        <v>24</v>
      </c>
      <c r="S1108">
        <v>39</v>
      </c>
      <c r="T1108">
        <v>2</v>
      </c>
      <c r="U1108">
        <v>2</v>
      </c>
      <c r="V1108">
        <f>River_data[[#This Row],[Dissolved Oxygen Min]]*River_data[[#This Row],[Dissolved Oxygen Max]]/2</f>
        <v>15.5</v>
      </c>
      <c r="W1108">
        <f>River_data[[#This Row],[BOD Min]]*River_data[[#This Row],[BOD Max]]/2</f>
        <v>1.1000000000000001</v>
      </c>
      <c r="X1108">
        <f>AVERAGE(River_data[[#This Row],[pH Max]]-River_data[[#This Row],[pH Min]])</f>
        <v>1.1000000000000005</v>
      </c>
    </row>
    <row r="1109" spans="1:24" x14ac:dyDescent="0.3">
      <c r="A1109">
        <v>3081</v>
      </c>
      <c r="B1109" s="1" t="s">
        <v>1131</v>
      </c>
      <c r="C1109" s="1" t="s">
        <v>1098</v>
      </c>
      <c r="D1109">
        <v>25.8</v>
      </c>
      <c r="E1109">
        <v>29.1</v>
      </c>
      <c r="F1109">
        <v>4.5999999999999996</v>
      </c>
      <c r="G1109">
        <v>6.1</v>
      </c>
      <c r="H1109">
        <v>7.5</v>
      </c>
      <c r="I1109">
        <v>8.1999999999999993</v>
      </c>
      <c r="J1109">
        <v>408</v>
      </c>
      <c r="K1109">
        <v>596</v>
      </c>
      <c r="L1109">
        <v>1</v>
      </c>
      <c r="M1109">
        <v>2.4</v>
      </c>
      <c r="N1109">
        <v>0.3</v>
      </c>
      <c r="O1109">
        <v>2.8</v>
      </c>
      <c r="P1109">
        <v>2</v>
      </c>
      <c r="Q1109">
        <v>2</v>
      </c>
      <c r="R1109">
        <v>20</v>
      </c>
      <c r="S1109">
        <v>39</v>
      </c>
      <c r="T1109">
        <v>2</v>
      </c>
      <c r="U1109">
        <v>2</v>
      </c>
      <c r="V1109">
        <f>River_data[[#This Row],[Dissolved Oxygen Min]]*River_data[[#This Row],[Dissolved Oxygen Max]]/2</f>
        <v>14.029999999999998</v>
      </c>
      <c r="W1109">
        <f>River_data[[#This Row],[BOD Min]]*River_data[[#This Row],[BOD Max]]/2</f>
        <v>1.2</v>
      </c>
      <c r="X1109">
        <f>AVERAGE(River_data[[#This Row],[pH Max]]-River_data[[#This Row],[pH Min]])</f>
        <v>0.69999999999999929</v>
      </c>
    </row>
    <row r="1110" spans="1:24" x14ac:dyDescent="0.3">
      <c r="A1110">
        <v>2372</v>
      </c>
      <c r="B1110" s="1" t="s">
        <v>1132</v>
      </c>
      <c r="C1110" s="1" t="s">
        <v>1098</v>
      </c>
      <c r="D1110">
        <v>25</v>
      </c>
      <c r="E1110">
        <v>29.1</v>
      </c>
      <c r="F1110">
        <v>4.8</v>
      </c>
      <c r="G1110">
        <v>6.2</v>
      </c>
      <c r="H1110">
        <v>7.5</v>
      </c>
      <c r="I1110">
        <v>8.1999999999999993</v>
      </c>
      <c r="J1110">
        <v>179</v>
      </c>
      <c r="K1110">
        <v>612</v>
      </c>
      <c r="L1110">
        <v>1</v>
      </c>
      <c r="M1110">
        <v>2.8</v>
      </c>
      <c r="N1110">
        <v>0.78</v>
      </c>
      <c r="O1110">
        <v>2.5</v>
      </c>
      <c r="P1110">
        <v>2</v>
      </c>
      <c r="Q1110">
        <v>2</v>
      </c>
      <c r="R1110">
        <v>17</v>
      </c>
      <c r="S1110">
        <v>120</v>
      </c>
      <c r="T1110">
        <v>2</v>
      </c>
      <c r="U1110">
        <v>2</v>
      </c>
      <c r="V1110">
        <f>River_data[[#This Row],[Dissolved Oxygen Min]]*River_data[[#This Row],[Dissolved Oxygen Max]]/2</f>
        <v>14.879999999999999</v>
      </c>
      <c r="W1110">
        <f>River_data[[#This Row],[BOD Min]]*River_data[[#This Row],[BOD Max]]/2</f>
        <v>1.4</v>
      </c>
      <c r="X1110">
        <f>AVERAGE(River_data[[#This Row],[pH Max]]-River_data[[#This Row],[pH Min]])</f>
        <v>0.69999999999999929</v>
      </c>
    </row>
    <row r="1111" spans="1:24" x14ac:dyDescent="0.3">
      <c r="A1111">
        <v>1908</v>
      </c>
      <c r="B1111" s="1" t="s">
        <v>1133</v>
      </c>
      <c r="C1111" s="1" t="s">
        <v>938</v>
      </c>
      <c r="D1111">
        <v>19</v>
      </c>
      <c r="E1111">
        <v>30</v>
      </c>
      <c r="F1111">
        <v>5.0999999999999996</v>
      </c>
      <c r="G1111">
        <v>6.8</v>
      </c>
      <c r="H1111">
        <v>7.2</v>
      </c>
      <c r="I1111">
        <v>8.6999999999999993</v>
      </c>
      <c r="J1111">
        <v>870</v>
      </c>
      <c r="K1111">
        <v>1740</v>
      </c>
      <c r="L1111">
        <v>3</v>
      </c>
      <c r="M1111">
        <v>4</v>
      </c>
      <c r="N1111">
        <v>0.3</v>
      </c>
      <c r="O1111">
        <v>2.9</v>
      </c>
      <c r="P1111">
        <v>11</v>
      </c>
      <c r="Q1111">
        <v>40</v>
      </c>
      <c r="R1111">
        <v>110</v>
      </c>
      <c r="S1111">
        <v>220</v>
      </c>
      <c r="T1111">
        <v>2</v>
      </c>
      <c r="U1111">
        <v>2</v>
      </c>
      <c r="V1111">
        <f>River_data[[#This Row],[Dissolved Oxygen Min]]*River_data[[#This Row],[Dissolved Oxygen Max]]/2</f>
        <v>17.34</v>
      </c>
      <c r="W1111">
        <f>River_data[[#This Row],[BOD Min]]*River_data[[#This Row],[BOD Max]]/2</f>
        <v>6</v>
      </c>
      <c r="X1111">
        <f>AVERAGE(River_data[[#This Row],[pH Max]]-River_data[[#This Row],[pH Min]])</f>
        <v>1.4999999999999991</v>
      </c>
    </row>
    <row r="1112" spans="1:24" x14ac:dyDescent="0.3">
      <c r="A1112">
        <v>4257</v>
      </c>
      <c r="B1112" s="1" t="s">
        <v>1134</v>
      </c>
      <c r="C1112" s="1" t="s">
        <v>1098</v>
      </c>
      <c r="D1112">
        <v>26</v>
      </c>
      <c r="E1112">
        <v>27</v>
      </c>
      <c r="F1112">
        <v>0.3</v>
      </c>
      <c r="G1112">
        <v>5.9</v>
      </c>
      <c r="H1112">
        <v>6.9</v>
      </c>
      <c r="I1112">
        <v>8.4</v>
      </c>
      <c r="J1112">
        <v>438</v>
      </c>
      <c r="K1112">
        <v>2143</v>
      </c>
      <c r="L1112">
        <v>1.8</v>
      </c>
      <c r="M1112">
        <v>13</v>
      </c>
      <c r="N1112">
        <v>1.1200000000000001</v>
      </c>
      <c r="O1112">
        <v>6.6</v>
      </c>
      <c r="P1112">
        <v>2</v>
      </c>
      <c r="Q1112">
        <v>24</v>
      </c>
      <c r="R1112">
        <v>32</v>
      </c>
      <c r="S1112">
        <v>430</v>
      </c>
      <c r="T1112">
        <v>2</v>
      </c>
      <c r="U1112">
        <v>4</v>
      </c>
      <c r="V1112">
        <f>River_data[[#This Row],[Dissolved Oxygen Min]]*River_data[[#This Row],[Dissolved Oxygen Max]]/2</f>
        <v>0.88500000000000001</v>
      </c>
      <c r="W1112">
        <f>River_data[[#This Row],[BOD Min]]*River_data[[#This Row],[BOD Max]]/2</f>
        <v>11.700000000000001</v>
      </c>
      <c r="X1112">
        <f>AVERAGE(River_data[[#This Row],[pH Max]]-River_data[[#This Row],[pH Min]])</f>
        <v>1.5</v>
      </c>
    </row>
    <row r="1113" spans="1:24" x14ac:dyDescent="0.3">
      <c r="A1113">
        <v>4664</v>
      </c>
      <c r="B1113" s="1" t="s">
        <v>1135</v>
      </c>
      <c r="C1113" s="1" t="s">
        <v>1098</v>
      </c>
      <c r="D1113">
        <v>25</v>
      </c>
      <c r="E1113">
        <v>26</v>
      </c>
      <c r="F1113">
        <v>4</v>
      </c>
      <c r="G1113">
        <v>6</v>
      </c>
      <c r="H1113">
        <v>6.9</v>
      </c>
      <c r="I1113">
        <v>8.1</v>
      </c>
      <c r="J1113">
        <v>424</v>
      </c>
      <c r="K1113">
        <v>872</v>
      </c>
      <c r="L1113">
        <v>1.6</v>
      </c>
      <c r="M1113">
        <v>3.8</v>
      </c>
      <c r="N1113">
        <v>2.2000000000000002</v>
      </c>
      <c r="O1113">
        <v>3.28</v>
      </c>
      <c r="P1113">
        <v>2</v>
      </c>
      <c r="Q1113">
        <v>2</v>
      </c>
      <c r="R1113">
        <v>27</v>
      </c>
      <c r="S1113">
        <v>84</v>
      </c>
      <c r="T1113">
        <v>2</v>
      </c>
      <c r="U1113">
        <v>2</v>
      </c>
      <c r="V1113">
        <f>River_data[[#This Row],[Dissolved Oxygen Min]]*River_data[[#This Row],[Dissolved Oxygen Max]]/2</f>
        <v>12</v>
      </c>
      <c r="W1113">
        <f>River_data[[#This Row],[BOD Min]]*River_data[[#This Row],[BOD Max]]/2</f>
        <v>3.04</v>
      </c>
      <c r="X1113">
        <f>AVERAGE(River_data[[#This Row],[pH Max]]-River_data[[#This Row],[pH Min]])</f>
        <v>1.1999999999999993</v>
      </c>
    </row>
    <row r="1114" spans="1:24" x14ac:dyDescent="0.3">
      <c r="A1114">
        <v>1158</v>
      </c>
      <c r="B1114" s="1" t="s">
        <v>1136</v>
      </c>
      <c r="C1114" s="1" t="s">
        <v>1098</v>
      </c>
      <c r="D1114">
        <v>25</v>
      </c>
      <c r="E1114">
        <v>27</v>
      </c>
      <c r="F1114">
        <v>5.2</v>
      </c>
      <c r="G1114">
        <v>6.2</v>
      </c>
      <c r="H1114">
        <v>6.6</v>
      </c>
      <c r="I1114">
        <v>8.4</v>
      </c>
      <c r="J1114">
        <v>436</v>
      </c>
      <c r="K1114">
        <v>811</v>
      </c>
      <c r="L1114">
        <v>1</v>
      </c>
      <c r="M1114">
        <v>2.9</v>
      </c>
      <c r="N1114">
        <v>0.57999999999999996</v>
      </c>
      <c r="O1114">
        <v>3.24</v>
      </c>
      <c r="P1114">
        <v>2</v>
      </c>
      <c r="Q1114">
        <v>2</v>
      </c>
      <c r="R1114">
        <v>21</v>
      </c>
      <c r="S1114">
        <v>70</v>
      </c>
      <c r="T1114">
        <v>2</v>
      </c>
      <c r="U1114">
        <v>2</v>
      </c>
      <c r="V1114">
        <f>River_data[[#This Row],[Dissolved Oxygen Min]]*River_data[[#This Row],[Dissolved Oxygen Max]]/2</f>
        <v>16.12</v>
      </c>
      <c r="W1114">
        <f>River_data[[#This Row],[BOD Min]]*River_data[[#This Row],[BOD Max]]/2</f>
        <v>1.45</v>
      </c>
      <c r="X1114">
        <f>AVERAGE(River_data[[#This Row],[pH Max]]-River_data[[#This Row],[pH Min]])</f>
        <v>1.8000000000000007</v>
      </c>
    </row>
    <row r="1115" spans="1:24" x14ac:dyDescent="0.3">
      <c r="A1115">
        <v>1891</v>
      </c>
      <c r="B1115" s="1" t="s">
        <v>1137</v>
      </c>
      <c r="C1115" s="1" t="s">
        <v>1138</v>
      </c>
      <c r="D1115">
        <v>24</v>
      </c>
      <c r="E1115">
        <v>30</v>
      </c>
      <c r="F1115">
        <v>6.9</v>
      </c>
      <c r="G1115">
        <v>7.9</v>
      </c>
      <c r="H1115">
        <v>7.4</v>
      </c>
      <c r="I1115">
        <v>8.3000000000000007</v>
      </c>
      <c r="J1115">
        <v>390</v>
      </c>
      <c r="K1115">
        <v>582</v>
      </c>
      <c r="L1115">
        <v>2</v>
      </c>
      <c r="M1115">
        <v>3</v>
      </c>
      <c r="N1115">
        <v>0.57999999999999996</v>
      </c>
      <c r="O1115">
        <v>4</v>
      </c>
      <c r="P1115">
        <v>33</v>
      </c>
      <c r="Q1115">
        <v>540</v>
      </c>
      <c r="R1115">
        <v>140</v>
      </c>
      <c r="S1115">
        <v>2800</v>
      </c>
      <c r="V1115">
        <f>River_data[[#This Row],[Dissolved Oxygen Min]]*River_data[[#This Row],[Dissolved Oxygen Max]]/2</f>
        <v>27.255000000000003</v>
      </c>
      <c r="W1115">
        <f>River_data[[#This Row],[BOD Min]]*River_data[[#This Row],[BOD Max]]/2</f>
        <v>3</v>
      </c>
      <c r="X1115">
        <f>AVERAGE(River_data[[#This Row],[pH Max]]-River_data[[#This Row],[pH Min]])</f>
        <v>0.90000000000000036</v>
      </c>
    </row>
    <row r="1116" spans="1:24" x14ac:dyDescent="0.3">
      <c r="A1116">
        <v>1157</v>
      </c>
      <c r="B1116" s="1" t="s">
        <v>1139</v>
      </c>
      <c r="C1116" s="1" t="s">
        <v>1098</v>
      </c>
      <c r="D1116">
        <v>22</v>
      </c>
      <c r="E1116">
        <v>34</v>
      </c>
      <c r="F1116">
        <v>6.1</v>
      </c>
      <c r="G1116">
        <v>7.6</v>
      </c>
      <c r="H1116">
        <v>7.5</v>
      </c>
      <c r="I1116">
        <v>8.4</v>
      </c>
      <c r="J1116">
        <v>575</v>
      </c>
      <c r="K1116">
        <v>676</v>
      </c>
      <c r="L1116">
        <v>2.1</v>
      </c>
      <c r="M1116">
        <v>3.3</v>
      </c>
      <c r="N1116">
        <v>6.02</v>
      </c>
      <c r="O1116">
        <v>28.04</v>
      </c>
      <c r="P1116">
        <v>4</v>
      </c>
      <c r="Q1116">
        <v>6</v>
      </c>
      <c r="R1116">
        <v>27</v>
      </c>
      <c r="S1116">
        <v>39</v>
      </c>
      <c r="T1116">
        <v>4</v>
      </c>
      <c r="U1116">
        <v>5</v>
      </c>
      <c r="V1116">
        <f>River_data[[#This Row],[Dissolved Oxygen Min]]*River_data[[#This Row],[Dissolved Oxygen Max]]/2</f>
        <v>23.179999999999996</v>
      </c>
      <c r="W1116">
        <f>River_data[[#This Row],[BOD Min]]*River_data[[#This Row],[BOD Max]]/2</f>
        <v>3.4649999999999999</v>
      </c>
      <c r="X1116">
        <f>AVERAGE(River_data[[#This Row],[pH Max]]-River_data[[#This Row],[pH Min]])</f>
        <v>0.90000000000000036</v>
      </c>
    </row>
    <row r="1117" spans="1:24" x14ac:dyDescent="0.3">
      <c r="A1117">
        <v>1781</v>
      </c>
      <c r="B1117" s="1" t="s">
        <v>1140</v>
      </c>
      <c r="C1117" s="1" t="s">
        <v>1098</v>
      </c>
      <c r="D1117">
        <v>20</v>
      </c>
      <c r="E1117">
        <v>29</v>
      </c>
      <c r="F1117">
        <v>5.8</v>
      </c>
      <c r="G1117">
        <v>6.6</v>
      </c>
      <c r="H1117">
        <v>7</v>
      </c>
      <c r="I1117">
        <v>8.3000000000000007</v>
      </c>
      <c r="J1117">
        <v>605</v>
      </c>
      <c r="K1117">
        <v>758</v>
      </c>
      <c r="L1117">
        <v>2</v>
      </c>
      <c r="M1117">
        <v>3.2</v>
      </c>
      <c r="N1117">
        <v>5.03</v>
      </c>
      <c r="O1117">
        <v>123</v>
      </c>
      <c r="P1117">
        <v>8</v>
      </c>
      <c r="Q1117">
        <v>8</v>
      </c>
      <c r="R1117">
        <v>39</v>
      </c>
      <c r="S1117">
        <v>52</v>
      </c>
      <c r="T1117">
        <v>4</v>
      </c>
      <c r="U1117">
        <v>6</v>
      </c>
      <c r="V1117">
        <f>River_data[[#This Row],[Dissolved Oxygen Min]]*River_data[[#This Row],[Dissolved Oxygen Max]]/2</f>
        <v>19.139999999999997</v>
      </c>
      <c r="W1117">
        <f>River_data[[#This Row],[BOD Min]]*River_data[[#This Row],[BOD Max]]/2</f>
        <v>3.2</v>
      </c>
      <c r="X1117">
        <f>AVERAGE(River_data[[#This Row],[pH Max]]-River_data[[#This Row],[pH Min]])</f>
        <v>1.3000000000000007</v>
      </c>
    </row>
    <row r="1118" spans="1:24" x14ac:dyDescent="0.3">
      <c r="A1118">
        <v>2374</v>
      </c>
      <c r="B1118" s="1" t="s">
        <v>1141</v>
      </c>
      <c r="C1118" s="1" t="s">
        <v>1098</v>
      </c>
      <c r="D1118">
        <v>19</v>
      </c>
      <c r="E1118">
        <v>27</v>
      </c>
      <c r="F1118">
        <v>5.9</v>
      </c>
      <c r="G1118">
        <v>6.9</v>
      </c>
      <c r="H1118">
        <v>7.1</v>
      </c>
      <c r="I1118">
        <v>7.9</v>
      </c>
      <c r="J1118">
        <v>850</v>
      </c>
      <c r="K1118">
        <v>1020</v>
      </c>
      <c r="L1118">
        <v>2</v>
      </c>
      <c r="M1118">
        <v>3.2</v>
      </c>
      <c r="N1118">
        <v>10.06</v>
      </c>
      <c r="O1118">
        <v>29.04</v>
      </c>
      <c r="P1118">
        <v>7</v>
      </c>
      <c r="Q1118">
        <v>8</v>
      </c>
      <c r="R1118">
        <v>27</v>
      </c>
      <c r="S1118">
        <v>34</v>
      </c>
      <c r="T1118">
        <v>6</v>
      </c>
      <c r="U1118">
        <v>6</v>
      </c>
      <c r="V1118">
        <f>River_data[[#This Row],[Dissolved Oxygen Min]]*River_data[[#This Row],[Dissolved Oxygen Max]]/2</f>
        <v>20.355000000000004</v>
      </c>
      <c r="W1118">
        <f>River_data[[#This Row],[BOD Min]]*River_data[[#This Row],[BOD Max]]/2</f>
        <v>3.2</v>
      </c>
      <c r="X1118">
        <f>AVERAGE(River_data[[#This Row],[pH Max]]-River_data[[#This Row],[pH Min]])</f>
        <v>0.80000000000000071</v>
      </c>
    </row>
    <row r="1119" spans="1:24" x14ac:dyDescent="0.3">
      <c r="A1119">
        <v>2375</v>
      </c>
      <c r="B1119" s="1" t="s">
        <v>1142</v>
      </c>
      <c r="C1119" s="1" t="s">
        <v>1098</v>
      </c>
      <c r="D1119">
        <v>19</v>
      </c>
      <c r="E1119">
        <v>28</v>
      </c>
      <c r="F1119">
        <v>5.9</v>
      </c>
      <c r="G1119">
        <v>7</v>
      </c>
      <c r="H1119">
        <v>7.2</v>
      </c>
      <c r="I1119">
        <v>7.8</v>
      </c>
      <c r="J1119">
        <v>1203</v>
      </c>
      <c r="K1119">
        <v>1489</v>
      </c>
      <c r="L1119">
        <v>2.2999999999999998</v>
      </c>
      <c r="M1119">
        <v>3.9</v>
      </c>
      <c r="N1119">
        <v>14.13</v>
      </c>
      <c r="O1119">
        <v>26.12</v>
      </c>
      <c r="P1119">
        <v>6</v>
      </c>
      <c r="Q1119">
        <v>7</v>
      </c>
      <c r="R1119">
        <v>34</v>
      </c>
      <c r="S1119">
        <v>41</v>
      </c>
      <c r="T1119">
        <v>4</v>
      </c>
      <c r="U1119">
        <v>5</v>
      </c>
      <c r="V1119">
        <f>River_data[[#This Row],[Dissolved Oxygen Min]]*River_data[[#This Row],[Dissolved Oxygen Max]]/2</f>
        <v>20.650000000000002</v>
      </c>
      <c r="W1119">
        <f>River_data[[#This Row],[BOD Min]]*River_data[[#This Row],[BOD Max]]/2</f>
        <v>4.4849999999999994</v>
      </c>
      <c r="X1119">
        <f>AVERAGE(River_data[[#This Row],[pH Max]]-River_data[[#This Row],[pH Min]])</f>
        <v>0.59999999999999964</v>
      </c>
    </row>
    <row r="1120" spans="1:24" x14ac:dyDescent="0.3">
      <c r="A1120">
        <v>4226</v>
      </c>
      <c r="B1120" s="1" t="s">
        <v>1143</v>
      </c>
      <c r="C1120" s="1" t="s">
        <v>1098</v>
      </c>
      <c r="D1120">
        <v>16</v>
      </c>
      <c r="E1120">
        <v>28</v>
      </c>
      <c r="F1120">
        <v>6.2</v>
      </c>
      <c r="G1120">
        <v>7.3</v>
      </c>
      <c r="H1120">
        <v>7.1</v>
      </c>
      <c r="I1120">
        <v>8.3000000000000007</v>
      </c>
      <c r="J1120">
        <v>592</v>
      </c>
      <c r="K1120">
        <v>1195</v>
      </c>
      <c r="L1120">
        <v>2.2000000000000002</v>
      </c>
      <c r="M1120">
        <v>4</v>
      </c>
      <c r="N1120">
        <v>9.16</v>
      </c>
      <c r="O1120">
        <v>41.13</v>
      </c>
      <c r="P1120">
        <v>4</v>
      </c>
      <c r="Q1120">
        <v>6</v>
      </c>
      <c r="R1120">
        <v>18</v>
      </c>
      <c r="S1120">
        <v>84</v>
      </c>
      <c r="T1120">
        <v>2</v>
      </c>
      <c r="U1120">
        <v>2</v>
      </c>
      <c r="V1120">
        <f>River_data[[#This Row],[Dissolved Oxygen Min]]*River_data[[#This Row],[Dissolved Oxygen Max]]/2</f>
        <v>22.63</v>
      </c>
      <c r="W1120">
        <f>River_data[[#This Row],[BOD Min]]*River_data[[#This Row],[BOD Max]]/2</f>
        <v>4.4000000000000004</v>
      </c>
      <c r="X1120">
        <f>AVERAGE(River_data[[#This Row],[pH Max]]-River_data[[#This Row],[pH Min]])</f>
        <v>1.2000000000000011</v>
      </c>
    </row>
    <row r="1121" spans="1:24" x14ac:dyDescent="0.3">
      <c r="A1121">
        <v>2673</v>
      </c>
      <c r="B1121" s="1" t="s">
        <v>1144</v>
      </c>
      <c r="C1121" s="1" t="s">
        <v>938</v>
      </c>
      <c r="D1121">
        <v>18</v>
      </c>
      <c r="E1121">
        <v>20</v>
      </c>
      <c r="F1121">
        <v>6</v>
      </c>
      <c r="G1121">
        <v>6.5</v>
      </c>
      <c r="H1121">
        <v>8</v>
      </c>
      <c r="I1121">
        <v>8.5</v>
      </c>
      <c r="J1121">
        <v>641</v>
      </c>
      <c r="K1121">
        <v>792</v>
      </c>
      <c r="L1121">
        <v>5.2</v>
      </c>
      <c r="M1121">
        <v>5.2</v>
      </c>
      <c r="N1121">
        <v>0.59</v>
      </c>
      <c r="O1121">
        <v>0.62</v>
      </c>
      <c r="P1121">
        <v>2</v>
      </c>
      <c r="Q1121">
        <v>2</v>
      </c>
      <c r="R1121">
        <v>5</v>
      </c>
      <c r="S1121">
        <v>32</v>
      </c>
      <c r="T1121">
        <v>2</v>
      </c>
      <c r="U1121">
        <v>5</v>
      </c>
      <c r="V1121">
        <f>River_data[[#This Row],[Dissolved Oxygen Min]]*River_data[[#This Row],[Dissolved Oxygen Max]]/2</f>
        <v>19.5</v>
      </c>
      <c r="W1121">
        <f>River_data[[#This Row],[BOD Min]]*River_data[[#This Row],[BOD Max]]/2</f>
        <v>13.520000000000001</v>
      </c>
      <c r="X1121">
        <f>AVERAGE(River_data[[#This Row],[pH Max]]-River_data[[#This Row],[pH Min]])</f>
        <v>0.5</v>
      </c>
    </row>
    <row r="1122" spans="1:24" x14ac:dyDescent="0.3">
      <c r="A1122">
        <v>30055</v>
      </c>
      <c r="B1122" s="1" t="s">
        <v>1145</v>
      </c>
      <c r="C1122" s="1" t="s">
        <v>1138</v>
      </c>
      <c r="D1122">
        <v>24</v>
      </c>
      <c r="E1122">
        <v>28</v>
      </c>
      <c r="F1122">
        <v>7.7</v>
      </c>
      <c r="G1122">
        <v>9.3000000000000007</v>
      </c>
      <c r="H1122">
        <v>8.4</v>
      </c>
      <c r="I1122">
        <v>8.5</v>
      </c>
      <c r="J1122">
        <v>461</v>
      </c>
      <c r="K1122">
        <v>604</v>
      </c>
      <c r="L1122">
        <v>1</v>
      </c>
      <c r="M1122">
        <v>7</v>
      </c>
      <c r="N1122">
        <v>0</v>
      </c>
      <c r="O1122">
        <v>4.8</v>
      </c>
      <c r="P1122">
        <v>470</v>
      </c>
      <c r="Q1122">
        <v>1400</v>
      </c>
      <c r="R1122">
        <v>3500</v>
      </c>
      <c r="S1122">
        <v>7000</v>
      </c>
      <c r="V1122">
        <f>River_data[[#This Row],[Dissolved Oxygen Min]]*River_data[[#This Row],[Dissolved Oxygen Max]]/2</f>
        <v>35.805000000000007</v>
      </c>
      <c r="W1122">
        <f>River_data[[#This Row],[BOD Min]]*River_data[[#This Row],[BOD Max]]/2</f>
        <v>3.5</v>
      </c>
      <c r="X1122">
        <f>AVERAGE(River_data[[#This Row],[pH Max]]-River_data[[#This Row],[pH Min]])</f>
        <v>9.9999999999999645E-2</v>
      </c>
    </row>
    <row r="1123" spans="1:24" x14ac:dyDescent="0.3">
      <c r="A1123">
        <v>2675</v>
      </c>
      <c r="B1123" s="1" t="s">
        <v>1146</v>
      </c>
      <c r="C1123" s="1" t="s">
        <v>938</v>
      </c>
      <c r="D1123">
        <v>23</v>
      </c>
      <c r="E1123">
        <v>27</v>
      </c>
      <c r="F1123">
        <v>3.1</v>
      </c>
      <c r="G1123">
        <v>5.9</v>
      </c>
      <c r="H1123">
        <v>7.4</v>
      </c>
      <c r="I1123">
        <v>8.3000000000000007</v>
      </c>
      <c r="J1123">
        <v>891</v>
      </c>
      <c r="K1123">
        <v>1989</v>
      </c>
      <c r="L1123">
        <v>3</v>
      </c>
      <c r="M1123">
        <v>5.8</v>
      </c>
      <c r="N1123">
        <v>0.32</v>
      </c>
      <c r="O1123">
        <v>9.43</v>
      </c>
      <c r="P1123">
        <v>12</v>
      </c>
      <c r="Q1123">
        <v>48</v>
      </c>
      <c r="R1123">
        <v>120</v>
      </c>
      <c r="S1123">
        <v>210</v>
      </c>
      <c r="T1123">
        <v>2</v>
      </c>
      <c r="U1123">
        <v>2</v>
      </c>
      <c r="V1123">
        <f>River_data[[#This Row],[Dissolved Oxygen Min]]*River_data[[#This Row],[Dissolved Oxygen Max]]/2</f>
        <v>9.1450000000000014</v>
      </c>
      <c r="W1123">
        <f>River_data[[#This Row],[BOD Min]]*River_data[[#This Row],[BOD Max]]/2</f>
        <v>8.6999999999999993</v>
      </c>
      <c r="X1123">
        <f>AVERAGE(River_data[[#This Row],[pH Max]]-River_data[[#This Row],[pH Min]])</f>
        <v>0.90000000000000036</v>
      </c>
    </row>
    <row r="1124" spans="1:24" x14ac:dyDescent="0.3">
      <c r="A1124">
        <v>2349</v>
      </c>
      <c r="B1124" s="1" t="s">
        <v>1147</v>
      </c>
      <c r="C1124" s="1" t="s">
        <v>1098</v>
      </c>
      <c r="D1124">
        <v>18</v>
      </c>
      <c r="E1124">
        <v>21</v>
      </c>
      <c r="F1124">
        <v>4.2</v>
      </c>
      <c r="G1124">
        <v>5.4</v>
      </c>
      <c r="H1124">
        <v>6.8</v>
      </c>
      <c r="I1124">
        <v>7.3</v>
      </c>
      <c r="J1124">
        <v>1206</v>
      </c>
      <c r="K1124">
        <v>1555</v>
      </c>
      <c r="L1124">
        <v>3.5</v>
      </c>
      <c r="M1124">
        <v>4.8</v>
      </c>
      <c r="N1124">
        <v>20.12</v>
      </c>
      <c r="O1124">
        <v>40.130000000000003</v>
      </c>
      <c r="P1124">
        <v>8</v>
      </c>
      <c r="Q1124">
        <v>8</v>
      </c>
      <c r="R1124">
        <v>79</v>
      </c>
      <c r="S1124">
        <v>94</v>
      </c>
      <c r="T1124">
        <v>7</v>
      </c>
      <c r="U1124">
        <v>8</v>
      </c>
      <c r="V1124">
        <f>River_data[[#This Row],[Dissolved Oxygen Min]]*River_data[[#This Row],[Dissolved Oxygen Max]]/2</f>
        <v>11.340000000000002</v>
      </c>
      <c r="W1124">
        <f>River_data[[#This Row],[BOD Min]]*River_data[[#This Row],[BOD Max]]/2</f>
        <v>8.4</v>
      </c>
      <c r="X1124">
        <f>AVERAGE(River_data[[#This Row],[pH Max]]-River_data[[#This Row],[pH Min]])</f>
        <v>0.5</v>
      </c>
    </row>
    <row r="1125" spans="1:24" x14ac:dyDescent="0.3">
      <c r="A1125">
        <v>1214</v>
      </c>
      <c r="B1125" s="1" t="s">
        <v>1148</v>
      </c>
      <c r="C1125" s="1" t="s">
        <v>352</v>
      </c>
      <c r="D1125">
        <v>19</v>
      </c>
      <c r="E1125">
        <v>30</v>
      </c>
      <c r="F1125">
        <v>7.1</v>
      </c>
      <c r="G1125">
        <v>7.7</v>
      </c>
      <c r="H1125">
        <v>7.2</v>
      </c>
      <c r="I1125">
        <v>8.1</v>
      </c>
      <c r="J1125">
        <v>264</v>
      </c>
      <c r="K1125">
        <v>716</v>
      </c>
      <c r="L1125">
        <v>1.4</v>
      </c>
      <c r="M1125">
        <v>2</v>
      </c>
      <c r="N1125">
        <v>0.47</v>
      </c>
      <c r="O1125">
        <v>5.04</v>
      </c>
      <c r="P1125">
        <v>2</v>
      </c>
      <c r="Q1125">
        <v>10</v>
      </c>
      <c r="R1125">
        <v>15</v>
      </c>
      <c r="S1125">
        <v>120</v>
      </c>
      <c r="V1125">
        <f>River_data[[#This Row],[Dissolved Oxygen Min]]*River_data[[#This Row],[Dissolved Oxygen Max]]/2</f>
        <v>27.335000000000001</v>
      </c>
      <c r="W1125">
        <f>River_data[[#This Row],[BOD Min]]*River_data[[#This Row],[BOD Max]]/2</f>
        <v>1.4</v>
      </c>
      <c r="X1125">
        <f>AVERAGE(River_data[[#This Row],[pH Max]]-River_data[[#This Row],[pH Min]])</f>
        <v>0.89999999999999947</v>
      </c>
    </row>
    <row r="1126" spans="1:24" x14ac:dyDescent="0.3">
      <c r="A1126">
        <v>5541</v>
      </c>
      <c r="B1126" s="1" t="s">
        <v>1149</v>
      </c>
      <c r="C1126" s="1" t="s">
        <v>352</v>
      </c>
      <c r="D1126">
        <v>19</v>
      </c>
      <c r="E1126">
        <v>31</v>
      </c>
      <c r="F1126">
        <v>7.1</v>
      </c>
      <c r="G1126">
        <v>7.8</v>
      </c>
      <c r="H1126">
        <v>7.1</v>
      </c>
      <c r="I1126">
        <v>8.1</v>
      </c>
      <c r="J1126">
        <v>322</v>
      </c>
      <c r="K1126">
        <v>716</v>
      </c>
      <c r="L1126">
        <v>1</v>
      </c>
      <c r="M1126">
        <v>2</v>
      </c>
      <c r="N1126">
        <v>0</v>
      </c>
      <c r="O1126">
        <v>5.0999999999999996</v>
      </c>
      <c r="P1126">
        <v>2</v>
      </c>
      <c r="Q1126">
        <v>7</v>
      </c>
      <c r="R1126">
        <v>15</v>
      </c>
      <c r="S1126">
        <v>120</v>
      </c>
      <c r="V1126">
        <f>River_data[[#This Row],[Dissolved Oxygen Min]]*River_data[[#This Row],[Dissolved Oxygen Max]]/2</f>
        <v>27.689999999999998</v>
      </c>
      <c r="W1126">
        <f>River_data[[#This Row],[BOD Min]]*River_data[[#This Row],[BOD Max]]/2</f>
        <v>1</v>
      </c>
      <c r="X1126">
        <f>AVERAGE(River_data[[#This Row],[pH Max]]-River_data[[#This Row],[pH Min]])</f>
        <v>1</v>
      </c>
    </row>
    <row r="1127" spans="1:24" x14ac:dyDescent="0.3">
      <c r="A1127">
        <v>2699</v>
      </c>
      <c r="B1127" s="1" t="s">
        <v>1150</v>
      </c>
      <c r="C1127" s="1" t="s">
        <v>938</v>
      </c>
      <c r="D1127">
        <v>23</v>
      </c>
      <c r="E1127">
        <v>28</v>
      </c>
      <c r="F1127">
        <v>5.2</v>
      </c>
      <c r="G1127">
        <v>6.1</v>
      </c>
      <c r="H1127">
        <v>7.8</v>
      </c>
      <c r="I1127">
        <v>8.4</v>
      </c>
      <c r="J1127">
        <v>780</v>
      </c>
      <c r="K1127">
        <v>1214</v>
      </c>
      <c r="L1127">
        <v>3</v>
      </c>
      <c r="M1127">
        <v>4</v>
      </c>
      <c r="N1127">
        <v>0.32</v>
      </c>
      <c r="O1127">
        <v>7.08</v>
      </c>
      <c r="P1127">
        <v>12</v>
      </c>
      <c r="Q1127">
        <v>41</v>
      </c>
      <c r="R1127">
        <v>110</v>
      </c>
      <c r="S1127">
        <v>170</v>
      </c>
      <c r="T1127">
        <v>2</v>
      </c>
      <c r="U1127">
        <v>2</v>
      </c>
      <c r="V1127">
        <f>River_data[[#This Row],[Dissolved Oxygen Min]]*River_data[[#This Row],[Dissolved Oxygen Max]]/2</f>
        <v>15.86</v>
      </c>
      <c r="W1127">
        <f>River_data[[#This Row],[BOD Min]]*River_data[[#This Row],[BOD Max]]/2</f>
        <v>6</v>
      </c>
      <c r="X1127">
        <f>AVERAGE(River_data[[#This Row],[pH Max]]-River_data[[#This Row],[pH Min]])</f>
        <v>0.60000000000000053</v>
      </c>
    </row>
    <row r="1128" spans="1:24" x14ac:dyDescent="0.3">
      <c r="A1128">
        <v>2698</v>
      </c>
      <c r="B1128" s="1" t="s">
        <v>1151</v>
      </c>
      <c r="C1128" s="1" t="s">
        <v>938</v>
      </c>
      <c r="D1128">
        <v>19</v>
      </c>
      <c r="E1128">
        <v>23</v>
      </c>
      <c r="F1128">
        <v>5.6</v>
      </c>
      <c r="G1128">
        <v>5.9</v>
      </c>
      <c r="H1128">
        <v>7.7</v>
      </c>
      <c r="I1128">
        <v>8.6999999999999993</v>
      </c>
      <c r="J1128">
        <v>665</v>
      </c>
      <c r="K1128">
        <v>1226</v>
      </c>
      <c r="L1128">
        <v>3.2</v>
      </c>
      <c r="M1128">
        <v>3.8</v>
      </c>
      <c r="N1128">
        <v>0.3</v>
      </c>
      <c r="O1128">
        <v>3.75</v>
      </c>
      <c r="P1128">
        <v>12</v>
      </c>
      <c r="Q1128">
        <v>46</v>
      </c>
      <c r="R1128">
        <v>110</v>
      </c>
      <c r="S1128">
        <v>220</v>
      </c>
      <c r="T1128">
        <v>2</v>
      </c>
      <c r="U1128">
        <v>2</v>
      </c>
      <c r="V1128">
        <f>River_data[[#This Row],[Dissolved Oxygen Min]]*River_data[[#This Row],[Dissolved Oxygen Max]]/2</f>
        <v>16.52</v>
      </c>
      <c r="W1128">
        <f>River_data[[#This Row],[BOD Min]]*River_data[[#This Row],[BOD Max]]/2</f>
        <v>6.08</v>
      </c>
      <c r="X1128">
        <f>AVERAGE(River_data[[#This Row],[pH Max]]-River_data[[#This Row],[pH Min]])</f>
        <v>0.99999999999999911</v>
      </c>
    </row>
    <row r="1129" spans="1:24" x14ac:dyDescent="0.3">
      <c r="A1129">
        <v>2697</v>
      </c>
      <c r="B1129" s="1" t="s">
        <v>1152</v>
      </c>
      <c r="C1129" s="1" t="s">
        <v>938</v>
      </c>
      <c r="D1129">
        <v>20</v>
      </c>
      <c r="E1129">
        <v>22</v>
      </c>
      <c r="F1129">
        <v>5.7</v>
      </c>
      <c r="G1129">
        <v>6.2</v>
      </c>
      <c r="H1129">
        <v>7.8</v>
      </c>
      <c r="I1129">
        <v>8.6999999999999993</v>
      </c>
      <c r="J1129">
        <v>650</v>
      </c>
      <c r="K1129">
        <v>1146</v>
      </c>
      <c r="L1129">
        <v>3</v>
      </c>
      <c r="M1129">
        <v>3.6</v>
      </c>
      <c r="N1129">
        <v>0.3</v>
      </c>
      <c r="O1129">
        <v>3.57</v>
      </c>
      <c r="P1129">
        <v>12</v>
      </c>
      <c r="Q1129">
        <v>40</v>
      </c>
      <c r="R1129">
        <v>94</v>
      </c>
      <c r="S1129">
        <v>210</v>
      </c>
      <c r="T1129">
        <v>2</v>
      </c>
      <c r="U1129">
        <v>2</v>
      </c>
      <c r="V1129">
        <f>River_data[[#This Row],[Dissolved Oxygen Min]]*River_data[[#This Row],[Dissolved Oxygen Max]]/2</f>
        <v>17.670000000000002</v>
      </c>
      <c r="W1129">
        <f>River_data[[#This Row],[BOD Min]]*River_data[[#This Row],[BOD Max]]/2</f>
        <v>5.4</v>
      </c>
      <c r="X1129">
        <f>AVERAGE(River_data[[#This Row],[pH Max]]-River_data[[#This Row],[pH Min]])</f>
        <v>0.89999999999999947</v>
      </c>
    </row>
    <row r="1130" spans="1:24" x14ac:dyDescent="0.3">
      <c r="A1130">
        <v>2373</v>
      </c>
      <c r="B1130" s="1" t="s">
        <v>1153</v>
      </c>
      <c r="C1130" s="1" t="s">
        <v>1115</v>
      </c>
      <c r="D1130">
        <v>23</v>
      </c>
      <c r="E1130">
        <v>28</v>
      </c>
      <c r="F1130">
        <v>6</v>
      </c>
      <c r="G1130">
        <v>7.6</v>
      </c>
      <c r="H1130">
        <v>7.4</v>
      </c>
      <c r="I1130">
        <v>8.5</v>
      </c>
      <c r="J1130">
        <v>70</v>
      </c>
      <c r="K1130">
        <v>1178</v>
      </c>
      <c r="L1130">
        <v>1.2</v>
      </c>
      <c r="M1130">
        <v>2.9</v>
      </c>
      <c r="N1130">
        <v>0.32</v>
      </c>
      <c r="O1130">
        <v>2.02</v>
      </c>
      <c r="P1130">
        <v>2</v>
      </c>
      <c r="Q1130">
        <v>7</v>
      </c>
      <c r="R1130">
        <v>28</v>
      </c>
      <c r="S1130">
        <v>93</v>
      </c>
      <c r="T1130">
        <v>2</v>
      </c>
      <c r="U1130">
        <v>3</v>
      </c>
      <c r="V1130">
        <f>River_data[[#This Row],[Dissolved Oxygen Min]]*River_data[[#This Row],[Dissolved Oxygen Max]]/2</f>
        <v>22.799999999999997</v>
      </c>
      <c r="W1130">
        <f>River_data[[#This Row],[BOD Min]]*River_data[[#This Row],[BOD Max]]/2</f>
        <v>1.74</v>
      </c>
      <c r="X1130">
        <f>AVERAGE(River_data[[#This Row],[pH Max]]-River_data[[#This Row],[pH Min]])</f>
        <v>1.0999999999999996</v>
      </c>
    </row>
    <row r="1131" spans="1:24" x14ac:dyDescent="0.3">
      <c r="A1131">
        <v>3330</v>
      </c>
      <c r="B1131" s="1" t="s">
        <v>1154</v>
      </c>
      <c r="C1131" s="1" t="s">
        <v>352</v>
      </c>
      <c r="D1131">
        <v>20.3</v>
      </c>
      <c r="E1131">
        <v>24.1</v>
      </c>
      <c r="F1131">
        <v>6.9</v>
      </c>
      <c r="G1131">
        <v>7.8</v>
      </c>
      <c r="H1131">
        <v>7.2</v>
      </c>
      <c r="I1131">
        <v>7.9</v>
      </c>
      <c r="J1131">
        <v>238</v>
      </c>
      <c r="K1131">
        <v>368</v>
      </c>
      <c r="L1131">
        <v>1.2</v>
      </c>
      <c r="M1131">
        <v>1.6</v>
      </c>
      <c r="N1131">
        <v>0.19</v>
      </c>
      <c r="O1131">
        <v>1.6</v>
      </c>
      <c r="P1131">
        <v>2</v>
      </c>
      <c r="Q1131">
        <v>7</v>
      </c>
      <c r="R1131">
        <v>23</v>
      </c>
      <c r="S1131">
        <v>48</v>
      </c>
      <c r="V1131">
        <f>River_data[[#This Row],[Dissolved Oxygen Min]]*River_data[[#This Row],[Dissolved Oxygen Max]]/2</f>
        <v>26.91</v>
      </c>
      <c r="W1131">
        <f>River_data[[#This Row],[BOD Min]]*River_data[[#This Row],[BOD Max]]/2</f>
        <v>0.96</v>
      </c>
      <c r="X1131">
        <f>AVERAGE(River_data[[#This Row],[pH Max]]-River_data[[#This Row],[pH Min]])</f>
        <v>0.70000000000000018</v>
      </c>
    </row>
    <row r="1132" spans="1:24" x14ac:dyDescent="0.3">
      <c r="A1132">
        <v>3331</v>
      </c>
      <c r="B1132" s="1" t="s">
        <v>1155</v>
      </c>
      <c r="C1132" s="1" t="s">
        <v>352</v>
      </c>
      <c r="D1132">
        <v>20.7</v>
      </c>
      <c r="E1132">
        <v>24.2</v>
      </c>
      <c r="F1132">
        <v>5.4</v>
      </c>
      <c r="G1132">
        <v>7.8</v>
      </c>
      <c r="H1132">
        <v>7.1</v>
      </c>
      <c r="I1132">
        <v>7.9</v>
      </c>
      <c r="J1132">
        <v>257</v>
      </c>
      <c r="K1132">
        <v>421</v>
      </c>
      <c r="L1132">
        <v>1.6</v>
      </c>
      <c r="M1132">
        <v>2.4</v>
      </c>
      <c r="N1132">
        <v>0.23</v>
      </c>
      <c r="O1132">
        <v>1.34</v>
      </c>
      <c r="P1132">
        <v>2</v>
      </c>
      <c r="Q1132">
        <v>10</v>
      </c>
      <c r="R1132">
        <v>39</v>
      </c>
      <c r="S1132">
        <v>150</v>
      </c>
      <c r="V1132">
        <f>River_data[[#This Row],[Dissolved Oxygen Min]]*River_data[[#This Row],[Dissolved Oxygen Max]]/2</f>
        <v>21.060000000000002</v>
      </c>
      <c r="W1132">
        <f>River_data[[#This Row],[BOD Min]]*River_data[[#This Row],[BOD Max]]/2</f>
        <v>1.92</v>
      </c>
      <c r="X1132">
        <f>AVERAGE(River_data[[#This Row],[pH Max]]-River_data[[#This Row],[pH Min]])</f>
        <v>0.80000000000000071</v>
      </c>
    </row>
    <row r="1133" spans="1:24" x14ac:dyDescent="0.3">
      <c r="A1133">
        <v>1213</v>
      </c>
      <c r="B1133" s="1" t="s">
        <v>1156</v>
      </c>
      <c r="C1133" s="1" t="s">
        <v>352</v>
      </c>
      <c r="D1133">
        <v>20.2</v>
      </c>
      <c r="E1133">
        <v>24.2</v>
      </c>
      <c r="F1133">
        <v>7.2</v>
      </c>
      <c r="G1133">
        <v>7.7</v>
      </c>
      <c r="H1133">
        <v>7.2</v>
      </c>
      <c r="I1133">
        <v>7.8</v>
      </c>
      <c r="J1133">
        <v>270</v>
      </c>
      <c r="K1133">
        <v>519</v>
      </c>
      <c r="L1133">
        <v>1.6</v>
      </c>
      <c r="M1133">
        <v>1.9</v>
      </c>
      <c r="N1133">
        <v>0.03</v>
      </c>
      <c r="O1133">
        <v>1.6</v>
      </c>
      <c r="P1133">
        <v>2</v>
      </c>
      <c r="Q1133">
        <v>17</v>
      </c>
      <c r="R1133">
        <v>15</v>
      </c>
      <c r="S1133">
        <v>170</v>
      </c>
      <c r="V1133">
        <f>River_data[[#This Row],[Dissolved Oxygen Min]]*River_data[[#This Row],[Dissolved Oxygen Max]]/2</f>
        <v>27.720000000000002</v>
      </c>
      <c r="W1133">
        <f>River_data[[#This Row],[BOD Min]]*River_data[[#This Row],[BOD Max]]/2</f>
        <v>1.52</v>
      </c>
      <c r="X1133">
        <f>AVERAGE(River_data[[#This Row],[pH Max]]-River_data[[#This Row],[pH Min]])</f>
        <v>0.59999999999999964</v>
      </c>
    </row>
    <row r="1134" spans="1:24" x14ac:dyDescent="0.3">
      <c r="A1134">
        <v>30041</v>
      </c>
      <c r="B1134" s="1" t="s">
        <v>1157</v>
      </c>
      <c r="C1134" s="1" t="s">
        <v>938</v>
      </c>
      <c r="D1134">
        <v>21</v>
      </c>
      <c r="E1134">
        <v>21</v>
      </c>
      <c r="F1134">
        <v>6</v>
      </c>
      <c r="G1134">
        <v>6</v>
      </c>
      <c r="H1134">
        <v>8.6</v>
      </c>
      <c r="I1134">
        <v>8.6</v>
      </c>
      <c r="J1134">
        <v>736</v>
      </c>
      <c r="K1134">
        <v>736</v>
      </c>
      <c r="L1134">
        <v>3</v>
      </c>
      <c r="M1134">
        <v>3</v>
      </c>
      <c r="N1134">
        <v>0.68</v>
      </c>
      <c r="O1134">
        <v>0.68</v>
      </c>
      <c r="P1134">
        <v>22</v>
      </c>
      <c r="Q1134">
        <v>22</v>
      </c>
      <c r="R1134">
        <v>120</v>
      </c>
      <c r="S1134">
        <v>120</v>
      </c>
      <c r="T1134">
        <v>2</v>
      </c>
      <c r="U1134">
        <v>2</v>
      </c>
      <c r="V1134">
        <f>River_data[[#This Row],[Dissolved Oxygen Min]]*River_data[[#This Row],[Dissolved Oxygen Max]]/2</f>
        <v>18</v>
      </c>
      <c r="W1134">
        <f>River_data[[#This Row],[BOD Min]]*River_data[[#This Row],[BOD Max]]/2</f>
        <v>4.5</v>
      </c>
      <c r="X1134">
        <f>AVERAGE(River_data[[#This Row],[pH Max]]-River_data[[#This Row],[pH Min]])</f>
        <v>0</v>
      </c>
    </row>
    <row r="1135" spans="1:24" x14ac:dyDescent="0.3">
      <c r="A1135">
        <v>2173</v>
      </c>
      <c r="B1135" s="1" t="s">
        <v>1158</v>
      </c>
      <c r="C1135" s="1" t="s">
        <v>938</v>
      </c>
      <c r="D1135">
        <v>18</v>
      </c>
      <c r="E1135">
        <v>39</v>
      </c>
      <c r="F1135">
        <v>6</v>
      </c>
      <c r="G1135">
        <v>6.7</v>
      </c>
      <c r="H1135">
        <v>7.7</v>
      </c>
      <c r="I1135">
        <v>8.6999999999999993</v>
      </c>
      <c r="J1135">
        <v>667</v>
      </c>
      <c r="K1135">
        <v>1210</v>
      </c>
      <c r="L1135">
        <v>3</v>
      </c>
      <c r="M1135">
        <v>3.2</v>
      </c>
      <c r="N1135">
        <v>0.3</v>
      </c>
      <c r="O1135">
        <v>2.87</v>
      </c>
      <c r="P1135">
        <v>12</v>
      </c>
      <c r="Q1135">
        <v>42</v>
      </c>
      <c r="R1135">
        <v>120</v>
      </c>
      <c r="S1135">
        <v>280</v>
      </c>
      <c r="T1135">
        <v>2</v>
      </c>
      <c r="U1135">
        <v>2</v>
      </c>
      <c r="V1135">
        <f>River_data[[#This Row],[Dissolved Oxygen Min]]*River_data[[#This Row],[Dissolved Oxygen Max]]/2</f>
        <v>20.100000000000001</v>
      </c>
      <c r="W1135">
        <f>River_data[[#This Row],[BOD Min]]*River_data[[#This Row],[BOD Max]]/2</f>
        <v>4.8000000000000007</v>
      </c>
      <c r="X1135">
        <f>AVERAGE(River_data[[#This Row],[pH Max]]-River_data[[#This Row],[pH Min]])</f>
        <v>0.99999999999999911</v>
      </c>
    </row>
    <row r="1136" spans="1:24" x14ac:dyDescent="0.3">
      <c r="A1136">
        <v>2172</v>
      </c>
      <c r="B1136" s="1" t="s">
        <v>1159</v>
      </c>
      <c r="C1136" s="1" t="s">
        <v>938</v>
      </c>
      <c r="D1136">
        <v>18</v>
      </c>
      <c r="E1136">
        <v>39</v>
      </c>
      <c r="F1136">
        <v>5.5</v>
      </c>
      <c r="G1136">
        <v>6.8</v>
      </c>
      <c r="H1136">
        <v>7.8</v>
      </c>
      <c r="I1136">
        <v>8.8000000000000007</v>
      </c>
      <c r="J1136">
        <v>739</v>
      </c>
      <c r="K1136">
        <v>1290</v>
      </c>
      <c r="L1136">
        <v>3</v>
      </c>
      <c r="M1136">
        <v>3.5</v>
      </c>
      <c r="N1136">
        <v>0.3</v>
      </c>
      <c r="O1136">
        <v>1.1200000000000001</v>
      </c>
      <c r="P1136">
        <v>24</v>
      </c>
      <c r="Q1136">
        <v>43</v>
      </c>
      <c r="R1136">
        <v>210</v>
      </c>
      <c r="S1136">
        <v>430</v>
      </c>
      <c r="T1136">
        <v>2</v>
      </c>
      <c r="U1136">
        <v>2</v>
      </c>
      <c r="V1136">
        <f>River_data[[#This Row],[Dissolved Oxygen Min]]*River_data[[#This Row],[Dissolved Oxygen Max]]/2</f>
        <v>18.7</v>
      </c>
      <c r="W1136">
        <f>River_data[[#This Row],[BOD Min]]*River_data[[#This Row],[BOD Max]]/2</f>
        <v>5.25</v>
      </c>
      <c r="X1136">
        <f>AVERAGE(River_data[[#This Row],[pH Max]]-River_data[[#This Row],[pH Min]])</f>
        <v>1.0000000000000009</v>
      </c>
    </row>
    <row r="1137" spans="1:24" x14ac:dyDescent="0.3">
      <c r="A1137">
        <v>2175</v>
      </c>
      <c r="B1137" s="1" t="s">
        <v>1160</v>
      </c>
      <c r="C1137" s="1" t="s">
        <v>938</v>
      </c>
      <c r="D1137">
        <v>19</v>
      </c>
      <c r="E1137">
        <v>22</v>
      </c>
      <c r="F1137">
        <v>5.7</v>
      </c>
      <c r="G1137">
        <v>7</v>
      </c>
      <c r="H1137">
        <v>7.9</v>
      </c>
      <c r="I1137">
        <v>8.8000000000000007</v>
      </c>
      <c r="J1137">
        <v>654</v>
      </c>
      <c r="K1137">
        <v>1230</v>
      </c>
      <c r="L1137">
        <v>3</v>
      </c>
      <c r="M1137">
        <v>3.4</v>
      </c>
      <c r="N1137">
        <v>0.3</v>
      </c>
      <c r="O1137">
        <v>3.24</v>
      </c>
      <c r="P1137">
        <v>11</v>
      </c>
      <c r="Q1137">
        <v>43</v>
      </c>
      <c r="R1137">
        <v>170</v>
      </c>
      <c r="S1137">
        <v>350</v>
      </c>
      <c r="T1137">
        <v>2</v>
      </c>
      <c r="U1137">
        <v>2</v>
      </c>
      <c r="V1137">
        <f>River_data[[#This Row],[Dissolved Oxygen Min]]*River_data[[#This Row],[Dissolved Oxygen Max]]/2</f>
        <v>19.95</v>
      </c>
      <c r="W1137">
        <f>River_data[[#This Row],[BOD Min]]*River_data[[#This Row],[BOD Max]]/2</f>
        <v>5.0999999999999996</v>
      </c>
      <c r="X1137">
        <f>AVERAGE(River_data[[#This Row],[pH Max]]-River_data[[#This Row],[pH Min]])</f>
        <v>0.90000000000000036</v>
      </c>
    </row>
    <row r="1138" spans="1:24" x14ac:dyDescent="0.3">
      <c r="A1138">
        <v>2176</v>
      </c>
      <c r="B1138" s="1" t="s">
        <v>1161</v>
      </c>
      <c r="C1138" s="1" t="s">
        <v>938</v>
      </c>
      <c r="D1138">
        <v>19</v>
      </c>
      <c r="E1138">
        <v>22</v>
      </c>
      <c r="F1138">
        <v>5.5</v>
      </c>
      <c r="G1138">
        <v>6.7</v>
      </c>
      <c r="H1138">
        <v>7.8</v>
      </c>
      <c r="I1138">
        <v>8.8000000000000007</v>
      </c>
      <c r="J1138">
        <v>549</v>
      </c>
      <c r="K1138">
        <v>1375</v>
      </c>
      <c r="L1138">
        <v>3.2</v>
      </c>
      <c r="M1138">
        <v>4.5</v>
      </c>
      <c r="N1138">
        <v>0.3</v>
      </c>
      <c r="O1138">
        <v>3.22</v>
      </c>
      <c r="P1138">
        <v>17</v>
      </c>
      <c r="Q1138">
        <v>47</v>
      </c>
      <c r="R1138">
        <v>110</v>
      </c>
      <c r="S1138">
        <v>430</v>
      </c>
      <c r="T1138">
        <v>2</v>
      </c>
      <c r="U1138">
        <v>2</v>
      </c>
      <c r="V1138">
        <f>River_data[[#This Row],[Dissolved Oxygen Min]]*River_data[[#This Row],[Dissolved Oxygen Max]]/2</f>
        <v>18.425000000000001</v>
      </c>
      <c r="W1138">
        <f>River_data[[#This Row],[BOD Min]]*River_data[[#This Row],[BOD Max]]/2</f>
        <v>7.2</v>
      </c>
      <c r="X1138">
        <f>AVERAGE(River_data[[#This Row],[pH Max]]-River_data[[#This Row],[pH Min]])</f>
        <v>1.0000000000000009</v>
      </c>
    </row>
    <row r="1139" spans="1:24" x14ac:dyDescent="0.3">
      <c r="A1139">
        <v>1910</v>
      </c>
      <c r="B1139" s="1" t="s">
        <v>1162</v>
      </c>
      <c r="C1139" s="1" t="s">
        <v>938</v>
      </c>
      <c r="D1139">
        <v>16</v>
      </c>
      <c r="E1139">
        <v>21</v>
      </c>
      <c r="F1139">
        <v>3.9</v>
      </c>
      <c r="G1139">
        <v>6.1</v>
      </c>
      <c r="H1139">
        <v>7.6</v>
      </c>
      <c r="I1139">
        <v>9</v>
      </c>
      <c r="J1139">
        <v>789</v>
      </c>
      <c r="K1139">
        <v>1126</v>
      </c>
      <c r="L1139">
        <v>3.1</v>
      </c>
      <c r="M1139">
        <v>5</v>
      </c>
      <c r="N1139">
        <v>0.3</v>
      </c>
      <c r="O1139">
        <v>1.1399999999999999</v>
      </c>
      <c r="P1139">
        <v>12</v>
      </c>
      <c r="Q1139">
        <v>38</v>
      </c>
      <c r="R1139">
        <v>110</v>
      </c>
      <c r="S1139">
        <v>280</v>
      </c>
      <c r="T1139">
        <v>2</v>
      </c>
      <c r="U1139">
        <v>2</v>
      </c>
      <c r="V1139">
        <f>River_data[[#This Row],[Dissolved Oxygen Min]]*River_data[[#This Row],[Dissolved Oxygen Max]]/2</f>
        <v>11.895</v>
      </c>
      <c r="W1139">
        <f>River_data[[#This Row],[BOD Min]]*River_data[[#This Row],[BOD Max]]/2</f>
        <v>7.75</v>
      </c>
      <c r="X1139">
        <f>AVERAGE(River_data[[#This Row],[pH Max]]-River_data[[#This Row],[pH Min]])</f>
        <v>1.4000000000000004</v>
      </c>
    </row>
    <row r="1140" spans="1:24" x14ac:dyDescent="0.3">
      <c r="A1140">
        <v>11</v>
      </c>
      <c r="B1140" s="1" t="s">
        <v>1163</v>
      </c>
      <c r="C1140" s="1" t="s">
        <v>938</v>
      </c>
      <c r="D1140">
        <v>19</v>
      </c>
      <c r="E1140">
        <v>23</v>
      </c>
      <c r="F1140">
        <v>2.5</v>
      </c>
      <c r="G1140">
        <v>6.1</v>
      </c>
      <c r="H1140">
        <v>7.9</v>
      </c>
      <c r="I1140">
        <v>8.8000000000000007</v>
      </c>
      <c r="J1140">
        <v>674</v>
      </c>
      <c r="K1140">
        <v>1251</v>
      </c>
      <c r="L1140">
        <v>3.2</v>
      </c>
      <c r="M1140">
        <v>8.4</v>
      </c>
      <c r="N1140">
        <v>0.3</v>
      </c>
      <c r="O1140">
        <v>3.24</v>
      </c>
      <c r="P1140">
        <v>14</v>
      </c>
      <c r="Q1140">
        <v>34</v>
      </c>
      <c r="R1140">
        <v>94</v>
      </c>
      <c r="S1140">
        <v>220</v>
      </c>
      <c r="T1140">
        <v>2</v>
      </c>
      <c r="U1140">
        <v>2</v>
      </c>
      <c r="V1140">
        <f>River_data[[#This Row],[Dissolved Oxygen Min]]*River_data[[#This Row],[Dissolved Oxygen Max]]/2</f>
        <v>7.625</v>
      </c>
      <c r="W1140">
        <f>River_data[[#This Row],[BOD Min]]*River_data[[#This Row],[BOD Max]]/2</f>
        <v>13.440000000000001</v>
      </c>
      <c r="X1140">
        <f>AVERAGE(River_data[[#This Row],[pH Max]]-River_data[[#This Row],[pH Min]])</f>
        <v>0.90000000000000036</v>
      </c>
    </row>
    <row r="1141" spans="1:24" x14ac:dyDescent="0.3">
      <c r="A1141">
        <v>30059</v>
      </c>
      <c r="B1141" s="1" t="s">
        <v>1164</v>
      </c>
      <c r="C1141" s="1" t="s">
        <v>352</v>
      </c>
      <c r="D1141">
        <v>26</v>
      </c>
      <c r="E1141">
        <v>31</v>
      </c>
      <c r="F1141">
        <v>8</v>
      </c>
      <c r="G1141">
        <v>8.4</v>
      </c>
      <c r="H1141">
        <v>8.1</v>
      </c>
      <c r="I1141">
        <v>8.3000000000000007</v>
      </c>
      <c r="J1141">
        <v>266</v>
      </c>
      <c r="K1141">
        <v>394</v>
      </c>
      <c r="L1141">
        <v>1.2</v>
      </c>
      <c r="M1141">
        <v>2.1</v>
      </c>
      <c r="N1141">
        <v>0.48</v>
      </c>
      <c r="O1141">
        <v>0.5</v>
      </c>
      <c r="P1141">
        <v>2</v>
      </c>
      <c r="Q1141">
        <v>2</v>
      </c>
      <c r="R1141">
        <v>63</v>
      </c>
      <c r="S1141">
        <v>100</v>
      </c>
      <c r="T1141">
        <v>2</v>
      </c>
      <c r="U1141">
        <v>2</v>
      </c>
      <c r="V1141">
        <f>River_data[[#This Row],[Dissolved Oxygen Min]]*River_data[[#This Row],[Dissolved Oxygen Max]]/2</f>
        <v>33.6</v>
      </c>
      <c r="W1141">
        <f>River_data[[#This Row],[BOD Min]]*River_data[[#This Row],[BOD Max]]/2</f>
        <v>1.26</v>
      </c>
      <c r="X1141">
        <f>AVERAGE(River_data[[#This Row],[pH Max]]-River_data[[#This Row],[pH Min]])</f>
        <v>0.20000000000000107</v>
      </c>
    </row>
    <row r="1142" spans="1:24" x14ac:dyDescent="0.3">
      <c r="A1142">
        <v>1315</v>
      </c>
      <c r="B1142" s="1" t="s">
        <v>1165</v>
      </c>
      <c r="C1142" s="1" t="s">
        <v>938</v>
      </c>
      <c r="D1142">
        <v>16</v>
      </c>
      <c r="E1142">
        <v>18</v>
      </c>
      <c r="F1142">
        <v>5.8</v>
      </c>
      <c r="G1142">
        <v>6.7</v>
      </c>
      <c r="H1142">
        <v>7.9</v>
      </c>
      <c r="I1142">
        <v>8.8000000000000007</v>
      </c>
      <c r="J1142">
        <v>762</v>
      </c>
      <c r="K1142">
        <v>1080</v>
      </c>
      <c r="L1142">
        <v>3</v>
      </c>
      <c r="M1142">
        <v>3.6</v>
      </c>
      <c r="N1142">
        <v>0.3</v>
      </c>
      <c r="O1142">
        <v>2.87</v>
      </c>
      <c r="P1142">
        <v>24</v>
      </c>
      <c r="Q1142">
        <v>43</v>
      </c>
      <c r="R1142">
        <v>110</v>
      </c>
      <c r="S1142">
        <v>220</v>
      </c>
      <c r="T1142">
        <v>2</v>
      </c>
      <c r="U1142">
        <v>2</v>
      </c>
      <c r="V1142">
        <f>River_data[[#This Row],[Dissolved Oxygen Min]]*River_data[[#This Row],[Dissolved Oxygen Max]]/2</f>
        <v>19.43</v>
      </c>
      <c r="W1142">
        <f>River_data[[#This Row],[BOD Min]]*River_data[[#This Row],[BOD Max]]/2</f>
        <v>5.4</v>
      </c>
      <c r="X1142">
        <f>AVERAGE(River_data[[#This Row],[pH Max]]-River_data[[#This Row],[pH Min]])</f>
        <v>0.90000000000000036</v>
      </c>
    </row>
    <row r="1143" spans="1:24" x14ac:dyDescent="0.3">
      <c r="A1143">
        <v>2721</v>
      </c>
      <c r="B1143" s="1" t="s">
        <v>1166</v>
      </c>
      <c r="C1143" s="1" t="s">
        <v>938</v>
      </c>
      <c r="D1143">
        <v>19</v>
      </c>
      <c r="E1143">
        <v>20</v>
      </c>
      <c r="F1143">
        <v>5.8</v>
      </c>
      <c r="G1143">
        <v>6.6</v>
      </c>
      <c r="H1143">
        <v>7.8</v>
      </c>
      <c r="I1143">
        <v>8.6999999999999993</v>
      </c>
      <c r="J1143">
        <v>892</v>
      </c>
      <c r="K1143">
        <v>5473</v>
      </c>
      <c r="L1143">
        <v>3</v>
      </c>
      <c r="M1143">
        <v>3.2</v>
      </c>
      <c r="N1143">
        <v>0.3</v>
      </c>
      <c r="O1143">
        <v>3.01</v>
      </c>
      <c r="P1143">
        <v>6</v>
      </c>
      <c r="Q1143">
        <v>41</v>
      </c>
      <c r="R1143">
        <v>130</v>
      </c>
      <c r="S1143">
        <v>350</v>
      </c>
      <c r="T1143">
        <v>2</v>
      </c>
      <c r="U1143">
        <v>2</v>
      </c>
      <c r="V1143">
        <f>River_data[[#This Row],[Dissolved Oxygen Min]]*River_data[[#This Row],[Dissolved Oxygen Max]]/2</f>
        <v>19.139999999999997</v>
      </c>
      <c r="W1143">
        <f>River_data[[#This Row],[BOD Min]]*River_data[[#This Row],[BOD Max]]/2</f>
        <v>4.8000000000000007</v>
      </c>
      <c r="X1143">
        <f>AVERAGE(River_data[[#This Row],[pH Max]]-River_data[[#This Row],[pH Min]])</f>
        <v>0.89999999999999947</v>
      </c>
    </row>
    <row r="1144" spans="1:24" x14ac:dyDescent="0.3">
      <c r="A1144">
        <v>2174</v>
      </c>
      <c r="B1144" s="1" t="s">
        <v>1167</v>
      </c>
      <c r="C1144" s="1" t="s">
        <v>938</v>
      </c>
      <c r="D1144">
        <v>19</v>
      </c>
      <c r="E1144">
        <v>20</v>
      </c>
      <c r="F1144">
        <v>5.2</v>
      </c>
      <c r="G1144">
        <v>6.1</v>
      </c>
      <c r="H1144">
        <v>7.8</v>
      </c>
      <c r="I1144">
        <v>8.8000000000000007</v>
      </c>
      <c r="J1144">
        <v>549</v>
      </c>
      <c r="K1144">
        <v>1370</v>
      </c>
      <c r="L1144">
        <v>3</v>
      </c>
      <c r="M1144">
        <v>4.5999999999999996</v>
      </c>
      <c r="N1144">
        <v>0.3</v>
      </c>
      <c r="O1144">
        <v>3.33</v>
      </c>
      <c r="P1144">
        <v>11</v>
      </c>
      <c r="Q1144">
        <v>40</v>
      </c>
      <c r="R1144">
        <v>120</v>
      </c>
      <c r="S1144">
        <v>430</v>
      </c>
      <c r="T1144">
        <v>2</v>
      </c>
      <c r="U1144">
        <v>2</v>
      </c>
      <c r="V1144">
        <f>River_data[[#This Row],[Dissolved Oxygen Min]]*River_data[[#This Row],[Dissolved Oxygen Max]]/2</f>
        <v>15.86</v>
      </c>
      <c r="W1144">
        <f>River_data[[#This Row],[BOD Min]]*River_data[[#This Row],[BOD Max]]/2</f>
        <v>6.8999999999999995</v>
      </c>
      <c r="X1144">
        <f>AVERAGE(River_data[[#This Row],[pH Max]]-River_data[[#This Row],[pH Min]])</f>
        <v>1.0000000000000009</v>
      </c>
    </row>
    <row r="1145" spans="1:24" x14ac:dyDescent="0.3">
      <c r="A1145">
        <v>2156</v>
      </c>
      <c r="B1145" s="1" t="s">
        <v>1168</v>
      </c>
      <c r="C1145" s="1" t="s">
        <v>938</v>
      </c>
      <c r="D1145">
        <v>19</v>
      </c>
      <c r="E1145">
        <v>20</v>
      </c>
      <c r="F1145">
        <v>5.3</v>
      </c>
      <c r="G1145">
        <v>6</v>
      </c>
      <c r="H1145">
        <v>7.8</v>
      </c>
      <c r="I1145">
        <v>8.6999999999999993</v>
      </c>
      <c r="J1145">
        <v>750</v>
      </c>
      <c r="K1145">
        <v>1210</v>
      </c>
      <c r="L1145">
        <v>3</v>
      </c>
      <c r="M1145">
        <v>4</v>
      </c>
      <c r="N1145">
        <v>0.3</v>
      </c>
      <c r="O1145">
        <v>4.07</v>
      </c>
      <c r="P1145">
        <v>12</v>
      </c>
      <c r="Q1145">
        <v>38</v>
      </c>
      <c r="R1145">
        <v>110</v>
      </c>
      <c r="S1145">
        <v>280</v>
      </c>
      <c r="T1145">
        <v>2</v>
      </c>
      <c r="U1145">
        <v>2</v>
      </c>
      <c r="V1145">
        <f>River_data[[#This Row],[Dissolved Oxygen Min]]*River_data[[#This Row],[Dissolved Oxygen Max]]/2</f>
        <v>15.899999999999999</v>
      </c>
      <c r="W1145">
        <f>River_data[[#This Row],[BOD Min]]*River_data[[#This Row],[BOD Max]]/2</f>
        <v>6</v>
      </c>
      <c r="X1145">
        <f>AVERAGE(River_data[[#This Row],[pH Max]]-River_data[[#This Row],[pH Min]])</f>
        <v>0.89999999999999947</v>
      </c>
    </row>
    <row r="1146" spans="1:24" x14ac:dyDescent="0.3">
      <c r="A1146">
        <v>2720</v>
      </c>
      <c r="B1146" s="1" t="s">
        <v>1169</v>
      </c>
      <c r="C1146" s="1" t="s">
        <v>938</v>
      </c>
      <c r="D1146">
        <v>19</v>
      </c>
      <c r="E1146">
        <v>23</v>
      </c>
      <c r="F1146">
        <v>5.6</v>
      </c>
      <c r="G1146">
        <v>6.5</v>
      </c>
      <c r="H1146">
        <v>7.9</v>
      </c>
      <c r="I1146">
        <v>8.8000000000000007</v>
      </c>
      <c r="J1146">
        <v>698</v>
      </c>
      <c r="K1146">
        <v>1290</v>
      </c>
      <c r="L1146">
        <v>3</v>
      </c>
      <c r="M1146">
        <v>3.9</v>
      </c>
      <c r="N1146">
        <v>0.3</v>
      </c>
      <c r="O1146">
        <v>3.18</v>
      </c>
      <c r="P1146">
        <v>13</v>
      </c>
      <c r="Q1146">
        <v>41</v>
      </c>
      <c r="R1146">
        <v>110</v>
      </c>
      <c r="S1146">
        <v>350</v>
      </c>
      <c r="T1146">
        <v>2</v>
      </c>
      <c r="U1146">
        <v>2</v>
      </c>
      <c r="V1146">
        <f>River_data[[#This Row],[Dissolved Oxygen Min]]*River_data[[#This Row],[Dissolved Oxygen Max]]/2</f>
        <v>18.2</v>
      </c>
      <c r="W1146">
        <f>River_data[[#This Row],[BOD Min]]*River_data[[#This Row],[BOD Max]]/2</f>
        <v>5.85</v>
      </c>
      <c r="X1146">
        <f>AVERAGE(River_data[[#This Row],[pH Max]]-River_data[[#This Row],[pH Min]])</f>
        <v>0.90000000000000036</v>
      </c>
    </row>
    <row r="1147" spans="1:24" x14ac:dyDescent="0.3">
      <c r="A1147">
        <v>2719</v>
      </c>
      <c r="B1147" s="1" t="s">
        <v>1170</v>
      </c>
      <c r="C1147" s="1" t="s">
        <v>938</v>
      </c>
      <c r="D1147">
        <v>19</v>
      </c>
      <c r="E1147">
        <v>23</v>
      </c>
      <c r="F1147">
        <v>5.4</v>
      </c>
      <c r="G1147">
        <v>6.2</v>
      </c>
      <c r="H1147">
        <v>7.7</v>
      </c>
      <c r="I1147">
        <v>8.8000000000000007</v>
      </c>
      <c r="J1147">
        <v>722</v>
      </c>
      <c r="K1147">
        <v>1390</v>
      </c>
      <c r="L1147">
        <v>3.2</v>
      </c>
      <c r="M1147">
        <v>4.2</v>
      </c>
      <c r="N1147">
        <v>0.3</v>
      </c>
      <c r="O1147">
        <v>3.22</v>
      </c>
      <c r="P1147">
        <v>20</v>
      </c>
      <c r="Q1147">
        <v>47</v>
      </c>
      <c r="R1147">
        <v>170</v>
      </c>
      <c r="S1147">
        <v>430</v>
      </c>
      <c r="T1147">
        <v>2</v>
      </c>
      <c r="U1147">
        <v>2</v>
      </c>
      <c r="V1147">
        <f>River_data[[#This Row],[Dissolved Oxygen Min]]*River_data[[#This Row],[Dissolved Oxygen Max]]/2</f>
        <v>16.740000000000002</v>
      </c>
      <c r="W1147">
        <f>River_data[[#This Row],[BOD Min]]*River_data[[#This Row],[BOD Max]]/2</f>
        <v>6.7200000000000006</v>
      </c>
      <c r="X1147">
        <f>AVERAGE(River_data[[#This Row],[pH Max]]-River_data[[#This Row],[pH Min]])</f>
        <v>1.1000000000000005</v>
      </c>
    </row>
    <row r="1148" spans="1:24" x14ac:dyDescent="0.3">
      <c r="A1148">
        <v>1212</v>
      </c>
      <c r="B1148" s="1" t="s">
        <v>1171</v>
      </c>
      <c r="C1148" s="1" t="s">
        <v>938</v>
      </c>
      <c r="D1148">
        <v>19</v>
      </c>
      <c r="E1148">
        <v>23</v>
      </c>
      <c r="F1148">
        <v>5.2</v>
      </c>
      <c r="G1148">
        <v>6.5</v>
      </c>
      <c r="H1148">
        <v>7.9</v>
      </c>
      <c r="I1148">
        <v>8.6999999999999993</v>
      </c>
      <c r="J1148">
        <v>660</v>
      </c>
      <c r="K1148">
        <v>1162</v>
      </c>
      <c r="L1148">
        <v>3</v>
      </c>
      <c r="M1148">
        <v>3.8</v>
      </c>
      <c r="N1148">
        <v>0.3</v>
      </c>
      <c r="O1148">
        <v>3.31</v>
      </c>
      <c r="P1148">
        <v>14</v>
      </c>
      <c r="Q1148">
        <v>43</v>
      </c>
      <c r="R1148">
        <v>120</v>
      </c>
      <c r="S1148">
        <v>280</v>
      </c>
      <c r="T1148">
        <v>2</v>
      </c>
      <c r="U1148">
        <v>2</v>
      </c>
      <c r="V1148">
        <f>River_data[[#This Row],[Dissolved Oxygen Min]]*River_data[[#This Row],[Dissolved Oxygen Max]]/2</f>
        <v>16.900000000000002</v>
      </c>
      <c r="W1148">
        <f>River_data[[#This Row],[BOD Min]]*River_data[[#This Row],[BOD Max]]/2</f>
        <v>5.6999999999999993</v>
      </c>
      <c r="X1148">
        <f>AVERAGE(River_data[[#This Row],[pH Max]]-River_data[[#This Row],[pH Min]])</f>
        <v>0.79999999999999893</v>
      </c>
    </row>
    <row r="1149" spans="1:24" x14ac:dyDescent="0.3">
      <c r="A1149">
        <v>2722</v>
      </c>
      <c r="B1149" s="1" t="s">
        <v>1172</v>
      </c>
      <c r="C1149" s="1" t="s">
        <v>938</v>
      </c>
      <c r="D1149">
        <v>16</v>
      </c>
      <c r="E1149">
        <v>20</v>
      </c>
      <c r="F1149">
        <v>5.8</v>
      </c>
      <c r="G1149">
        <v>6.8</v>
      </c>
      <c r="H1149">
        <v>8.1</v>
      </c>
      <c r="I1149">
        <v>8.8000000000000007</v>
      </c>
      <c r="J1149">
        <v>936</v>
      </c>
      <c r="K1149">
        <v>1142</v>
      </c>
      <c r="L1149">
        <v>3</v>
      </c>
      <c r="M1149">
        <v>3.4</v>
      </c>
      <c r="N1149">
        <v>0.3</v>
      </c>
      <c r="O1149">
        <v>3.36</v>
      </c>
      <c r="P1149">
        <v>17</v>
      </c>
      <c r="Q1149">
        <v>43</v>
      </c>
      <c r="R1149">
        <v>210</v>
      </c>
      <c r="S1149">
        <v>350</v>
      </c>
      <c r="T1149">
        <v>2</v>
      </c>
      <c r="U1149">
        <v>2</v>
      </c>
      <c r="V1149">
        <f>River_data[[#This Row],[Dissolved Oxygen Min]]*River_data[[#This Row],[Dissolved Oxygen Max]]/2</f>
        <v>19.72</v>
      </c>
      <c r="W1149">
        <f>River_data[[#This Row],[BOD Min]]*River_data[[#This Row],[BOD Max]]/2</f>
        <v>5.0999999999999996</v>
      </c>
      <c r="X1149">
        <f>AVERAGE(River_data[[#This Row],[pH Max]]-River_data[[#This Row],[pH Min]])</f>
        <v>0.70000000000000107</v>
      </c>
    </row>
    <row r="1150" spans="1:24" x14ac:dyDescent="0.3">
      <c r="A1150">
        <v>2723</v>
      </c>
      <c r="B1150" s="1" t="s">
        <v>1173</v>
      </c>
      <c r="C1150" s="1" t="s">
        <v>938</v>
      </c>
      <c r="D1150">
        <v>16</v>
      </c>
      <c r="E1150">
        <v>20</v>
      </c>
      <c r="F1150">
        <v>5.0999999999999996</v>
      </c>
      <c r="G1150">
        <v>6.7</v>
      </c>
      <c r="H1150">
        <v>8</v>
      </c>
      <c r="I1150">
        <v>8.8000000000000007</v>
      </c>
      <c r="J1150">
        <v>976</v>
      </c>
      <c r="K1150">
        <v>1236</v>
      </c>
      <c r="L1150">
        <v>3</v>
      </c>
      <c r="M1150">
        <v>3.8</v>
      </c>
      <c r="N1150">
        <v>0.3</v>
      </c>
      <c r="O1150">
        <v>2.89</v>
      </c>
      <c r="P1150">
        <v>20</v>
      </c>
      <c r="Q1150">
        <v>48</v>
      </c>
      <c r="R1150">
        <v>280</v>
      </c>
      <c r="S1150">
        <v>540</v>
      </c>
      <c r="T1150">
        <v>2</v>
      </c>
      <c r="U1150">
        <v>2</v>
      </c>
      <c r="V1150">
        <f>River_data[[#This Row],[Dissolved Oxygen Min]]*River_data[[#This Row],[Dissolved Oxygen Max]]/2</f>
        <v>17.085000000000001</v>
      </c>
      <c r="W1150">
        <f>River_data[[#This Row],[BOD Min]]*River_data[[#This Row],[BOD Max]]/2</f>
        <v>5.6999999999999993</v>
      </c>
      <c r="X1150">
        <f>AVERAGE(River_data[[#This Row],[pH Max]]-River_data[[#This Row],[pH Min]])</f>
        <v>0.80000000000000071</v>
      </c>
    </row>
    <row r="1151" spans="1:24" x14ac:dyDescent="0.3">
      <c r="A1151">
        <v>1194</v>
      </c>
      <c r="B1151" s="1" t="s">
        <v>1174</v>
      </c>
      <c r="C1151" s="1" t="s">
        <v>938</v>
      </c>
      <c r="D1151">
        <v>22</v>
      </c>
      <c r="E1151">
        <v>30</v>
      </c>
      <c r="F1151">
        <v>0.3</v>
      </c>
      <c r="G1151">
        <v>6.6</v>
      </c>
      <c r="H1151">
        <v>2</v>
      </c>
      <c r="I1151">
        <v>8</v>
      </c>
      <c r="J1151">
        <v>5</v>
      </c>
      <c r="K1151">
        <v>137</v>
      </c>
      <c r="L1151">
        <v>1</v>
      </c>
      <c r="M1151">
        <v>3</v>
      </c>
      <c r="N1151">
        <v>0.3</v>
      </c>
      <c r="O1151">
        <v>1.65</v>
      </c>
      <c r="P1151">
        <v>2</v>
      </c>
      <c r="Q1151">
        <v>20</v>
      </c>
      <c r="R1151">
        <v>2</v>
      </c>
      <c r="S1151">
        <v>250</v>
      </c>
      <c r="T1151">
        <v>2</v>
      </c>
      <c r="U1151">
        <v>14</v>
      </c>
      <c r="V1151">
        <f>River_data[[#This Row],[Dissolved Oxygen Min]]*River_data[[#This Row],[Dissolved Oxygen Max]]/2</f>
        <v>0.98999999999999988</v>
      </c>
      <c r="W1151">
        <f>River_data[[#This Row],[BOD Min]]*River_data[[#This Row],[BOD Max]]/2</f>
        <v>1.5</v>
      </c>
      <c r="X1151">
        <f>AVERAGE(River_data[[#This Row],[pH Max]]-River_data[[#This Row],[pH Min]])</f>
        <v>6</v>
      </c>
    </row>
    <row r="1152" spans="1:24" x14ac:dyDescent="0.3">
      <c r="A1152">
        <v>2190</v>
      </c>
      <c r="B1152" s="1" t="s">
        <v>1175</v>
      </c>
      <c r="C1152" s="1" t="s">
        <v>938</v>
      </c>
      <c r="D1152">
        <v>25</v>
      </c>
      <c r="E1152">
        <v>31</v>
      </c>
      <c r="F1152">
        <v>5.0999999999999996</v>
      </c>
      <c r="G1152">
        <v>6.3</v>
      </c>
      <c r="H1152">
        <v>7.4</v>
      </c>
      <c r="I1152">
        <v>8.1999999999999993</v>
      </c>
      <c r="J1152">
        <v>230</v>
      </c>
      <c r="K1152">
        <v>3504</v>
      </c>
      <c r="L1152">
        <v>2.8</v>
      </c>
      <c r="M1152">
        <v>5.8</v>
      </c>
      <c r="N1152">
        <v>0.3</v>
      </c>
      <c r="O1152">
        <v>1.56</v>
      </c>
      <c r="P1152">
        <v>8</v>
      </c>
      <c r="Q1152">
        <v>30</v>
      </c>
      <c r="R1152">
        <v>85</v>
      </c>
      <c r="S1152">
        <v>250</v>
      </c>
      <c r="T1152">
        <v>2</v>
      </c>
      <c r="U1152">
        <v>14</v>
      </c>
      <c r="V1152">
        <f>River_data[[#This Row],[Dissolved Oxygen Min]]*River_data[[#This Row],[Dissolved Oxygen Max]]/2</f>
        <v>16.064999999999998</v>
      </c>
      <c r="W1152">
        <f>River_data[[#This Row],[BOD Min]]*River_data[[#This Row],[BOD Max]]/2</f>
        <v>8.1199999999999992</v>
      </c>
      <c r="X1152">
        <f>AVERAGE(River_data[[#This Row],[pH Max]]-River_data[[#This Row],[pH Min]])</f>
        <v>0.79999999999999893</v>
      </c>
    </row>
    <row r="1153" spans="1:24" x14ac:dyDescent="0.3">
      <c r="A1153">
        <v>2187</v>
      </c>
      <c r="B1153" s="1" t="s">
        <v>1176</v>
      </c>
      <c r="C1153" s="1" t="s">
        <v>938</v>
      </c>
      <c r="D1153">
        <v>23</v>
      </c>
      <c r="E1153">
        <v>29</v>
      </c>
      <c r="F1153">
        <v>5.0999999999999996</v>
      </c>
      <c r="G1153">
        <v>6.3</v>
      </c>
      <c r="H1153">
        <v>7.9</v>
      </c>
      <c r="I1153">
        <v>8.5</v>
      </c>
      <c r="J1153">
        <v>342</v>
      </c>
      <c r="K1153">
        <v>620</v>
      </c>
      <c r="L1153">
        <v>2.5</v>
      </c>
      <c r="M1153">
        <v>5.4</v>
      </c>
      <c r="N1153">
        <v>0.3</v>
      </c>
      <c r="O1153">
        <v>3.62</v>
      </c>
      <c r="P1153">
        <v>9</v>
      </c>
      <c r="Q1153">
        <v>110</v>
      </c>
      <c r="R1153">
        <v>170</v>
      </c>
      <c r="S1153">
        <v>425</v>
      </c>
      <c r="T1153">
        <v>4</v>
      </c>
      <c r="U1153">
        <v>20</v>
      </c>
      <c r="V1153">
        <f>River_data[[#This Row],[Dissolved Oxygen Min]]*River_data[[#This Row],[Dissolved Oxygen Max]]/2</f>
        <v>16.064999999999998</v>
      </c>
      <c r="W1153">
        <f>River_data[[#This Row],[BOD Min]]*River_data[[#This Row],[BOD Max]]/2</f>
        <v>6.75</v>
      </c>
      <c r="X1153">
        <f>AVERAGE(River_data[[#This Row],[pH Max]]-River_data[[#This Row],[pH Min]])</f>
        <v>0.59999999999999964</v>
      </c>
    </row>
    <row r="1154" spans="1:24" x14ac:dyDescent="0.3">
      <c r="A1154">
        <v>2188</v>
      </c>
      <c r="B1154" s="1" t="s">
        <v>1177</v>
      </c>
      <c r="C1154" s="1" t="s">
        <v>938</v>
      </c>
      <c r="D1154">
        <v>25</v>
      </c>
      <c r="E1154">
        <v>30</v>
      </c>
      <c r="F1154">
        <v>4.7</v>
      </c>
      <c r="G1154">
        <v>6.4</v>
      </c>
      <c r="H1154">
        <v>7.1</v>
      </c>
      <c r="I1154">
        <v>8.1999999999999993</v>
      </c>
      <c r="J1154">
        <v>293</v>
      </c>
      <c r="K1154">
        <v>4553</v>
      </c>
      <c r="L1154">
        <v>3</v>
      </c>
      <c r="M1154">
        <v>8.4</v>
      </c>
      <c r="N1154">
        <v>0.3</v>
      </c>
      <c r="O1154">
        <v>2.88</v>
      </c>
      <c r="P1154">
        <v>9</v>
      </c>
      <c r="Q1154">
        <v>45</v>
      </c>
      <c r="R1154">
        <v>150</v>
      </c>
      <c r="S1154">
        <v>425</v>
      </c>
      <c r="T1154">
        <v>4</v>
      </c>
      <c r="U1154">
        <v>17</v>
      </c>
      <c r="V1154">
        <f>River_data[[#This Row],[Dissolved Oxygen Min]]*River_data[[#This Row],[Dissolved Oxygen Max]]/2</f>
        <v>15.040000000000001</v>
      </c>
      <c r="W1154">
        <f>River_data[[#This Row],[BOD Min]]*River_data[[#This Row],[BOD Max]]/2</f>
        <v>12.600000000000001</v>
      </c>
      <c r="X1154">
        <f>AVERAGE(River_data[[#This Row],[pH Max]]-River_data[[#This Row],[pH Min]])</f>
        <v>1.0999999999999996</v>
      </c>
    </row>
    <row r="1155" spans="1:24" x14ac:dyDescent="0.3">
      <c r="A1155">
        <v>36</v>
      </c>
      <c r="B1155" s="1" t="s">
        <v>1178</v>
      </c>
      <c r="C1155" s="1" t="s">
        <v>938</v>
      </c>
      <c r="D1155">
        <v>25</v>
      </c>
      <c r="E1155">
        <v>31.5</v>
      </c>
      <c r="F1155">
        <v>5.3</v>
      </c>
      <c r="G1155">
        <v>6.2</v>
      </c>
      <c r="H1155">
        <v>7.5</v>
      </c>
      <c r="I1155">
        <v>8.1</v>
      </c>
      <c r="J1155">
        <v>82</v>
      </c>
      <c r="K1155">
        <v>2086</v>
      </c>
      <c r="L1155">
        <v>2.8</v>
      </c>
      <c r="M1155">
        <v>5.2</v>
      </c>
      <c r="N1155">
        <v>0.3</v>
      </c>
      <c r="O1155">
        <v>1.74</v>
      </c>
      <c r="P1155">
        <v>8</v>
      </c>
      <c r="Q1155">
        <v>30</v>
      </c>
      <c r="R1155">
        <v>140</v>
      </c>
      <c r="S1155">
        <v>250</v>
      </c>
      <c r="T1155">
        <v>4</v>
      </c>
      <c r="U1155">
        <v>14</v>
      </c>
      <c r="V1155">
        <f>River_data[[#This Row],[Dissolved Oxygen Min]]*River_data[[#This Row],[Dissolved Oxygen Max]]/2</f>
        <v>16.43</v>
      </c>
      <c r="W1155">
        <f>River_data[[#This Row],[BOD Min]]*River_data[[#This Row],[BOD Max]]/2</f>
        <v>7.2799999999999994</v>
      </c>
      <c r="X1155">
        <f>AVERAGE(River_data[[#This Row],[pH Max]]-River_data[[#This Row],[pH Min]])</f>
        <v>0.59999999999999964</v>
      </c>
    </row>
    <row r="1156" spans="1:24" x14ac:dyDescent="0.3">
      <c r="A1156">
        <v>1906</v>
      </c>
      <c r="B1156" s="1" t="s">
        <v>1179</v>
      </c>
      <c r="C1156" s="1" t="s">
        <v>938</v>
      </c>
      <c r="D1156">
        <v>26</v>
      </c>
      <c r="E1156">
        <v>30</v>
      </c>
      <c r="F1156">
        <v>5.8</v>
      </c>
      <c r="G1156">
        <v>7.8</v>
      </c>
      <c r="H1156">
        <v>7.7</v>
      </c>
      <c r="I1156">
        <v>8.6999999999999993</v>
      </c>
      <c r="J1156">
        <v>50</v>
      </c>
      <c r="K1156">
        <v>4273</v>
      </c>
      <c r="L1156">
        <v>1.8</v>
      </c>
      <c r="M1156">
        <v>3</v>
      </c>
      <c r="N1156">
        <v>0.42</v>
      </c>
      <c r="O1156">
        <v>3.77</v>
      </c>
      <c r="P1156">
        <v>5</v>
      </c>
      <c r="Q1156">
        <v>10</v>
      </c>
      <c r="R1156">
        <v>20</v>
      </c>
      <c r="S1156">
        <v>48</v>
      </c>
      <c r="T1156">
        <v>2</v>
      </c>
      <c r="U1156">
        <v>2</v>
      </c>
      <c r="V1156">
        <f>River_data[[#This Row],[Dissolved Oxygen Min]]*River_data[[#This Row],[Dissolved Oxygen Max]]/2</f>
        <v>22.619999999999997</v>
      </c>
      <c r="W1156">
        <f>River_data[[#This Row],[BOD Min]]*River_data[[#This Row],[BOD Max]]/2</f>
        <v>2.7</v>
      </c>
      <c r="X1156">
        <f>AVERAGE(River_data[[#This Row],[pH Max]]-River_data[[#This Row],[pH Min]])</f>
        <v>0.99999999999999911</v>
      </c>
    </row>
    <row r="1157" spans="1:24" x14ac:dyDescent="0.3">
      <c r="A1157">
        <v>37</v>
      </c>
      <c r="B1157" s="1" t="s">
        <v>1180</v>
      </c>
      <c r="C1157" s="1" t="s">
        <v>938</v>
      </c>
      <c r="D1157">
        <v>8.1</v>
      </c>
      <c r="E1157">
        <v>28</v>
      </c>
      <c r="F1157">
        <v>5.2</v>
      </c>
      <c r="G1157">
        <v>7.8</v>
      </c>
      <c r="H1157">
        <v>7.4</v>
      </c>
      <c r="I1157">
        <v>8.6999999999999993</v>
      </c>
      <c r="J1157">
        <v>221</v>
      </c>
      <c r="K1157">
        <v>4394</v>
      </c>
      <c r="L1157">
        <v>1.8</v>
      </c>
      <c r="M1157">
        <v>4</v>
      </c>
      <c r="N1157">
        <v>0.32</v>
      </c>
      <c r="O1157">
        <v>2.56</v>
      </c>
      <c r="P1157">
        <v>6</v>
      </c>
      <c r="Q1157">
        <v>10</v>
      </c>
      <c r="R1157">
        <v>17</v>
      </c>
      <c r="S1157">
        <v>38</v>
      </c>
      <c r="T1157">
        <v>2</v>
      </c>
      <c r="U1157">
        <v>2</v>
      </c>
      <c r="V1157">
        <f>River_data[[#This Row],[Dissolved Oxygen Min]]*River_data[[#This Row],[Dissolved Oxygen Max]]/2</f>
        <v>20.28</v>
      </c>
      <c r="W1157">
        <f>River_data[[#This Row],[BOD Min]]*River_data[[#This Row],[BOD Max]]/2</f>
        <v>3.6</v>
      </c>
      <c r="X1157">
        <f>AVERAGE(River_data[[#This Row],[pH Max]]-River_data[[#This Row],[pH Min]])</f>
        <v>1.2999999999999989</v>
      </c>
    </row>
    <row r="1158" spans="1:24" x14ac:dyDescent="0.3">
      <c r="A1158">
        <v>30047</v>
      </c>
      <c r="B1158" s="1" t="s">
        <v>1181</v>
      </c>
      <c r="C1158" s="1" t="s">
        <v>938</v>
      </c>
      <c r="D1158">
        <v>22</v>
      </c>
      <c r="E1158">
        <v>22</v>
      </c>
      <c r="F1158">
        <v>5.0999999999999996</v>
      </c>
      <c r="G1158">
        <v>5.0999999999999996</v>
      </c>
      <c r="H1158">
        <v>8.1</v>
      </c>
      <c r="I1158">
        <v>8.1</v>
      </c>
      <c r="J1158">
        <v>659</v>
      </c>
      <c r="K1158">
        <v>659</v>
      </c>
      <c r="L1158">
        <v>5.8</v>
      </c>
      <c r="M1158">
        <v>5.8</v>
      </c>
      <c r="N1158">
        <v>1.67</v>
      </c>
      <c r="O1158">
        <v>1.67</v>
      </c>
      <c r="P1158">
        <v>17</v>
      </c>
      <c r="Q1158">
        <v>17</v>
      </c>
      <c r="R1158">
        <v>250</v>
      </c>
      <c r="S1158">
        <v>250</v>
      </c>
      <c r="T1158">
        <v>7</v>
      </c>
      <c r="U1158">
        <v>7</v>
      </c>
      <c r="V1158">
        <f>River_data[[#This Row],[Dissolved Oxygen Min]]*River_data[[#This Row],[Dissolved Oxygen Max]]/2</f>
        <v>13.004999999999999</v>
      </c>
      <c r="W1158">
        <f>River_data[[#This Row],[BOD Min]]*River_data[[#This Row],[BOD Max]]/2</f>
        <v>16.82</v>
      </c>
      <c r="X1158">
        <f>AVERAGE(River_data[[#This Row],[pH Max]]-River_data[[#This Row],[pH Min]])</f>
        <v>0</v>
      </c>
    </row>
    <row r="1159" spans="1:24" x14ac:dyDescent="0.3">
      <c r="A1159">
        <v>1310</v>
      </c>
      <c r="B1159" s="1" t="s">
        <v>1182</v>
      </c>
      <c r="C1159" s="1" t="s">
        <v>938</v>
      </c>
      <c r="D1159">
        <v>24</v>
      </c>
      <c r="E1159">
        <v>28</v>
      </c>
      <c r="F1159">
        <v>5.3</v>
      </c>
      <c r="G1159">
        <v>7.7</v>
      </c>
      <c r="H1159">
        <v>7.7</v>
      </c>
      <c r="I1159">
        <v>8.6</v>
      </c>
      <c r="J1159">
        <v>156</v>
      </c>
      <c r="K1159">
        <v>735</v>
      </c>
      <c r="L1159">
        <v>1.8</v>
      </c>
      <c r="M1159">
        <v>3</v>
      </c>
      <c r="N1159">
        <v>0.49</v>
      </c>
      <c r="O1159">
        <v>4.5199999999999996</v>
      </c>
      <c r="P1159">
        <v>6</v>
      </c>
      <c r="Q1159">
        <v>10</v>
      </c>
      <c r="R1159">
        <v>24</v>
      </c>
      <c r="S1159">
        <v>40</v>
      </c>
      <c r="T1159">
        <v>2</v>
      </c>
      <c r="U1159">
        <v>2</v>
      </c>
      <c r="V1159">
        <f>River_data[[#This Row],[Dissolved Oxygen Min]]*River_data[[#This Row],[Dissolved Oxygen Max]]/2</f>
        <v>20.405000000000001</v>
      </c>
      <c r="W1159">
        <f>River_data[[#This Row],[BOD Min]]*River_data[[#This Row],[BOD Max]]/2</f>
        <v>2.7</v>
      </c>
      <c r="X1159">
        <f>AVERAGE(River_data[[#This Row],[pH Max]]-River_data[[#This Row],[pH Min]])</f>
        <v>0.89999999999999947</v>
      </c>
    </row>
    <row r="1160" spans="1:24" x14ac:dyDescent="0.3">
      <c r="A1160">
        <v>1153</v>
      </c>
      <c r="B1160" s="1" t="s">
        <v>1183</v>
      </c>
      <c r="C1160" s="1" t="s">
        <v>938</v>
      </c>
      <c r="D1160">
        <v>24</v>
      </c>
      <c r="E1160">
        <v>28</v>
      </c>
      <c r="F1160">
        <v>5.3</v>
      </c>
      <c r="G1160">
        <v>7.6</v>
      </c>
      <c r="H1160">
        <v>7.6</v>
      </c>
      <c r="I1160">
        <v>8.6</v>
      </c>
      <c r="J1160">
        <v>157</v>
      </c>
      <c r="K1160">
        <v>1016</v>
      </c>
      <c r="L1160">
        <v>1.8</v>
      </c>
      <c r="M1160">
        <v>3</v>
      </c>
      <c r="N1160">
        <v>0.57999999999999996</v>
      </c>
      <c r="O1160">
        <v>3.6</v>
      </c>
      <c r="P1160">
        <v>6</v>
      </c>
      <c r="Q1160">
        <v>9</v>
      </c>
      <c r="R1160">
        <v>21</v>
      </c>
      <c r="S1160">
        <v>46</v>
      </c>
      <c r="T1160">
        <v>2</v>
      </c>
      <c r="U1160">
        <v>2</v>
      </c>
      <c r="V1160">
        <f>River_data[[#This Row],[Dissolved Oxygen Min]]*River_data[[#This Row],[Dissolved Oxygen Max]]/2</f>
        <v>20.139999999999997</v>
      </c>
      <c r="W1160">
        <f>River_data[[#This Row],[BOD Min]]*River_data[[#This Row],[BOD Max]]/2</f>
        <v>2.7</v>
      </c>
      <c r="X1160">
        <f>AVERAGE(River_data[[#This Row],[pH Max]]-River_data[[#This Row],[pH Min]])</f>
        <v>1</v>
      </c>
    </row>
    <row r="1161" spans="1:24" x14ac:dyDescent="0.3">
      <c r="A1161">
        <v>1889</v>
      </c>
      <c r="B1161" s="1" t="s">
        <v>1184</v>
      </c>
      <c r="C1161" s="1" t="s">
        <v>1138</v>
      </c>
      <c r="D1161">
        <v>24</v>
      </c>
      <c r="E1161">
        <v>31</v>
      </c>
      <c r="F1161">
        <v>6.3</v>
      </c>
      <c r="G1161">
        <v>8.5</v>
      </c>
      <c r="H1161">
        <v>6.3</v>
      </c>
      <c r="I1161">
        <v>9</v>
      </c>
      <c r="J1161">
        <v>274</v>
      </c>
      <c r="K1161">
        <v>956</v>
      </c>
      <c r="L1161">
        <v>1</v>
      </c>
      <c r="M1161">
        <v>3.9</v>
      </c>
      <c r="N1161">
        <v>5.61</v>
      </c>
      <c r="O1161">
        <v>23</v>
      </c>
      <c r="P1161">
        <v>350</v>
      </c>
      <c r="Q1161">
        <v>920</v>
      </c>
      <c r="R1161">
        <v>920</v>
      </c>
      <c r="S1161">
        <v>1600</v>
      </c>
      <c r="T1161">
        <v>220</v>
      </c>
      <c r="U1161">
        <v>540</v>
      </c>
      <c r="V1161">
        <f>River_data[[#This Row],[Dissolved Oxygen Min]]*River_data[[#This Row],[Dissolved Oxygen Max]]/2</f>
        <v>26.774999999999999</v>
      </c>
      <c r="W1161">
        <f>River_data[[#This Row],[BOD Min]]*River_data[[#This Row],[BOD Max]]/2</f>
        <v>1.95</v>
      </c>
      <c r="X1161">
        <f>AVERAGE(River_data[[#This Row],[pH Max]]-River_data[[#This Row],[pH Min]])</f>
        <v>2.7</v>
      </c>
    </row>
    <row r="1162" spans="1:24" x14ac:dyDescent="0.3">
      <c r="A1162">
        <v>1182</v>
      </c>
      <c r="B1162" s="1" t="s">
        <v>1185</v>
      </c>
      <c r="C1162" s="1" t="s">
        <v>1138</v>
      </c>
      <c r="D1162">
        <v>25</v>
      </c>
      <c r="E1162">
        <v>32</v>
      </c>
      <c r="F1162">
        <v>6.5</v>
      </c>
      <c r="G1162">
        <v>8.1</v>
      </c>
      <c r="H1162">
        <v>6.2</v>
      </c>
      <c r="I1162">
        <v>8.9</v>
      </c>
      <c r="J1162">
        <v>210</v>
      </c>
      <c r="K1162">
        <v>960</v>
      </c>
      <c r="L1162">
        <v>1</v>
      </c>
      <c r="M1162">
        <v>3.5</v>
      </c>
      <c r="N1162">
        <v>5.9</v>
      </c>
      <c r="O1162">
        <v>19.260000000000002</v>
      </c>
      <c r="P1162">
        <v>540</v>
      </c>
      <c r="Q1162">
        <v>920</v>
      </c>
      <c r="R1162">
        <v>920</v>
      </c>
      <c r="S1162">
        <v>1600</v>
      </c>
      <c r="T1162">
        <v>240</v>
      </c>
      <c r="U1162">
        <v>540</v>
      </c>
      <c r="V1162">
        <f>River_data[[#This Row],[Dissolved Oxygen Min]]*River_data[[#This Row],[Dissolved Oxygen Max]]/2</f>
        <v>26.324999999999999</v>
      </c>
      <c r="W1162">
        <f>River_data[[#This Row],[BOD Min]]*River_data[[#This Row],[BOD Max]]/2</f>
        <v>1.75</v>
      </c>
      <c r="X1162">
        <f>AVERAGE(River_data[[#This Row],[pH Max]]-River_data[[#This Row],[pH Min]])</f>
        <v>2.7</v>
      </c>
    </row>
    <row r="1163" spans="1:24" x14ac:dyDescent="0.3">
      <c r="A1163">
        <v>2763</v>
      </c>
      <c r="B1163" s="1" t="s">
        <v>1186</v>
      </c>
      <c r="C1163" s="1" t="s">
        <v>1138</v>
      </c>
      <c r="D1163">
        <v>18</v>
      </c>
      <c r="E1163">
        <v>21</v>
      </c>
      <c r="F1163">
        <v>5.9</v>
      </c>
      <c r="G1163">
        <v>11.7</v>
      </c>
      <c r="H1163">
        <v>6.3</v>
      </c>
      <c r="I1163">
        <v>8.8000000000000007</v>
      </c>
      <c r="J1163">
        <v>260</v>
      </c>
      <c r="K1163">
        <v>2080</v>
      </c>
      <c r="L1163">
        <v>1.2</v>
      </c>
      <c r="M1163">
        <v>17</v>
      </c>
      <c r="N1163">
        <v>1.36</v>
      </c>
      <c r="O1163">
        <v>32.35</v>
      </c>
      <c r="P1163">
        <v>350</v>
      </c>
      <c r="Q1163">
        <v>920</v>
      </c>
      <c r="R1163">
        <v>920</v>
      </c>
      <c r="S1163">
        <v>1600</v>
      </c>
      <c r="T1163">
        <v>170</v>
      </c>
      <c r="U1163">
        <v>540</v>
      </c>
      <c r="V1163">
        <f>River_data[[#This Row],[Dissolved Oxygen Min]]*River_data[[#This Row],[Dissolved Oxygen Max]]/2</f>
        <v>34.515000000000001</v>
      </c>
      <c r="W1163">
        <f>River_data[[#This Row],[BOD Min]]*River_data[[#This Row],[BOD Max]]/2</f>
        <v>10.199999999999999</v>
      </c>
      <c r="X1163">
        <f>AVERAGE(River_data[[#This Row],[pH Max]]-River_data[[#This Row],[pH Min]])</f>
        <v>2.5000000000000009</v>
      </c>
    </row>
    <row r="1164" spans="1:24" x14ac:dyDescent="0.3">
      <c r="A1164">
        <v>5597</v>
      </c>
      <c r="B1164" s="1" t="s">
        <v>1187</v>
      </c>
      <c r="C1164" s="1" t="s">
        <v>1138</v>
      </c>
      <c r="D1164">
        <v>18</v>
      </c>
      <c r="E1164">
        <v>21</v>
      </c>
      <c r="F1164">
        <v>6.4</v>
      </c>
      <c r="G1164">
        <v>11.8</v>
      </c>
      <c r="H1164">
        <v>8</v>
      </c>
      <c r="I1164">
        <v>8.5</v>
      </c>
      <c r="J1164">
        <v>396</v>
      </c>
      <c r="K1164">
        <v>948</v>
      </c>
      <c r="L1164">
        <v>1.1000000000000001</v>
      </c>
      <c r="M1164">
        <v>2.9</v>
      </c>
      <c r="N1164">
        <v>2.41</v>
      </c>
      <c r="O1164">
        <v>24.94</v>
      </c>
      <c r="P1164">
        <v>540</v>
      </c>
      <c r="Q1164">
        <v>920</v>
      </c>
      <c r="R1164">
        <v>1600</v>
      </c>
      <c r="S1164">
        <v>1600</v>
      </c>
      <c r="T1164">
        <v>240</v>
      </c>
      <c r="U1164">
        <v>540</v>
      </c>
      <c r="V1164">
        <f>River_data[[#This Row],[Dissolved Oxygen Min]]*River_data[[#This Row],[Dissolved Oxygen Max]]/2</f>
        <v>37.760000000000005</v>
      </c>
      <c r="W1164">
        <f>River_data[[#This Row],[BOD Min]]*River_data[[#This Row],[BOD Max]]/2</f>
        <v>1.595</v>
      </c>
      <c r="X1164">
        <f>AVERAGE(River_data[[#This Row],[pH Max]]-River_data[[#This Row],[pH Min]])</f>
        <v>0.5</v>
      </c>
    </row>
    <row r="1165" spans="1:24" x14ac:dyDescent="0.3">
      <c r="A1165">
        <v>2781</v>
      </c>
      <c r="B1165" s="1" t="s">
        <v>1188</v>
      </c>
      <c r="C1165" s="1" t="s">
        <v>1138</v>
      </c>
      <c r="D1165">
        <v>28</v>
      </c>
      <c r="E1165">
        <v>32</v>
      </c>
      <c r="F1165">
        <v>5.6</v>
      </c>
      <c r="G1165">
        <v>8.6999999999999993</v>
      </c>
      <c r="H1165">
        <v>7</v>
      </c>
      <c r="I1165">
        <v>8.8000000000000007</v>
      </c>
      <c r="J1165">
        <v>280</v>
      </c>
      <c r="K1165">
        <v>1378</v>
      </c>
      <c r="L1165">
        <v>1</v>
      </c>
      <c r="M1165">
        <v>4.8</v>
      </c>
      <c r="N1165">
        <v>2</v>
      </c>
      <c r="O1165">
        <v>17.22</v>
      </c>
      <c r="P1165">
        <v>350</v>
      </c>
      <c r="Q1165">
        <v>920</v>
      </c>
      <c r="R1165">
        <v>920</v>
      </c>
      <c r="S1165">
        <v>1600</v>
      </c>
      <c r="T1165">
        <v>240</v>
      </c>
      <c r="U1165">
        <v>540</v>
      </c>
      <c r="V1165">
        <f>River_data[[#This Row],[Dissolved Oxygen Min]]*River_data[[#This Row],[Dissolved Oxygen Max]]/2</f>
        <v>24.359999999999996</v>
      </c>
      <c r="W1165">
        <f>River_data[[#This Row],[BOD Min]]*River_data[[#This Row],[BOD Max]]/2</f>
        <v>2.4</v>
      </c>
      <c r="X1165">
        <f>AVERAGE(River_data[[#This Row],[pH Max]]-River_data[[#This Row],[pH Min]])</f>
        <v>1.8000000000000007</v>
      </c>
    </row>
    <row r="1166" spans="1:24" x14ac:dyDescent="0.3">
      <c r="A1166">
        <v>1181</v>
      </c>
      <c r="B1166" s="1" t="s">
        <v>1189</v>
      </c>
      <c r="C1166" s="1" t="s">
        <v>1138</v>
      </c>
      <c r="D1166">
        <v>28</v>
      </c>
      <c r="E1166">
        <v>32</v>
      </c>
      <c r="F1166">
        <v>6.3</v>
      </c>
      <c r="G1166">
        <v>8.6</v>
      </c>
      <c r="H1166">
        <v>7</v>
      </c>
      <c r="I1166">
        <v>8.8000000000000007</v>
      </c>
      <c r="J1166">
        <v>272</v>
      </c>
      <c r="K1166">
        <v>1388</v>
      </c>
      <c r="L1166">
        <v>1</v>
      </c>
      <c r="M1166">
        <v>4.3</v>
      </c>
      <c r="N1166">
        <v>1.1200000000000001</v>
      </c>
      <c r="O1166">
        <v>10.6</v>
      </c>
      <c r="P1166">
        <v>280</v>
      </c>
      <c r="Q1166">
        <v>1840</v>
      </c>
      <c r="R1166">
        <v>920</v>
      </c>
      <c r="S1166">
        <v>3200</v>
      </c>
      <c r="T1166">
        <v>130</v>
      </c>
      <c r="U1166">
        <v>1080</v>
      </c>
      <c r="V1166">
        <f>River_data[[#This Row],[Dissolved Oxygen Min]]*River_data[[#This Row],[Dissolved Oxygen Max]]/2</f>
        <v>27.09</v>
      </c>
      <c r="W1166">
        <f>River_data[[#This Row],[BOD Min]]*River_data[[#This Row],[BOD Max]]/2</f>
        <v>2.15</v>
      </c>
      <c r="X1166">
        <f>AVERAGE(River_data[[#This Row],[pH Max]]-River_data[[#This Row],[pH Min]])</f>
        <v>1.8000000000000007</v>
      </c>
    </row>
    <row r="1167" spans="1:24" x14ac:dyDescent="0.3">
      <c r="A1167">
        <v>1028</v>
      </c>
      <c r="B1167" s="1" t="s">
        <v>1190</v>
      </c>
      <c r="C1167" s="1" t="s">
        <v>1138</v>
      </c>
      <c r="D1167">
        <v>27</v>
      </c>
      <c r="E1167">
        <v>32</v>
      </c>
      <c r="F1167">
        <v>6.7</v>
      </c>
      <c r="G1167">
        <v>8</v>
      </c>
      <c r="H1167">
        <v>8.1999999999999993</v>
      </c>
      <c r="I1167">
        <v>8.6999999999999993</v>
      </c>
      <c r="J1167">
        <v>685</v>
      </c>
      <c r="K1167">
        <v>1961</v>
      </c>
      <c r="L1167">
        <v>2</v>
      </c>
      <c r="M1167">
        <v>3.2</v>
      </c>
      <c r="N1167">
        <v>0.5</v>
      </c>
      <c r="O1167">
        <v>3.6</v>
      </c>
      <c r="P1167">
        <v>170</v>
      </c>
      <c r="Q1167">
        <v>460</v>
      </c>
      <c r="R1167">
        <v>920</v>
      </c>
      <c r="S1167">
        <v>2700</v>
      </c>
      <c r="V1167">
        <f>River_data[[#This Row],[Dissolved Oxygen Min]]*River_data[[#This Row],[Dissolved Oxygen Max]]/2</f>
        <v>26.8</v>
      </c>
      <c r="W1167">
        <f>River_data[[#This Row],[BOD Min]]*River_data[[#This Row],[BOD Max]]/2</f>
        <v>3.2</v>
      </c>
      <c r="X1167">
        <f>AVERAGE(River_data[[#This Row],[pH Max]]-River_data[[#This Row],[pH Min]])</f>
        <v>0.5</v>
      </c>
    </row>
    <row r="1168" spans="1:24" x14ac:dyDescent="0.3">
      <c r="A1168">
        <v>30056</v>
      </c>
      <c r="B1168" s="1" t="s">
        <v>1191</v>
      </c>
      <c r="C1168" s="1" t="s">
        <v>1138</v>
      </c>
      <c r="D1168">
        <v>25</v>
      </c>
      <c r="E1168">
        <v>28</v>
      </c>
      <c r="F1168">
        <v>6.4</v>
      </c>
      <c r="G1168">
        <v>13.2</v>
      </c>
      <c r="H1168">
        <v>7.9</v>
      </c>
      <c r="I1168">
        <v>8.6999999999999993</v>
      </c>
      <c r="J1168">
        <v>1104</v>
      </c>
      <c r="K1168">
        <v>2060</v>
      </c>
      <c r="L1168">
        <v>1</v>
      </c>
      <c r="M1168">
        <v>1</v>
      </c>
      <c r="N1168">
        <v>0</v>
      </c>
      <c r="O1168">
        <v>1.42</v>
      </c>
      <c r="P1168">
        <v>79</v>
      </c>
      <c r="Q1168">
        <v>2800</v>
      </c>
      <c r="R1168">
        <v>350</v>
      </c>
      <c r="S1168">
        <v>16000</v>
      </c>
      <c r="V1168">
        <f>River_data[[#This Row],[Dissolved Oxygen Min]]*River_data[[#This Row],[Dissolved Oxygen Max]]/2</f>
        <v>42.24</v>
      </c>
      <c r="W1168">
        <f>River_data[[#This Row],[BOD Min]]*River_data[[#This Row],[BOD Max]]/2</f>
        <v>0.5</v>
      </c>
      <c r="X1168">
        <f>AVERAGE(River_data[[#This Row],[pH Max]]-River_data[[#This Row],[pH Min]])</f>
        <v>0.79999999999999893</v>
      </c>
    </row>
    <row r="1169" spans="1:24" x14ac:dyDescent="0.3">
      <c r="A1169">
        <v>1784</v>
      </c>
      <c r="B1169" s="1" t="s">
        <v>1192</v>
      </c>
      <c r="C1169" s="1" t="s">
        <v>1098</v>
      </c>
      <c r="D1169">
        <v>25</v>
      </c>
      <c r="E1169">
        <v>28.2</v>
      </c>
      <c r="F1169">
        <v>5.2</v>
      </c>
      <c r="G1169">
        <v>6.2</v>
      </c>
      <c r="H1169">
        <v>7.4</v>
      </c>
      <c r="I1169">
        <v>8.3000000000000007</v>
      </c>
      <c r="J1169">
        <v>312</v>
      </c>
      <c r="K1169">
        <v>1293</v>
      </c>
      <c r="L1169">
        <v>1.2</v>
      </c>
      <c r="M1169">
        <v>2.8</v>
      </c>
      <c r="N1169">
        <v>0.3</v>
      </c>
      <c r="O1169">
        <v>6</v>
      </c>
      <c r="P1169">
        <v>2</v>
      </c>
      <c r="Q1169">
        <v>2</v>
      </c>
      <c r="R1169">
        <v>13</v>
      </c>
      <c r="S1169">
        <v>58</v>
      </c>
      <c r="T1169">
        <v>2</v>
      </c>
      <c r="U1169">
        <v>2</v>
      </c>
      <c r="V1169">
        <f>River_data[[#This Row],[Dissolved Oxygen Min]]*River_data[[#This Row],[Dissolved Oxygen Max]]/2</f>
        <v>16.12</v>
      </c>
      <c r="W1169">
        <f>River_data[[#This Row],[BOD Min]]*River_data[[#This Row],[BOD Max]]/2</f>
        <v>1.68</v>
      </c>
      <c r="X1169">
        <f>AVERAGE(River_data[[#This Row],[pH Max]]-River_data[[#This Row],[pH Min]])</f>
        <v>0.90000000000000036</v>
      </c>
    </row>
    <row r="1170" spans="1:24" x14ac:dyDescent="0.3">
      <c r="A1170">
        <v>1170</v>
      </c>
      <c r="B1170" s="1" t="s">
        <v>1193</v>
      </c>
      <c r="C1170" s="1" t="s">
        <v>1138</v>
      </c>
      <c r="D1170">
        <v>24</v>
      </c>
      <c r="E1170">
        <v>32</v>
      </c>
      <c r="F1170">
        <v>6.5</v>
      </c>
      <c r="G1170">
        <v>8.5</v>
      </c>
      <c r="H1170">
        <v>8.1</v>
      </c>
      <c r="I1170">
        <v>8.6</v>
      </c>
      <c r="J1170">
        <v>894</v>
      </c>
      <c r="K1170">
        <v>1750</v>
      </c>
      <c r="L1170">
        <v>2.2000000000000002</v>
      </c>
      <c r="M1170">
        <v>3.5</v>
      </c>
      <c r="N1170">
        <v>0.45</v>
      </c>
      <c r="O1170">
        <v>9.68</v>
      </c>
      <c r="P1170">
        <v>220</v>
      </c>
      <c r="Q1170">
        <v>580</v>
      </c>
      <c r="R1170">
        <v>920</v>
      </c>
      <c r="S1170">
        <v>2800</v>
      </c>
      <c r="V1170">
        <f>River_data[[#This Row],[Dissolved Oxygen Min]]*River_data[[#This Row],[Dissolved Oxygen Max]]/2</f>
        <v>27.625</v>
      </c>
      <c r="W1170">
        <f>River_data[[#This Row],[BOD Min]]*River_data[[#This Row],[BOD Max]]/2</f>
        <v>3.8500000000000005</v>
      </c>
      <c r="X1170">
        <f>AVERAGE(River_data[[#This Row],[pH Max]]-River_data[[#This Row],[pH Min]])</f>
        <v>0.5</v>
      </c>
    </row>
    <row r="1171" spans="1:24" x14ac:dyDescent="0.3">
      <c r="A1171">
        <v>39</v>
      </c>
      <c r="B1171" s="1" t="s">
        <v>1194</v>
      </c>
      <c r="C1171" s="1" t="s">
        <v>1098</v>
      </c>
      <c r="D1171">
        <v>24</v>
      </c>
      <c r="E1171">
        <v>28.4</v>
      </c>
      <c r="F1171">
        <v>5.0999999999999996</v>
      </c>
      <c r="G1171">
        <v>6.2</v>
      </c>
      <c r="H1171">
        <v>7.3</v>
      </c>
      <c r="I1171">
        <v>8.4</v>
      </c>
      <c r="J1171">
        <v>344</v>
      </c>
      <c r="K1171">
        <v>1792</v>
      </c>
      <c r="L1171">
        <v>1.2</v>
      </c>
      <c r="M1171">
        <v>3.6</v>
      </c>
      <c r="N1171">
        <v>0.4</v>
      </c>
      <c r="O1171">
        <v>6</v>
      </c>
      <c r="P1171">
        <v>2</v>
      </c>
      <c r="Q1171">
        <v>2</v>
      </c>
      <c r="R1171">
        <v>21</v>
      </c>
      <c r="S1171">
        <v>70</v>
      </c>
      <c r="T1171">
        <v>2</v>
      </c>
      <c r="U1171">
        <v>2</v>
      </c>
      <c r="V1171">
        <f>River_data[[#This Row],[Dissolved Oxygen Min]]*River_data[[#This Row],[Dissolved Oxygen Max]]/2</f>
        <v>15.809999999999999</v>
      </c>
      <c r="W1171">
        <f>River_data[[#This Row],[BOD Min]]*River_data[[#This Row],[BOD Max]]/2</f>
        <v>2.16</v>
      </c>
      <c r="X1171">
        <f>AVERAGE(River_data[[#This Row],[pH Max]]-River_data[[#This Row],[pH Min]])</f>
        <v>1.1000000000000005</v>
      </c>
    </row>
    <row r="1172" spans="1:24" x14ac:dyDescent="0.3">
      <c r="A1172">
        <v>4225</v>
      </c>
      <c r="B1172" s="1" t="s">
        <v>1195</v>
      </c>
      <c r="C1172" s="1" t="s">
        <v>1098</v>
      </c>
      <c r="D1172">
        <v>25</v>
      </c>
      <c r="E1172">
        <v>28.9</v>
      </c>
      <c r="F1172">
        <v>4.4000000000000004</v>
      </c>
      <c r="G1172">
        <v>6.2</v>
      </c>
      <c r="H1172">
        <v>7</v>
      </c>
      <c r="I1172">
        <v>8.3000000000000007</v>
      </c>
      <c r="J1172">
        <v>512</v>
      </c>
      <c r="K1172">
        <v>1692</v>
      </c>
      <c r="L1172">
        <v>1.4</v>
      </c>
      <c r="M1172">
        <v>3.2</v>
      </c>
      <c r="N1172">
        <v>0.4</v>
      </c>
      <c r="O1172">
        <v>12</v>
      </c>
      <c r="P1172">
        <v>2</v>
      </c>
      <c r="Q1172">
        <v>10</v>
      </c>
      <c r="R1172">
        <v>21</v>
      </c>
      <c r="S1172">
        <v>170</v>
      </c>
      <c r="T1172">
        <v>2</v>
      </c>
      <c r="U1172">
        <v>2</v>
      </c>
      <c r="V1172">
        <f>River_data[[#This Row],[Dissolved Oxygen Min]]*River_data[[#This Row],[Dissolved Oxygen Max]]/2</f>
        <v>13.640000000000002</v>
      </c>
      <c r="W1172">
        <f>River_data[[#This Row],[BOD Min]]*River_data[[#This Row],[BOD Max]]/2</f>
        <v>2.2399999999999998</v>
      </c>
      <c r="X1172">
        <f>AVERAGE(River_data[[#This Row],[pH Max]]-River_data[[#This Row],[pH Min]])</f>
        <v>1.3000000000000007</v>
      </c>
    </row>
    <row r="1173" spans="1:24" x14ac:dyDescent="0.3">
      <c r="A1173">
        <v>1175</v>
      </c>
      <c r="B1173" s="1" t="s">
        <v>1196</v>
      </c>
      <c r="C1173" s="1" t="s">
        <v>1115</v>
      </c>
      <c r="D1173">
        <v>20</v>
      </c>
      <c r="E1173">
        <v>28</v>
      </c>
      <c r="F1173">
        <v>5.3</v>
      </c>
      <c r="G1173">
        <v>6.2</v>
      </c>
      <c r="H1173">
        <v>6.9</v>
      </c>
      <c r="I1173">
        <v>8.1999999999999993</v>
      </c>
      <c r="J1173">
        <v>531</v>
      </c>
      <c r="K1173">
        <v>1714</v>
      </c>
      <c r="L1173">
        <v>1</v>
      </c>
      <c r="M1173">
        <v>2</v>
      </c>
      <c r="N1173">
        <v>0.35</v>
      </c>
      <c r="O1173">
        <v>0.94</v>
      </c>
      <c r="P1173">
        <v>102</v>
      </c>
      <c r="Q1173">
        <v>303</v>
      </c>
      <c r="R1173">
        <v>549</v>
      </c>
      <c r="S1173">
        <v>1046</v>
      </c>
      <c r="V1173">
        <f>River_data[[#This Row],[Dissolved Oxygen Min]]*River_data[[#This Row],[Dissolved Oxygen Max]]/2</f>
        <v>16.43</v>
      </c>
      <c r="W1173">
        <f>River_data[[#This Row],[BOD Min]]*River_data[[#This Row],[BOD Max]]/2</f>
        <v>1</v>
      </c>
      <c r="X1173">
        <f>AVERAGE(River_data[[#This Row],[pH Max]]-River_data[[#This Row],[pH Min]])</f>
        <v>1.2999999999999989</v>
      </c>
    </row>
    <row r="1174" spans="1:24" x14ac:dyDescent="0.3">
      <c r="A1174">
        <v>3083</v>
      </c>
      <c r="B1174" s="1" t="s">
        <v>1197</v>
      </c>
      <c r="C1174" s="1" t="s">
        <v>1115</v>
      </c>
      <c r="D1174">
        <v>19</v>
      </c>
      <c r="E1174">
        <v>29</v>
      </c>
      <c r="F1174">
        <v>5.3</v>
      </c>
      <c r="G1174">
        <v>6.2</v>
      </c>
      <c r="H1174">
        <v>6.9</v>
      </c>
      <c r="I1174">
        <v>8</v>
      </c>
      <c r="J1174">
        <v>580</v>
      </c>
      <c r="K1174">
        <v>842</v>
      </c>
      <c r="L1174">
        <v>1</v>
      </c>
      <c r="M1174">
        <v>1.7</v>
      </c>
      <c r="N1174">
        <v>0.34</v>
      </c>
      <c r="O1174">
        <v>1.31</v>
      </c>
      <c r="P1174">
        <v>152</v>
      </c>
      <c r="Q1174">
        <v>343</v>
      </c>
      <c r="R1174">
        <v>479</v>
      </c>
      <c r="S1174">
        <v>921</v>
      </c>
      <c r="V1174">
        <f>River_data[[#This Row],[Dissolved Oxygen Min]]*River_data[[#This Row],[Dissolved Oxygen Max]]/2</f>
        <v>16.43</v>
      </c>
      <c r="W1174">
        <f>River_data[[#This Row],[BOD Min]]*River_data[[#This Row],[BOD Max]]/2</f>
        <v>0.85</v>
      </c>
      <c r="X1174">
        <f>AVERAGE(River_data[[#This Row],[pH Max]]-River_data[[#This Row],[pH Min]])</f>
        <v>1.0999999999999996</v>
      </c>
    </row>
    <row r="1175" spans="1:24" x14ac:dyDescent="0.3">
      <c r="A1175">
        <v>5108</v>
      </c>
      <c r="B1175" s="1" t="s">
        <v>1198</v>
      </c>
      <c r="C1175" s="1" t="s">
        <v>1098</v>
      </c>
      <c r="D1175">
        <v>17</v>
      </c>
      <c r="E1175">
        <v>24</v>
      </c>
      <c r="F1175">
        <v>6.2</v>
      </c>
      <c r="G1175">
        <v>7.6</v>
      </c>
      <c r="H1175">
        <v>6.8</v>
      </c>
      <c r="I1175">
        <v>8.4</v>
      </c>
      <c r="J1175">
        <v>852</v>
      </c>
      <c r="K1175">
        <v>1281</v>
      </c>
      <c r="L1175">
        <v>2.2000000000000002</v>
      </c>
      <c r="M1175">
        <v>3.4</v>
      </c>
      <c r="N1175">
        <v>14.12</v>
      </c>
      <c r="O1175">
        <v>35.15</v>
      </c>
      <c r="P1175">
        <v>6</v>
      </c>
      <c r="Q1175">
        <v>6</v>
      </c>
      <c r="R1175">
        <v>33</v>
      </c>
      <c r="S1175">
        <v>41</v>
      </c>
      <c r="T1175">
        <v>4</v>
      </c>
      <c r="U1175">
        <v>5</v>
      </c>
      <c r="V1175">
        <f>River_data[[#This Row],[Dissolved Oxygen Min]]*River_data[[#This Row],[Dissolved Oxygen Max]]/2</f>
        <v>23.56</v>
      </c>
      <c r="W1175">
        <f>River_data[[#This Row],[BOD Min]]*River_data[[#This Row],[BOD Max]]/2</f>
        <v>3.74</v>
      </c>
      <c r="X1175">
        <f>AVERAGE(River_data[[#This Row],[pH Max]]-River_data[[#This Row],[pH Min]])</f>
        <v>1.6000000000000005</v>
      </c>
    </row>
    <row r="1176" spans="1:24" x14ac:dyDescent="0.3">
      <c r="A1176">
        <v>1465</v>
      </c>
      <c r="B1176" s="1" t="s">
        <v>1199</v>
      </c>
      <c r="C1176" s="1" t="s">
        <v>1098</v>
      </c>
      <c r="D1176">
        <v>17</v>
      </c>
      <c r="E1176">
        <v>25</v>
      </c>
      <c r="F1176">
        <v>5.4</v>
      </c>
      <c r="G1176">
        <v>7.2</v>
      </c>
      <c r="H1176">
        <v>7.2</v>
      </c>
      <c r="I1176">
        <v>8.6</v>
      </c>
      <c r="J1176">
        <v>1010</v>
      </c>
      <c r="K1176">
        <v>1311</v>
      </c>
      <c r="L1176">
        <v>2.1</v>
      </c>
      <c r="M1176">
        <v>4.0999999999999996</v>
      </c>
      <c r="N1176">
        <v>15.22</v>
      </c>
      <c r="O1176">
        <v>35.229999999999997</v>
      </c>
      <c r="P1176">
        <v>8</v>
      </c>
      <c r="Q1176">
        <v>9</v>
      </c>
      <c r="R1176">
        <v>27</v>
      </c>
      <c r="S1176">
        <v>39</v>
      </c>
      <c r="T1176">
        <v>6</v>
      </c>
      <c r="U1176">
        <v>6</v>
      </c>
      <c r="V1176">
        <f>River_data[[#This Row],[Dissolved Oxygen Min]]*River_data[[#This Row],[Dissolved Oxygen Max]]/2</f>
        <v>19.440000000000001</v>
      </c>
      <c r="W1176">
        <f>River_data[[#This Row],[BOD Min]]*River_data[[#This Row],[BOD Max]]/2</f>
        <v>4.3049999999999997</v>
      </c>
      <c r="X1176">
        <f>AVERAGE(River_data[[#This Row],[pH Max]]-River_data[[#This Row],[pH Min]])</f>
        <v>1.3999999999999995</v>
      </c>
    </row>
    <row r="1177" spans="1:24" x14ac:dyDescent="0.3">
      <c r="A1177">
        <v>4381</v>
      </c>
      <c r="B1177" s="1" t="s">
        <v>1200</v>
      </c>
      <c r="C1177" s="1" t="s">
        <v>1115</v>
      </c>
      <c r="D1177">
        <v>23</v>
      </c>
      <c r="E1177">
        <v>25</v>
      </c>
      <c r="F1177">
        <v>6.9</v>
      </c>
      <c r="G1177">
        <v>7.6</v>
      </c>
      <c r="H1177">
        <v>7.2</v>
      </c>
      <c r="I1177">
        <v>8.1</v>
      </c>
      <c r="J1177">
        <v>621</v>
      </c>
      <c r="K1177">
        <v>998</v>
      </c>
      <c r="L1177">
        <v>2.6</v>
      </c>
      <c r="M1177">
        <v>2.9</v>
      </c>
      <c r="N1177">
        <v>1.27</v>
      </c>
      <c r="O1177">
        <v>1.86</v>
      </c>
      <c r="P1177">
        <v>4</v>
      </c>
      <c r="Q1177">
        <v>39</v>
      </c>
      <c r="R1177">
        <v>43</v>
      </c>
      <c r="S1177">
        <v>470</v>
      </c>
      <c r="T1177">
        <v>2</v>
      </c>
      <c r="U1177">
        <v>3</v>
      </c>
      <c r="V1177">
        <f>River_data[[#This Row],[Dissolved Oxygen Min]]*River_data[[#This Row],[Dissolved Oxygen Max]]/2</f>
        <v>26.22</v>
      </c>
      <c r="W1177">
        <f>River_data[[#This Row],[BOD Min]]*River_data[[#This Row],[BOD Max]]/2</f>
        <v>3.77</v>
      </c>
      <c r="X1177">
        <f>AVERAGE(River_data[[#This Row],[pH Max]]-River_data[[#This Row],[pH Min]])</f>
        <v>0.89999999999999947</v>
      </c>
    </row>
    <row r="1178" spans="1:24" x14ac:dyDescent="0.3">
      <c r="A1178">
        <v>5109</v>
      </c>
      <c r="B1178" s="1" t="s">
        <v>1201</v>
      </c>
      <c r="C1178" s="1" t="s">
        <v>1098</v>
      </c>
      <c r="D1178">
        <v>18</v>
      </c>
      <c r="E1178">
        <v>25</v>
      </c>
      <c r="F1178">
        <v>6</v>
      </c>
      <c r="G1178">
        <v>7.9</v>
      </c>
      <c r="H1178">
        <v>7.3</v>
      </c>
      <c r="I1178">
        <v>8.4</v>
      </c>
      <c r="J1178">
        <v>926</v>
      </c>
      <c r="K1178">
        <v>1296</v>
      </c>
      <c r="L1178">
        <v>2.2000000000000002</v>
      </c>
      <c r="M1178">
        <v>16</v>
      </c>
      <c r="N1178">
        <v>15.15</v>
      </c>
      <c r="O1178">
        <v>41.13</v>
      </c>
      <c r="P1178">
        <v>6</v>
      </c>
      <c r="Q1178">
        <v>6</v>
      </c>
      <c r="R1178">
        <v>33</v>
      </c>
      <c r="S1178">
        <v>43</v>
      </c>
      <c r="T1178">
        <v>4</v>
      </c>
      <c r="U1178">
        <v>4</v>
      </c>
      <c r="V1178">
        <f>River_data[[#This Row],[Dissolved Oxygen Min]]*River_data[[#This Row],[Dissolved Oxygen Max]]/2</f>
        <v>23.700000000000003</v>
      </c>
      <c r="W1178">
        <f>River_data[[#This Row],[BOD Min]]*River_data[[#This Row],[BOD Max]]/2</f>
        <v>17.600000000000001</v>
      </c>
      <c r="X1178">
        <f>AVERAGE(River_data[[#This Row],[pH Max]]-River_data[[#This Row],[pH Min]])</f>
        <v>1.1000000000000005</v>
      </c>
    </row>
    <row r="1179" spans="1:24" x14ac:dyDescent="0.3">
      <c r="A1179">
        <v>4663</v>
      </c>
      <c r="B1179" s="1" t="s">
        <v>1202</v>
      </c>
      <c r="C1179" s="1" t="s">
        <v>1098</v>
      </c>
      <c r="D1179">
        <v>18</v>
      </c>
      <c r="E1179">
        <v>24</v>
      </c>
      <c r="F1179">
        <v>5.9</v>
      </c>
      <c r="G1179">
        <v>7.2</v>
      </c>
      <c r="H1179">
        <v>7</v>
      </c>
      <c r="I1179">
        <v>8.5</v>
      </c>
      <c r="J1179">
        <v>834</v>
      </c>
      <c r="K1179">
        <v>1319</v>
      </c>
      <c r="L1179">
        <v>2.2000000000000002</v>
      </c>
      <c r="M1179">
        <v>3.9</v>
      </c>
      <c r="N1179">
        <v>16.16</v>
      </c>
      <c r="O1179">
        <v>44.27</v>
      </c>
      <c r="P1179">
        <v>6</v>
      </c>
      <c r="Q1179">
        <v>7</v>
      </c>
      <c r="R1179">
        <v>34</v>
      </c>
      <c r="S1179">
        <v>43</v>
      </c>
      <c r="T1179">
        <v>4</v>
      </c>
      <c r="U1179">
        <v>5</v>
      </c>
      <c r="V1179">
        <f>River_data[[#This Row],[Dissolved Oxygen Min]]*River_data[[#This Row],[Dissolved Oxygen Max]]/2</f>
        <v>21.240000000000002</v>
      </c>
      <c r="W1179">
        <f>River_data[[#This Row],[BOD Min]]*River_data[[#This Row],[BOD Max]]/2</f>
        <v>4.29</v>
      </c>
      <c r="X1179">
        <f>AVERAGE(River_data[[#This Row],[pH Max]]-River_data[[#This Row],[pH Min]])</f>
        <v>1.5</v>
      </c>
    </row>
    <row r="1180" spans="1:24" x14ac:dyDescent="0.3">
      <c r="A1180">
        <v>5110</v>
      </c>
      <c r="B1180" s="1" t="s">
        <v>1203</v>
      </c>
      <c r="C1180" s="1" t="s">
        <v>1098</v>
      </c>
      <c r="D1180">
        <v>19</v>
      </c>
      <c r="E1180">
        <v>24</v>
      </c>
      <c r="F1180">
        <v>5.8</v>
      </c>
      <c r="G1180">
        <v>7</v>
      </c>
      <c r="H1180">
        <v>7</v>
      </c>
      <c r="I1180">
        <v>8.6</v>
      </c>
      <c r="J1180">
        <v>862</v>
      </c>
      <c r="K1180">
        <v>1357</v>
      </c>
      <c r="L1180">
        <v>2</v>
      </c>
      <c r="M1180">
        <v>3</v>
      </c>
      <c r="N1180">
        <v>8.16</v>
      </c>
      <c r="O1180">
        <v>33.17</v>
      </c>
      <c r="P1180">
        <v>4</v>
      </c>
      <c r="Q1180">
        <v>5</v>
      </c>
      <c r="R1180">
        <v>31</v>
      </c>
      <c r="S1180">
        <v>41</v>
      </c>
      <c r="T1180">
        <v>2</v>
      </c>
      <c r="U1180">
        <v>2</v>
      </c>
      <c r="V1180">
        <f>River_data[[#This Row],[Dissolved Oxygen Min]]*River_data[[#This Row],[Dissolved Oxygen Max]]/2</f>
        <v>20.3</v>
      </c>
      <c r="W1180">
        <f>River_data[[#This Row],[BOD Min]]*River_data[[#This Row],[BOD Max]]/2</f>
        <v>3</v>
      </c>
      <c r="X1180">
        <f>AVERAGE(River_data[[#This Row],[pH Max]]-River_data[[#This Row],[pH Min]])</f>
        <v>1.5999999999999996</v>
      </c>
    </row>
    <row r="1181" spans="1:24" x14ac:dyDescent="0.3">
      <c r="A1181">
        <v>1786</v>
      </c>
      <c r="B1181" s="1" t="s">
        <v>1204</v>
      </c>
      <c r="C1181" s="1" t="s">
        <v>1115</v>
      </c>
      <c r="D1181">
        <v>25</v>
      </c>
      <c r="E1181">
        <v>27</v>
      </c>
      <c r="F1181">
        <v>7.1</v>
      </c>
      <c r="G1181">
        <v>7.7</v>
      </c>
      <c r="H1181">
        <v>7.2</v>
      </c>
      <c r="I1181">
        <v>8.1999999999999993</v>
      </c>
      <c r="J1181">
        <v>772</v>
      </c>
      <c r="K1181">
        <v>950</v>
      </c>
      <c r="L1181">
        <v>2.4</v>
      </c>
      <c r="M1181">
        <v>2.8</v>
      </c>
      <c r="N1181">
        <v>1.05</v>
      </c>
      <c r="O1181">
        <v>1.76</v>
      </c>
      <c r="P1181">
        <v>4</v>
      </c>
      <c r="Q1181">
        <v>28</v>
      </c>
      <c r="R1181">
        <v>64</v>
      </c>
      <c r="S1181">
        <v>470</v>
      </c>
      <c r="T1181">
        <v>2</v>
      </c>
      <c r="U1181">
        <v>4</v>
      </c>
      <c r="V1181">
        <f>River_data[[#This Row],[Dissolved Oxygen Min]]*River_data[[#This Row],[Dissolved Oxygen Max]]/2</f>
        <v>27.335000000000001</v>
      </c>
      <c r="W1181">
        <f>River_data[[#This Row],[BOD Min]]*River_data[[#This Row],[BOD Max]]/2</f>
        <v>3.36</v>
      </c>
      <c r="X1181">
        <f>AVERAGE(River_data[[#This Row],[pH Max]]-River_data[[#This Row],[pH Min]])</f>
        <v>0.99999999999999911</v>
      </c>
    </row>
    <row r="1182" spans="1:24" x14ac:dyDescent="0.3">
      <c r="A1182">
        <v>1787</v>
      </c>
      <c r="B1182" s="1" t="s">
        <v>1205</v>
      </c>
      <c r="C1182" s="1" t="s">
        <v>1115</v>
      </c>
      <c r="D1182">
        <v>22</v>
      </c>
      <c r="E1182">
        <v>25</v>
      </c>
      <c r="F1182">
        <v>6.9</v>
      </c>
      <c r="G1182">
        <v>7.7</v>
      </c>
      <c r="H1182">
        <v>7.3</v>
      </c>
      <c r="I1182">
        <v>8.1</v>
      </c>
      <c r="J1182">
        <v>664</v>
      </c>
      <c r="K1182">
        <v>882</v>
      </c>
      <c r="L1182">
        <v>2.2999999999999998</v>
      </c>
      <c r="M1182">
        <v>2.9</v>
      </c>
      <c r="N1182">
        <v>1.05</v>
      </c>
      <c r="O1182">
        <v>1.65</v>
      </c>
      <c r="P1182">
        <v>7</v>
      </c>
      <c r="Q1182">
        <v>39</v>
      </c>
      <c r="R1182">
        <v>75</v>
      </c>
      <c r="S1182">
        <v>460</v>
      </c>
      <c r="T1182">
        <v>2</v>
      </c>
      <c r="U1182">
        <v>4</v>
      </c>
      <c r="V1182">
        <f>River_data[[#This Row],[Dissolved Oxygen Min]]*River_data[[#This Row],[Dissolved Oxygen Max]]/2</f>
        <v>26.565000000000001</v>
      </c>
      <c r="W1182">
        <f>River_data[[#This Row],[BOD Min]]*River_data[[#This Row],[BOD Max]]/2</f>
        <v>3.3349999999999995</v>
      </c>
      <c r="X1182">
        <f>AVERAGE(River_data[[#This Row],[pH Max]]-River_data[[#This Row],[pH Min]])</f>
        <v>0.79999999999999982</v>
      </c>
    </row>
    <row r="1183" spans="1:24" x14ac:dyDescent="0.3">
      <c r="A1183">
        <v>4375</v>
      </c>
      <c r="B1183" s="1" t="s">
        <v>1206</v>
      </c>
      <c r="C1183" s="1" t="s">
        <v>1115</v>
      </c>
      <c r="D1183">
        <v>24</v>
      </c>
      <c r="E1183">
        <v>25</v>
      </c>
      <c r="F1183">
        <v>7.1</v>
      </c>
      <c r="G1183">
        <v>7.6</v>
      </c>
      <c r="H1183">
        <v>7.2</v>
      </c>
      <c r="I1183">
        <v>8.1</v>
      </c>
      <c r="J1183">
        <v>406</v>
      </c>
      <c r="K1183">
        <v>830</v>
      </c>
      <c r="L1183">
        <v>2.2000000000000002</v>
      </c>
      <c r="M1183">
        <v>2.8</v>
      </c>
      <c r="N1183">
        <v>0.86</v>
      </c>
      <c r="O1183">
        <v>1.64</v>
      </c>
      <c r="P1183">
        <v>4</v>
      </c>
      <c r="Q1183">
        <v>14</v>
      </c>
      <c r="R1183">
        <v>43</v>
      </c>
      <c r="S1183">
        <v>470</v>
      </c>
      <c r="T1183">
        <v>2</v>
      </c>
      <c r="U1183">
        <v>3</v>
      </c>
      <c r="V1183">
        <f>River_data[[#This Row],[Dissolved Oxygen Min]]*River_data[[#This Row],[Dissolved Oxygen Max]]/2</f>
        <v>26.979999999999997</v>
      </c>
      <c r="W1183">
        <f>River_data[[#This Row],[BOD Min]]*River_data[[#This Row],[BOD Max]]/2</f>
        <v>3.08</v>
      </c>
      <c r="X1183">
        <f>AVERAGE(River_data[[#This Row],[pH Max]]-River_data[[#This Row],[pH Min]])</f>
        <v>0.89999999999999947</v>
      </c>
    </row>
    <row r="1184" spans="1:24" x14ac:dyDescent="0.3">
      <c r="A1184">
        <v>25</v>
      </c>
      <c r="B1184" s="1" t="s">
        <v>1207</v>
      </c>
      <c r="C1184" s="1" t="s">
        <v>1115</v>
      </c>
      <c r="D1184">
        <v>24</v>
      </c>
      <c r="E1184">
        <v>24</v>
      </c>
      <c r="F1184">
        <v>7.1</v>
      </c>
      <c r="G1184">
        <v>7.8</v>
      </c>
      <c r="H1184">
        <v>7.2</v>
      </c>
      <c r="I1184">
        <v>8.1</v>
      </c>
      <c r="J1184">
        <v>520</v>
      </c>
      <c r="K1184">
        <v>788</v>
      </c>
      <c r="L1184">
        <v>2.4</v>
      </c>
      <c r="M1184">
        <v>2.8</v>
      </c>
      <c r="N1184">
        <v>0.64</v>
      </c>
      <c r="O1184">
        <v>1.26</v>
      </c>
      <c r="P1184">
        <v>4</v>
      </c>
      <c r="Q1184">
        <v>15</v>
      </c>
      <c r="R1184">
        <v>64</v>
      </c>
      <c r="S1184">
        <v>470</v>
      </c>
      <c r="T1184">
        <v>2</v>
      </c>
      <c r="U1184">
        <v>3</v>
      </c>
      <c r="V1184">
        <f>River_data[[#This Row],[Dissolved Oxygen Min]]*River_data[[#This Row],[Dissolved Oxygen Max]]/2</f>
        <v>27.689999999999998</v>
      </c>
      <c r="W1184">
        <f>River_data[[#This Row],[BOD Min]]*River_data[[#This Row],[BOD Max]]/2</f>
        <v>3.36</v>
      </c>
      <c r="X1184">
        <f>AVERAGE(River_data[[#This Row],[pH Max]]-River_data[[#This Row],[pH Min]])</f>
        <v>0.89999999999999947</v>
      </c>
    </row>
    <row r="1185" spans="1:24" x14ac:dyDescent="0.3">
      <c r="A1185">
        <v>3079</v>
      </c>
      <c r="B1185" s="1" t="s">
        <v>1208</v>
      </c>
      <c r="C1185" s="1" t="s">
        <v>1209</v>
      </c>
      <c r="D1185">
        <v>25</v>
      </c>
      <c r="E1185">
        <v>25</v>
      </c>
      <c r="F1185">
        <v>7.2</v>
      </c>
      <c r="G1185">
        <v>7.2</v>
      </c>
      <c r="H1185">
        <v>7.8</v>
      </c>
      <c r="I1185">
        <v>7.8</v>
      </c>
      <c r="J1185">
        <v>796</v>
      </c>
      <c r="K1185">
        <v>796</v>
      </c>
      <c r="L1185">
        <v>2.8</v>
      </c>
      <c r="M1185">
        <v>2.8</v>
      </c>
      <c r="N1185">
        <v>1.44</v>
      </c>
      <c r="O1185">
        <v>1.44</v>
      </c>
      <c r="P1185">
        <v>11</v>
      </c>
      <c r="Q1185">
        <v>11</v>
      </c>
      <c r="R1185">
        <v>75</v>
      </c>
      <c r="S1185">
        <v>75</v>
      </c>
      <c r="T1185">
        <v>2</v>
      </c>
      <c r="U1185">
        <v>2</v>
      </c>
      <c r="V1185">
        <f>River_data[[#This Row],[Dissolved Oxygen Min]]*River_data[[#This Row],[Dissolved Oxygen Max]]/2</f>
        <v>25.92</v>
      </c>
      <c r="W1185">
        <f>River_data[[#This Row],[BOD Min]]*River_data[[#This Row],[BOD Max]]/2</f>
        <v>3.9199999999999995</v>
      </c>
      <c r="X1185">
        <f>AVERAGE(River_data[[#This Row],[pH Max]]-River_data[[#This Row],[pH Min]])</f>
        <v>0</v>
      </c>
    </row>
    <row r="1186" spans="1:24" x14ac:dyDescent="0.3">
      <c r="A1186">
        <v>1782</v>
      </c>
      <c r="B1186" s="1" t="s">
        <v>1210</v>
      </c>
      <c r="C1186" s="1" t="s">
        <v>1209</v>
      </c>
      <c r="D1186">
        <v>25</v>
      </c>
      <c r="E1186">
        <v>28</v>
      </c>
      <c r="F1186">
        <v>6.1</v>
      </c>
      <c r="G1186">
        <v>6.9</v>
      </c>
      <c r="H1186">
        <v>7.6</v>
      </c>
      <c r="I1186">
        <v>8.1999999999999993</v>
      </c>
      <c r="J1186">
        <v>7770</v>
      </c>
      <c r="K1186">
        <v>27420</v>
      </c>
      <c r="L1186">
        <v>2.6</v>
      </c>
      <c r="M1186">
        <v>2.8</v>
      </c>
      <c r="N1186">
        <v>0.83</v>
      </c>
      <c r="O1186">
        <v>1.27</v>
      </c>
      <c r="P1186">
        <v>4</v>
      </c>
      <c r="Q1186">
        <v>11</v>
      </c>
      <c r="R1186">
        <v>43</v>
      </c>
      <c r="S1186">
        <v>380</v>
      </c>
      <c r="T1186">
        <v>2</v>
      </c>
      <c r="U1186">
        <v>2</v>
      </c>
      <c r="V1186">
        <f>River_data[[#This Row],[Dissolved Oxygen Min]]*River_data[[#This Row],[Dissolved Oxygen Max]]/2</f>
        <v>21.044999999999998</v>
      </c>
      <c r="W1186">
        <f>River_data[[#This Row],[BOD Min]]*River_data[[#This Row],[BOD Max]]/2</f>
        <v>3.6399999999999997</v>
      </c>
      <c r="X1186">
        <f>AVERAGE(River_data[[#This Row],[pH Max]]-River_data[[#This Row],[pH Min]])</f>
        <v>0.59999999999999964</v>
      </c>
    </row>
    <row r="1187" spans="1:24" x14ac:dyDescent="0.3">
      <c r="A1187">
        <v>1463</v>
      </c>
      <c r="B1187" s="1" t="s">
        <v>1211</v>
      </c>
      <c r="C1187" s="1" t="s">
        <v>938</v>
      </c>
      <c r="D1187">
        <v>27</v>
      </c>
      <c r="E1187">
        <v>30</v>
      </c>
      <c r="F1187">
        <v>4.9000000000000004</v>
      </c>
      <c r="G1187">
        <v>6.5</v>
      </c>
      <c r="H1187">
        <v>7.7</v>
      </c>
      <c r="I1187">
        <v>8.5</v>
      </c>
      <c r="J1187">
        <v>128</v>
      </c>
      <c r="K1187">
        <v>1577</v>
      </c>
      <c r="L1187">
        <v>2.2000000000000002</v>
      </c>
      <c r="M1187">
        <v>7.2</v>
      </c>
      <c r="N1187">
        <v>0.3</v>
      </c>
      <c r="O1187">
        <v>3.48</v>
      </c>
      <c r="P1187">
        <v>7</v>
      </c>
      <c r="Q1187">
        <v>65</v>
      </c>
      <c r="R1187">
        <v>115</v>
      </c>
      <c r="S1187">
        <v>425</v>
      </c>
      <c r="T1187">
        <v>2</v>
      </c>
      <c r="U1187">
        <v>14</v>
      </c>
      <c r="V1187">
        <f>River_data[[#This Row],[Dissolved Oxygen Min]]*River_data[[#This Row],[Dissolved Oxygen Max]]/2</f>
        <v>15.925000000000001</v>
      </c>
      <c r="W1187">
        <f>River_data[[#This Row],[BOD Min]]*River_data[[#This Row],[BOD Max]]/2</f>
        <v>7.9200000000000008</v>
      </c>
      <c r="X1187">
        <f>AVERAGE(River_data[[#This Row],[pH Max]]-River_data[[#This Row],[pH Min]])</f>
        <v>0.79999999999999982</v>
      </c>
    </row>
    <row r="1188" spans="1:24" x14ac:dyDescent="0.3">
      <c r="A1188">
        <v>2683</v>
      </c>
      <c r="B1188" s="1" t="s">
        <v>1212</v>
      </c>
      <c r="C1188" s="1" t="s">
        <v>938</v>
      </c>
      <c r="D1188">
        <v>25</v>
      </c>
      <c r="E1188">
        <v>30</v>
      </c>
      <c r="F1188">
        <v>5.4</v>
      </c>
      <c r="G1188">
        <v>6.4</v>
      </c>
      <c r="H1188">
        <v>7.3</v>
      </c>
      <c r="I1188">
        <v>8.6</v>
      </c>
      <c r="J1188">
        <v>75</v>
      </c>
      <c r="K1188">
        <v>264</v>
      </c>
      <c r="L1188">
        <v>3</v>
      </c>
      <c r="M1188">
        <v>4.5</v>
      </c>
      <c r="N1188">
        <v>0.3</v>
      </c>
      <c r="O1188">
        <v>2.0499999999999998</v>
      </c>
      <c r="P1188">
        <v>7</v>
      </c>
      <c r="Q1188">
        <v>25</v>
      </c>
      <c r="R1188">
        <v>75</v>
      </c>
      <c r="S1188">
        <v>250</v>
      </c>
      <c r="T1188">
        <v>2</v>
      </c>
      <c r="U1188">
        <v>9</v>
      </c>
      <c r="V1188">
        <f>River_data[[#This Row],[Dissolved Oxygen Min]]*River_data[[#This Row],[Dissolved Oxygen Max]]/2</f>
        <v>17.28</v>
      </c>
      <c r="W1188">
        <f>River_data[[#This Row],[BOD Min]]*River_data[[#This Row],[BOD Max]]/2</f>
        <v>6.75</v>
      </c>
      <c r="X1188">
        <f>AVERAGE(River_data[[#This Row],[pH Max]]-River_data[[#This Row],[pH Min]])</f>
        <v>1.2999999999999998</v>
      </c>
    </row>
    <row r="1189" spans="1:24" x14ac:dyDescent="0.3">
      <c r="A1189">
        <v>2682</v>
      </c>
      <c r="B1189" s="1" t="s">
        <v>1213</v>
      </c>
      <c r="C1189" s="1" t="s">
        <v>938</v>
      </c>
      <c r="D1189">
        <v>26</v>
      </c>
      <c r="E1189">
        <v>30</v>
      </c>
      <c r="F1189">
        <v>5.3</v>
      </c>
      <c r="G1189">
        <v>6.2</v>
      </c>
      <c r="H1189">
        <v>7.9</v>
      </c>
      <c r="I1189">
        <v>8.5</v>
      </c>
      <c r="J1189">
        <v>483</v>
      </c>
      <c r="K1189">
        <v>944</v>
      </c>
      <c r="L1189">
        <v>3</v>
      </c>
      <c r="M1189">
        <v>6.2</v>
      </c>
      <c r="N1189">
        <v>0.3</v>
      </c>
      <c r="O1189">
        <v>3.38</v>
      </c>
      <c r="P1189">
        <v>7</v>
      </c>
      <c r="Q1189">
        <v>65</v>
      </c>
      <c r="R1189">
        <v>120</v>
      </c>
      <c r="S1189">
        <v>275</v>
      </c>
      <c r="T1189">
        <v>2</v>
      </c>
      <c r="U1189">
        <v>13</v>
      </c>
      <c r="V1189">
        <f>River_data[[#This Row],[Dissolved Oxygen Min]]*River_data[[#This Row],[Dissolved Oxygen Max]]/2</f>
        <v>16.43</v>
      </c>
      <c r="W1189">
        <f>River_data[[#This Row],[BOD Min]]*River_data[[#This Row],[BOD Max]]/2</f>
        <v>9.3000000000000007</v>
      </c>
      <c r="X1189">
        <f>AVERAGE(River_data[[#This Row],[pH Max]]-River_data[[#This Row],[pH Min]])</f>
        <v>0.59999999999999964</v>
      </c>
    </row>
    <row r="1190" spans="1:24" x14ac:dyDescent="0.3">
      <c r="A1190">
        <v>2195</v>
      </c>
      <c r="B1190" s="1" t="s">
        <v>1214</v>
      </c>
      <c r="C1190" s="1" t="s">
        <v>938</v>
      </c>
      <c r="D1190">
        <v>26</v>
      </c>
      <c r="E1190">
        <v>30</v>
      </c>
      <c r="F1190">
        <v>4.9000000000000004</v>
      </c>
      <c r="G1190">
        <v>5.8</v>
      </c>
      <c r="H1190">
        <v>7.3</v>
      </c>
      <c r="I1190">
        <v>8.4</v>
      </c>
      <c r="J1190">
        <v>621</v>
      </c>
      <c r="K1190">
        <v>1273</v>
      </c>
      <c r="L1190">
        <v>3.8</v>
      </c>
      <c r="M1190">
        <v>7.5</v>
      </c>
      <c r="N1190">
        <v>0.3</v>
      </c>
      <c r="O1190">
        <v>4.88</v>
      </c>
      <c r="P1190">
        <v>7</v>
      </c>
      <c r="Q1190">
        <v>120</v>
      </c>
      <c r="R1190">
        <v>150</v>
      </c>
      <c r="S1190">
        <v>900</v>
      </c>
      <c r="T1190">
        <v>2</v>
      </c>
      <c r="U1190">
        <v>25</v>
      </c>
      <c r="V1190">
        <f>River_data[[#This Row],[Dissolved Oxygen Min]]*River_data[[#This Row],[Dissolved Oxygen Max]]/2</f>
        <v>14.21</v>
      </c>
      <c r="W1190">
        <f>River_data[[#This Row],[BOD Min]]*River_data[[#This Row],[BOD Max]]/2</f>
        <v>14.25</v>
      </c>
      <c r="X1190">
        <f>AVERAGE(River_data[[#This Row],[pH Max]]-River_data[[#This Row],[pH Min]])</f>
        <v>1.1000000000000005</v>
      </c>
    </row>
    <row r="1191" spans="1:24" x14ac:dyDescent="0.3">
      <c r="A1191">
        <v>2681</v>
      </c>
      <c r="B1191" s="1" t="s">
        <v>1215</v>
      </c>
      <c r="C1191" s="1" t="s">
        <v>938</v>
      </c>
      <c r="D1191">
        <v>25</v>
      </c>
      <c r="E1191">
        <v>32</v>
      </c>
      <c r="F1191">
        <v>4.3</v>
      </c>
      <c r="G1191">
        <v>5.6</v>
      </c>
      <c r="H1191">
        <v>8</v>
      </c>
      <c r="I1191">
        <v>8.4</v>
      </c>
      <c r="J1191">
        <v>1567</v>
      </c>
      <c r="K1191">
        <v>6941</v>
      </c>
      <c r="L1191">
        <v>4.4000000000000004</v>
      </c>
      <c r="M1191">
        <v>14</v>
      </c>
      <c r="N1191">
        <v>0.3</v>
      </c>
      <c r="O1191">
        <v>2.54</v>
      </c>
      <c r="P1191">
        <v>9</v>
      </c>
      <c r="Q1191">
        <v>110</v>
      </c>
      <c r="R1191">
        <v>130</v>
      </c>
      <c r="S1191">
        <v>550</v>
      </c>
      <c r="T1191">
        <v>4</v>
      </c>
      <c r="U1191">
        <v>25</v>
      </c>
      <c r="V1191">
        <f>River_data[[#This Row],[Dissolved Oxygen Min]]*River_data[[#This Row],[Dissolved Oxygen Max]]/2</f>
        <v>12.04</v>
      </c>
      <c r="W1191">
        <f>River_data[[#This Row],[BOD Min]]*River_data[[#This Row],[BOD Max]]/2</f>
        <v>30.800000000000004</v>
      </c>
      <c r="X1191">
        <f>AVERAGE(River_data[[#This Row],[pH Max]]-River_data[[#This Row],[pH Min]])</f>
        <v>0.40000000000000036</v>
      </c>
    </row>
    <row r="1192" spans="1:24" x14ac:dyDescent="0.3">
      <c r="A1192">
        <v>2716</v>
      </c>
      <c r="B1192" s="1" t="s">
        <v>1216</v>
      </c>
      <c r="C1192" s="1" t="s">
        <v>938</v>
      </c>
      <c r="D1192">
        <v>20</v>
      </c>
      <c r="E1192">
        <v>32</v>
      </c>
      <c r="F1192">
        <v>5.7</v>
      </c>
      <c r="G1192">
        <v>6.6</v>
      </c>
      <c r="H1192">
        <v>6.6</v>
      </c>
      <c r="I1192">
        <v>8.3000000000000007</v>
      </c>
      <c r="J1192">
        <v>42</v>
      </c>
      <c r="K1192">
        <v>686</v>
      </c>
      <c r="L1192">
        <v>2.2000000000000002</v>
      </c>
      <c r="M1192">
        <v>3.6</v>
      </c>
      <c r="N1192">
        <v>0.3</v>
      </c>
      <c r="O1192">
        <v>2.11</v>
      </c>
      <c r="P1192">
        <v>7</v>
      </c>
      <c r="Q1192">
        <v>30</v>
      </c>
      <c r="R1192">
        <v>95</v>
      </c>
      <c r="S1192">
        <v>250</v>
      </c>
      <c r="T1192">
        <v>2</v>
      </c>
      <c r="U1192">
        <v>8</v>
      </c>
      <c r="V1192">
        <f>River_data[[#This Row],[Dissolved Oxygen Min]]*River_data[[#This Row],[Dissolved Oxygen Max]]/2</f>
        <v>18.809999999999999</v>
      </c>
      <c r="W1192">
        <f>River_data[[#This Row],[BOD Min]]*River_data[[#This Row],[BOD Max]]/2</f>
        <v>3.9600000000000004</v>
      </c>
      <c r="X1192">
        <f>AVERAGE(River_data[[#This Row],[pH Max]]-River_data[[#This Row],[pH Min]])</f>
        <v>1.7000000000000011</v>
      </c>
    </row>
    <row r="1193" spans="1:24" x14ac:dyDescent="0.3">
      <c r="A1193">
        <v>2186</v>
      </c>
      <c r="B1193" s="1" t="s">
        <v>1217</v>
      </c>
      <c r="C1193" s="1" t="s">
        <v>938</v>
      </c>
      <c r="D1193">
        <v>23</v>
      </c>
      <c r="E1193">
        <v>31</v>
      </c>
      <c r="F1193">
        <v>5.3</v>
      </c>
      <c r="G1193">
        <v>6.4</v>
      </c>
      <c r="H1193">
        <v>7.6</v>
      </c>
      <c r="I1193">
        <v>8.3000000000000007</v>
      </c>
      <c r="J1193">
        <v>177</v>
      </c>
      <c r="K1193">
        <v>445</v>
      </c>
      <c r="L1193">
        <v>2.6</v>
      </c>
      <c r="M1193">
        <v>5</v>
      </c>
      <c r="N1193">
        <v>0.3</v>
      </c>
      <c r="O1193">
        <v>1.96</v>
      </c>
      <c r="P1193">
        <v>7</v>
      </c>
      <c r="Q1193">
        <v>30</v>
      </c>
      <c r="R1193">
        <v>85</v>
      </c>
      <c r="S1193">
        <v>225</v>
      </c>
      <c r="T1193">
        <v>2</v>
      </c>
      <c r="U1193">
        <v>11</v>
      </c>
      <c r="V1193">
        <f>River_data[[#This Row],[Dissolved Oxygen Min]]*River_data[[#This Row],[Dissolved Oxygen Max]]/2</f>
        <v>16.96</v>
      </c>
      <c r="W1193">
        <f>River_data[[#This Row],[BOD Min]]*River_data[[#This Row],[BOD Max]]/2</f>
        <v>6.5</v>
      </c>
      <c r="X1193">
        <f>AVERAGE(River_data[[#This Row],[pH Max]]-River_data[[#This Row],[pH Min]])</f>
        <v>0.70000000000000107</v>
      </c>
    </row>
    <row r="1194" spans="1:24" x14ac:dyDescent="0.3">
      <c r="A1194">
        <v>2717</v>
      </c>
      <c r="B1194" s="1" t="s">
        <v>1218</v>
      </c>
      <c r="C1194" s="1" t="s">
        <v>938</v>
      </c>
      <c r="D1194">
        <v>23</v>
      </c>
      <c r="E1194">
        <v>30</v>
      </c>
      <c r="F1194">
        <v>4.8</v>
      </c>
      <c r="G1194">
        <v>6.2</v>
      </c>
      <c r="H1194">
        <v>7.4</v>
      </c>
      <c r="I1194">
        <v>8.1999999999999993</v>
      </c>
      <c r="J1194">
        <v>206</v>
      </c>
      <c r="K1194">
        <v>553</v>
      </c>
      <c r="L1194">
        <v>2.8</v>
      </c>
      <c r="M1194">
        <v>6.4</v>
      </c>
      <c r="N1194">
        <v>0.3</v>
      </c>
      <c r="O1194">
        <v>2.82</v>
      </c>
      <c r="P1194">
        <v>8</v>
      </c>
      <c r="Q1194">
        <v>65</v>
      </c>
      <c r="R1194">
        <v>95</v>
      </c>
      <c r="S1194">
        <v>350</v>
      </c>
      <c r="T1194">
        <v>4</v>
      </c>
      <c r="U1194">
        <v>13</v>
      </c>
      <c r="V1194">
        <f>River_data[[#This Row],[Dissolved Oxygen Min]]*River_data[[#This Row],[Dissolved Oxygen Max]]/2</f>
        <v>14.879999999999999</v>
      </c>
      <c r="W1194">
        <f>River_data[[#This Row],[BOD Min]]*River_data[[#This Row],[BOD Max]]/2</f>
        <v>8.9599999999999991</v>
      </c>
      <c r="X1194">
        <f>AVERAGE(River_data[[#This Row],[pH Max]]-River_data[[#This Row],[pH Min]])</f>
        <v>0.79999999999999893</v>
      </c>
    </row>
    <row r="1195" spans="1:24" x14ac:dyDescent="0.3">
      <c r="A1195">
        <v>4253</v>
      </c>
      <c r="B1195" s="1" t="s">
        <v>1219</v>
      </c>
      <c r="C1195" s="1" t="s">
        <v>1098</v>
      </c>
      <c r="D1195">
        <v>25</v>
      </c>
      <c r="E1195">
        <v>29</v>
      </c>
      <c r="F1195">
        <v>0.3</v>
      </c>
      <c r="G1195">
        <v>3</v>
      </c>
      <c r="H1195">
        <v>6.8</v>
      </c>
      <c r="I1195">
        <v>7.9</v>
      </c>
      <c r="J1195">
        <v>384</v>
      </c>
      <c r="K1195">
        <v>1526</v>
      </c>
      <c r="L1195">
        <v>2.2000000000000002</v>
      </c>
      <c r="M1195">
        <v>14</v>
      </c>
      <c r="N1195">
        <v>2.08</v>
      </c>
      <c r="O1195">
        <v>8.1999999999999993</v>
      </c>
      <c r="P1195">
        <v>4</v>
      </c>
      <c r="Q1195">
        <v>350</v>
      </c>
      <c r="R1195">
        <v>280</v>
      </c>
      <c r="S1195">
        <v>920</v>
      </c>
      <c r="T1195">
        <v>2</v>
      </c>
      <c r="U1195">
        <v>6</v>
      </c>
      <c r="V1195">
        <f>River_data[[#This Row],[Dissolved Oxygen Min]]*River_data[[#This Row],[Dissolved Oxygen Max]]/2</f>
        <v>0.44999999999999996</v>
      </c>
      <c r="W1195">
        <f>River_data[[#This Row],[BOD Min]]*River_data[[#This Row],[BOD Max]]/2</f>
        <v>15.400000000000002</v>
      </c>
      <c r="X1195">
        <f>AVERAGE(River_data[[#This Row],[pH Max]]-River_data[[#This Row],[pH Min]])</f>
        <v>1.1000000000000005</v>
      </c>
    </row>
    <row r="1196" spans="1:24" x14ac:dyDescent="0.3">
      <c r="A1196">
        <v>4656</v>
      </c>
      <c r="B1196" s="1" t="s">
        <v>1220</v>
      </c>
      <c r="C1196" s="1" t="s">
        <v>1098</v>
      </c>
      <c r="D1196">
        <v>24</v>
      </c>
      <c r="E1196">
        <v>27.8</v>
      </c>
      <c r="F1196">
        <v>0.3</v>
      </c>
      <c r="G1196">
        <v>1.1000000000000001</v>
      </c>
      <c r="H1196">
        <v>6.8</v>
      </c>
      <c r="I1196">
        <v>7.6</v>
      </c>
      <c r="J1196">
        <v>784</v>
      </c>
      <c r="K1196">
        <v>1474</v>
      </c>
      <c r="L1196">
        <v>5.2</v>
      </c>
      <c r="M1196">
        <v>14</v>
      </c>
      <c r="N1196">
        <v>3.4</v>
      </c>
      <c r="O1196">
        <v>9.1999999999999993</v>
      </c>
      <c r="P1196">
        <v>8</v>
      </c>
      <c r="Q1196">
        <v>63</v>
      </c>
      <c r="R1196">
        <v>430</v>
      </c>
      <c r="S1196">
        <v>920</v>
      </c>
      <c r="T1196">
        <v>2</v>
      </c>
      <c r="U1196">
        <v>7</v>
      </c>
      <c r="V1196">
        <f>River_data[[#This Row],[Dissolved Oxygen Min]]*River_data[[#This Row],[Dissolved Oxygen Max]]/2</f>
        <v>0.16500000000000001</v>
      </c>
      <c r="W1196">
        <f>River_data[[#This Row],[BOD Min]]*River_data[[#This Row],[BOD Max]]/2</f>
        <v>36.4</v>
      </c>
      <c r="X1196">
        <f>AVERAGE(River_data[[#This Row],[pH Max]]-River_data[[#This Row],[pH Min]])</f>
        <v>0.79999999999999982</v>
      </c>
    </row>
    <row r="1197" spans="1:24" x14ac:dyDescent="0.3">
      <c r="A1197">
        <v>2339</v>
      </c>
      <c r="B1197" s="1" t="s">
        <v>1221</v>
      </c>
      <c r="C1197" s="1" t="s">
        <v>1098</v>
      </c>
      <c r="D1197">
        <v>24</v>
      </c>
      <c r="E1197">
        <v>28</v>
      </c>
      <c r="F1197">
        <v>0.3</v>
      </c>
      <c r="G1197">
        <v>0.3</v>
      </c>
      <c r="H1197">
        <v>6.9</v>
      </c>
      <c r="I1197">
        <v>7.8</v>
      </c>
      <c r="J1197">
        <v>1027</v>
      </c>
      <c r="K1197">
        <v>1621</v>
      </c>
      <c r="L1197">
        <v>6</v>
      </c>
      <c r="M1197">
        <v>15</v>
      </c>
      <c r="N1197">
        <v>3.2</v>
      </c>
      <c r="O1197">
        <v>9</v>
      </c>
      <c r="P1197">
        <v>6</v>
      </c>
      <c r="Q1197">
        <v>58</v>
      </c>
      <c r="R1197">
        <v>350</v>
      </c>
      <c r="S1197">
        <v>920</v>
      </c>
      <c r="T1197">
        <v>2</v>
      </c>
      <c r="U1197">
        <v>12</v>
      </c>
      <c r="V1197">
        <f>River_data[[#This Row],[Dissolved Oxygen Min]]*River_data[[#This Row],[Dissolved Oxygen Max]]/2</f>
        <v>4.4999999999999998E-2</v>
      </c>
      <c r="W1197">
        <f>River_data[[#This Row],[BOD Min]]*River_data[[#This Row],[BOD Max]]/2</f>
        <v>45</v>
      </c>
      <c r="X1197">
        <f>AVERAGE(River_data[[#This Row],[pH Max]]-River_data[[#This Row],[pH Min]])</f>
        <v>0.89999999999999947</v>
      </c>
    </row>
    <row r="1198" spans="1:24" x14ac:dyDescent="0.3">
      <c r="A1198">
        <v>4659</v>
      </c>
      <c r="B1198" s="1" t="s">
        <v>1222</v>
      </c>
      <c r="C1198" s="1" t="s">
        <v>1098</v>
      </c>
      <c r="D1198">
        <v>24</v>
      </c>
      <c r="E1198">
        <v>28.9</v>
      </c>
      <c r="F1198">
        <v>0.3</v>
      </c>
      <c r="G1198">
        <v>0.3</v>
      </c>
      <c r="H1198">
        <v>7</v>
      </c>
      <c r="I1198">
        <v>7.9</v>
      </c>
      <c r="J1198">
        <v>1040</v>
      </c>
      <c r="K1198">
        <v>1794</v>
      </c>
      <c r="L1198">
        <v>6</v>
      </c>
      <c r="M1198">
        <v>16</v>
      </c>
      <c r="N1198">
        <v>3</v>
      </c>
      <c r="O1198">
        <v>12.5</v>
      </c>
      <c r="P1198">
        <v>11</v>
      </c>
      <c r="Q1198">
        <v>48</v>
      </c>
      <c r="R1198">
        <v>350</v>
      </c>
      <c r="S1198">
        <v>920</v>
      </c>
      <c r="T1198">
        <v>2</v>
      </c>
      <c r="U1198">
        <v>21</v>
      </c>
      <c r="V1198">
        <f>River_data[[#This Row],[Dissolved Oxygen Min]]*River_data[[#This Row],[Dissolved Oxygen Max]]/2</f>
        <v>4.4999999999999998E-2</v>
      </c>
      <c r="W1198">
        <f>River_data[[#This Row],[BOD Min]]*River_data[[#This Row],[BOD Max]]/2</f>
        <v>48</v>
      </c>
      <c r="X1198">
        <f>AVERAGE(River_data[[#This Row],[pH Max]]-River_data[[#This Row],[pH Min]])</f>
        <v>0.90000000000000036</v>
      </c>
    </row>
    <row r="1199" spans="1:24" x14ac:dyDescent="0.3">
      <c r="A1199">
        <v>4660</v>
      </c>
      <c r="B1199" s="1" t="s">
        <v>1223</v>
      </c>
      <c r="C1199" s="1" t="s">
        <v>1098</v>
      </c>
      <c r="D1199">
        <v>24</v>
      </c>
      <c r="E1199">
        <v>29</v>
      </c>
      <c r="F1199">
        <v>0.3</v>
      </c>
      <c r="G1199">
        <v>0.8</v>
      </c>
      <c r="H1199">
        <v>7</v>
      </c>
      <c r="I1199">
        <v>7.4</v>
      </c>
      <c r="J1199">
        <v>1022</v>
      </c>
      <c r="K1199">
        <v>1502</v>
      </c>
      <c r="L1199">
        <v>5.8</v>
      </c>
      <c r="M1199">
        <v>14</v>
      </c>
      <c r="N1199">
        <v>3</v>
      </c>
      <c r="O1199">
        <v>10.8</v>
      </c>
      <c r="P1199">
        <v>14</v>
      </c>
      <c r="Q1199">
        <v>48</v>
      </c>
      <c r="R1199">
        <v>350</v>
      </c>
      <c r="S1199">
        <v>1600</v>
      </c>
      <c r="T1199">
        <v>2</v>
      </c>
      <c r="U1199">
        <v>12</v>
      </c>
      <c r="V1199">
        <f>River_data[[#This Row],[Dissolved Oxygen Min]]*River_data[[#This Row],[Dissolved Oxygen Max]]/2</f>
        <v>0.12</v>
      </c>
      <c r="W1199">
        <f>River_data[[#This Row],[BOD Min]]*River_data[[#This Row],[BOD Max]]/2</f>
        <v>40.6</v>
      </c>
      <c r="X1199">
        <f>AVERAGE(River_data[[#This Row],[pH Max]]-River_data[[#This Row],[pH Min]])</f>
        <v>0.40000000000000036</v>
      </c>
    </row>
    <row r="1200" spans="1:24" x14ac:dyDescent="0.3">
      <c r="A1200">
        <v>1173</v>
      </c>
      <c r="B1200" s="1" t="s">
        <v>1224</v>
      </c>
      <c r="C1200" s="1" t="s">
        <v>1098</v>
      </c>
      <c r="D1200">
        <v>24</v>
      </c>
      <c r="E1200">
        <v>28</v>
      </c>
      <c r="F1200">
        <v>0.3</v>
      </c>
      <c r="G1200">
        <v>1.2</v>
      </c>
      <c r="H1200">
        <v>6.8</v>
      </c>
      <c r="I1200">
        <v>7.7</v>
      </c>
      <c r="J1200">
        <v>1005</v>
      </c>
      <c r="K1200">
        <v>1488</v>
      </c>
      <c r="L1200">
        <v>5.2</v>
      </c>
      <c r="M1200">
        <v>16</v>
      </c>
      <c r="N1200">
        <v>2.6</v>
      </c>
      <c r="O1200">
        <v>13.6</v>
      </c>
      <c r="P1200">
        <v>11</v>
      </c>
      <c r="Q1200">
        <v>84</v>
      </c>
      <c r="R1200">
        <v>350</v>
      </c>
      <c r="S1200">
        <v>920</v>
      </c>
      <c r="T1200">
        <v>4</v>
      </c>
      <c r="U1200">
        <v>14</v>
      </c>
      <c r="V1200">
        <f>River_data[[#This Row],[Dissolved Oxygen Min]]*River_data[[#This Row],[Dissolved Oxygen Max]]/2</f>
        <v>0.18</v>
      </c>
      <c r="W1200">
        <f>River_data[[#This Row],[BOD Min]]*River_data[[#This Row],[BOD Max]]/2</f>
        <v>41.6</v>
      </c>
      <c r="X1200">
        <f>AVERAGE(River_data[[#This Row],[pH Max]]-River_data[[#This Row],[pH Min]])</f>
        <v>0.90000000000000036</v>
      </c>
    </row>
    <row r="1201" spans="1:24" x14ac:dyDescent="0.3">
      <c r="A1201">
        <v>4657</v>
      </c>
      <c r="B1201" s="1" t="s">
        <v>1225</v>
      </c>
      <c r="C1201" s="1" t="s">
        <v>1098</v>
      </c>
      <c r="D1201">
        <v>24</v>
      </c>
      <c r="E1201">
        <v>27.2</v>
      </c>
      <c r="F1201">
        <v>0.3</v>
      </c>
      <c r="G1201">
        <v>3.2</v>
      </c>
      <c r="H1201">
        <v>7</v>
      </c>
      <c r="I1201">
        <v>7.5</v>
      </c>
      <c r="J1201">
        <v>998</v>
      </c>
      <c r="K1201">
        <v>1504</v>
      </c>
      <c r="L1201">
        <v>4</v>
      </c>
      <c r="M1201">
        <v>6</v>
      </c>
      <c r="N1201">
        <v>2.6</v>
      </c>
      <c r="O1201">
        <v>11.84</v>
      </c>
      <c r="P1201">
        <v>11</v>
      </c>
      <c r="Q1201">
        <v>70</v>
      </c>
      <c r="R1201">
        <v>350</v>
      </c>
      <c r="S1201">
        <v>1600</v>
      </c>
      <c r="T1201">
        <v>2</v>
      </c>
      <c r="U1201">
        <v>15</v>
      </c>
      <c r="V1201">
        <f>River_data[[#This Row],[Dissolved Oxygen Min]]*River_data[[#This Row],[Dissolved Oxygen Max]]/2</f>
        <v>0.48</v>
      </c>
      <c r="W1201">
        <f>River_data[[#This Row],[BOD Min]]*River_data[[#This Row],[BOD Max]]/2</f>
        <v>12</v>
      </c>
      <c r="X1201">
        <f>AVERAGE(River_data[[#This Row],[pH Max]]-River_data[[#This Row],[pH Min]])</f>
        <v>0.5</v>
      </c>
    </row>
    <row r="1202" spans="1:24" x14ac:dyDescent="0.3">
      <c r="A1202">
        <v>4254</v>
      </c>
      <c r="B1202" s="1" t="s">
        <v>1226</v>
      </c>
      <c r="C1202" s="1" t="s">
        <v>1098</v>
      </c>
      <c r="D1202">
        <v>18</v>
      </c>
      <c r="E1202">
        <v>23</v>
      </c>
      <c r="F1202">
        <v>5.9</v>
      </c>
      <c r="G1202">
        <v>7</v>
      </c>
      <c r="H1202">
        <v>6.8</v>
      </c>
      <c r="I1202">
        <v>8.1999999999999993</v>
      </c>
      <c r="J1202">
        <v>1025</v>
      </c>
      <c r="K1202">
        <v>1832</v>
      </c>
      <c r="L1202">
        <v>2.1</v>
      </c>
      <c r="M1202">
        <v>6.1</v>
      </c>
      <c r="N1202">
        <v>23.15</v>
      </c>
      <c r="O1202">
        <v>38.159999999999997</v>
      </c>
      <c r="P1202">
        <v>7</v>
      </c>
      <c r="Q1202">
        <v>8</v>
      </c>
      <c r="R1202">
        <v>70</v>
      </c>
      <c r="S1202">
        <v>92</v>
      </c>
      <c r="T1202">
        <v>5</v>
      </c>
      <c r="U1202">
        <v>6</v>
      </c>
      <c r="V1202">
        <f>River_data[[#This Row],[Dissolved Oxygen Min]]*River_data[[#This Row],[Dissolved Oxygen Max]]/2</f>
        <v>20.650000000000002</v>
      </c>
      <c r="W1202">
        <f>River_data[[#This Row],[BOD Min]]*River_data[[#This Row],[BOD Max]]/2</f>
        <v>6.4050000000000002</v>
      </c>
      <c r="X1202">
        <f>AVERAGE(River_data[[#This Row],[pH Max]]-River_data[[#This Row],[pH Min]])</f>
        <v>1.3999999999999995</v>
      </c>
    </row>
    <row r="1203" spans="1:24" x14ac:dyDescent="0.3">
      <c r="A1203">
        <v>4658</v>
      </c>
      <c r="B1203" s="1" t="s">
        <v>1227</v>
      </c>
      <c r="C1203" s="1" t="s">
        <v>1098</v>
      </c>
      <c r="D1203">
        <v>18</v>
      </c>
      <c r="E1203">
        <v>23</v>
      </c>
      <c r="F1203">
        <v>5.9</v>
      </c>
      <c r="G1203">
        <v>7.6</v>
      </c>
      <c r="H1203">
        <v>6.7</v>
      </c>
      <c r="I1203">
        <v>8.3000000000000007</v>
      </c>
      <c r="J1203">
        <v>1159</v>
      </c>
      <c r="K1203">
        <v>1802</v>
      </c>
      <c r="L1203">
        <v>2</v>
      </c>
      <c r="M1203">
        <v>5.8</v>
      </c>
      <c r="N1203">
        <v>20.149999999999999</v>
      </c>
      <c r="O1203">
        <v>43.15</v>
      </c>
      <c r="P1203">
        <v>8</v>
      </c>
      <c r="Q1203">
        <v>9</v>
      </c>
      <c r="R1203">
        <v>79</v>
      </c>
      <c r="S1203">
        <v>110</v>
      </c>
      <c r="T1203">
        <v>6</v>
      </c>
      <c r="U1203">
        <v>6</v>
      </c>
      <c r="V1203">
        <f>River_data[[#This Row],[Dissolved Oxygen Min]]*River_data[[#This Row],[Dissolved Oxygen Max]]/2</f>
        <v>22.42</v>
      </c>
      <c r="W1203">
        <f>River_data[[#This Row],[BOD Min]]*River_data[[#This Row],[BOD Max]]/2</f>
        <v>5.8</v>
      </c>
      <c r="X1203">
        <f>AVERAGE(River_data[[#This Row],[pH Max]]-River_data[[#This Row],[pH Min]])</f>
        <v>1.6000000000000005</v>
      </c>
    </row>
    <row r="1204" spans="1:24" x14ac:dyDescent="0.3">
      <c r="A1204">
        <v>3082</v>
      </c>
      <c r="B1204" s="1" t="s">
        <v>1228</v>
      </c>
      <c r="C1204" s="1" t="s">
        <v>1098</v>
      </c>
      <c r="D1204">
        <v>18</v>
      </c>
      <c r="E1204">
        <v>25</v>
      </c>
      <c r="F1204">
        <v>6.3</v>
      </c>
      <c r="G1204">
        <v>7.6</v>
      </c>
      <c r="H1204">
        <v>7.4</v>
      </c>
      <c r="I1204">
        <v>8.5</v>
      </c>
      <c r="J1204">
        <v>1101</v>
      </c>
      <c r="K1204">
        <v>1724</v>
      </c>
      <c r="L1204">
        <v>2</v>
      </c>
      <c r="M1204">
        <v>4.7</v>
      </c>
      <c r="N1204">
        <v>16.079999999999998</v>
      </c>
      <c r="O1204">
        <v>35.08</v>
      </c>
      <c r="P1204">
        <v>7</v>
      </c>
      <c r="Q1204">
        <v>8</v>
      </c>
      <c r="R1204">
        <v>49</v>
      </c>
      <c r="S1204">
        <v>70</v>
      </c>
      <c r="T1204">
        <v>5</v>
      </c>
      <c r="U1204">
        <v>6</v>
      </c>
      <c r="V1204">
        <f>River_data[[#This Row],[Dissolved Oxygen Min]]*River_data[[#This Row],[Dissolved Oxygen Max]]/2</f>
        <v>23.939999999999998</v>
      </c>
      <c r="W1204">
        <f>River_data[[#This Row],[BOD Min]]*River_data[[#This Row],[BOD Max]]/2</f>
        <v>4.7</v>
      </c>
      <c r="X1204">
        <f>AVERAGE(River_data[[#This Row],[pH Max]]-River_data[[#This Row],[pH Min]])</f>
        <v>1.0999999999999996</v>
      </c>
    </row>
    <row r="1205" spans="1:24" x14ac:dyDescent="0.3">
      <c r="A1205">
        <v>5106</v>
      </c>
      <c r="B1205" s="1" t="s">
        <v>1229</v>
      </c>
      <c r="C1205" s="1" t="s">
        <v>1098</v>
      </c>
      <c r="D1205">
        <v>19</v>
      </c>
      <c r="E1205">
        <v>24</v>
      </c>
      <c r="F1205">
        <v>5.4</v>
      </c>
      <c r="G1205">
        <v>7.5</v>
      </c>
      <c r="H1205">
        <v>7.5</v>
      </c>
      <c r="I1205">
        <v>8.5</v>
      </c>
      <c r="J1205">
        <v>1154</v>
      </c>
      <c r="K1205">
        <v>2245</v>
      </c>
      <c r="L1205">
        <v>2.2000000000000002</v>
      </c>
      <c r="M1205">
        <v>3.6</v>
      </c>
      <c r="N1205">
        <v>18.21</v>
      </c>
      <c r="O1205">
        <v>38.15</v>
      </c>
      <c r="P1205">
        <v>5</v>
      </c>
      <c r="Q1205">
        <v>6</v>
      </c>
      <c r="R1205">
        <v>33</v>
      </c>
      <c r="S1205">
        <v>41</v>
      </c>
      <c r="T1205">
        <v>4</v>
      </c>
      <c r="U1205">
        <v>4</v>
      </c>
      <c r="V1205">
        <f>River_data[[#This Row],[Dissolved Oxygen Min]]*River_data[[#This Row],[Dissolved Oxygen Max]]/2</f>
        <v>20.25</v>
      </c>
      <c r="W1205">
        <f>River_data[[#This Row],[BOD Min]]*River_data[[#This Row],[BOD Max]]/2</f>
        <v>3.9600000000000004</v>
      </c>
      <c r="X1205">
        <f>AVERAGE(River_data[[#This Row],[pH Max]]-River_data[[#This Row],[pH Min]])</f>
        <v>1</v>
      </c>
    </row>
    <row r="1206" spans="1:24" x14ac:dyDescent="0.3">
      <c r="A1206">
        <v>5107</v>
      </c>
      <c r="B1206" s="1" t="s">
        <v>1230</v>
      </c>
      <c r="C1206" s="1" t="s">
        <v>1098</v>
      </c>
      <c r="D1206">
        <v>18</v>
      </c>
      <c r="E1206">
        <v>24</v>
      </c>
      <c r="F1206">
        <v>6</v>
      </c>
      <c r="G1206">
        <v>7.2</v>
      </c>
      <c r="H1206">
        <v>7.3</v>
      </c>
      <c r="I1206">
        <v>8.6</v>
      </c>
      <c r="J1206">
        <v>1121</v>
      </c>
      <c r="K1206">
        <v>1648</v>
      </c>
      <c r="L1206">
        <v>2.2999999999999998</v>
      </c>
      <c r="M1206">
        <v>3.1</v>
      </c>
      <c r="N1206">
        <v>10.1</v>
      </c>
      <c r="O1206">
        <v>28.13</v>
      </c>
      <c r="P1206">
        <v>6</v>
      </c>
      <c r="Q1206">
        <v>8</v>
      </c>
      <c r="R1206">
        <v>39</v>
      </c>
      <c r="S1206">
        <v>44</v>
      </c>
      <c r="T1206">
        <v>6</v>
      </c>
      <c r="U1206">
        <v>7</v>
      </c>
      <c r="V1206">
        <f>River_data[[#This Row],[Dissolved Oxygen Min]]*River_data[[#This Row],[Dissolved Oxygen Max]]/2</f>
        <v>21.6</v>
      </c>
      <c r="W1206">
        <f>River_data[[#This Row],[BOD Min]]*River_data[[#This Row],[BOD Max]]/2</f>
        <v>3.5649999999999999</v>
      </c>
      <c r="X1206">
        <f>AVERAGE(River_data[[#This Row],[pH Max]]-River_data[[#This Row],[pH Min]])</f>
        <v>1.2999999999999998</v>
      </c>
    </row>
    <row r="1207" spans="1:24" x14ac:dyDescent="0.3">
      <c r="A1207">
        <v>1189</v>
      </c>
      <c r="B1207" s="1" t="s">
        <v>1231</v>
      </c>
      <c r="C1207" s="1" t="s">
        <v>938</v>
      </c>
      <c r="D1207">
        <v>27.5</v>
      </c>
      <c r="E1207">
        <v>29</v>
      </c>
      <c r="F1207">
        <v>2.9</v>
      </c>
      <c r="G1207">
        <v>4.0999999999999996</v>
      </c>
      <c r="H1207">
        <v>7.1</v>
      </c>
      <c r="I1207">
        <v>7.9</v>
      </c>
      <c r="J1207">
        <v>499</v>
      </c>
      <c r="K1207">
        <v>693</v>
      </c>
      <c r="L1207">
        <v>17.899999999999999</v>
      </c>
      <c r="M1207">
        <v>27</v>
      </c>
      <c r="N1207">
        <v>0.3</v>
      </c>
      <c r="O1207">
        <v>4.9000000000000004</v>
      </c>
      <c r="P1207">
        <v>10</v>
      </c>
      <c r="Q1207">
        <v>225</v>
      </c>
      <c r="R1207">
        <v>275</v>
      </c>
      <c r="S1207">
        <v>1800</v>
      </c>
      <c r="T1207">
        <v>6</v>
      </c>
      <c r="U1207">
        <v>40</v>
      </c>
      <c r="V1207">
        <f>River_data[[#This Row],[Dissolved Oxygen Min]]*River_data[[#This Row],[Dissolved Oxygen Max]]/2</f>
        <v>5.9449999999999994</v>
      </c>
      <c r="W1207">
        <f>River_data[[#This Row],[BOD Min]]*River_data[[#This Row],[BOD Max]]/2</f>
        <v>241.64999999999998</v>
      </c>
      <c r="X1207">
        <f>AVERAGE(River_data[[#This Row],[pH Max]]-River_data[[#This Row],[pH Min]])</f>
        <v>0.80000000000000071</v>
      </c>
    </row>
    <row r="1208" spans="1:24" x14ac:dyDescent="0.3">
      <c r="A1208">
        <v>1190</v>
      </c>
      <c r="B1208" s="1" t="s">
        <v>1232</v>
      </c>
      <c r="C1208" s="1" t="s">
        <v>938</v>
      </c>
      <c r="D1208">
        <v>27</v>
      </c>
      <c r="E1208">
        <v>29</v>
      </c>
      <c r="F1208">
        <v>3.3</v>
      </c>
      <c r="G1208">
        <v>4.5</v>
      </c>
      <c r="H1208">
        <v>6.9</v>
      </c>
      <c r="I1208">
        <v>7.8</v>
      </c>
      <c r="J1208">
        <v>339</v>
      </c>
      <c r="K1208">
        <v>683</v>
      </c>
      <c r="L1208">
        <v>10.4</v>
      </c>
      <c r="M1208">
        <v>23</v>
      </c>
      <c r="N1208">
        <v>0</v>
      </c>
      <c r="O1208">
        <v>3.45</v>
      </c>
      <c r="P1208">
        <v>25</v>
      </c>
      <c r="Q1208">
        <v>250</v>
      </c>
      <c r="R1208">
        <v>425</v>
      </c>
      <c r="S1208">
        <v>1800</v>
      </c>
      <c r="T1208">
        <v>9</v>
      </c>
      <c r="U1208">
        <v>25</v>
      </c>
      <c r="V1208">
        <f>River_data[[#This Row],[Dissolved Oxygen Min]]*River_data[[#This Row],[Dissolved Oxygen Max]]/2</f>
        <v>7.4249999999999998</v>
      </c>
      <c r="W1208">
        <f>River_data[[#This Row],[BOD Min]]*River_data[[#This Row],[BOD Max]]/2</f>
        <v>119.60000000000001</v>
      </c>
      <c r="X1208">
        <f>AVERAGE(River_data[[#This Row],[pH Max]]-River_data[[#This Row],[pH Min]])</f>
        <v>0.89999999999999947</v>
      </c>
    </row>
    <row r="1209" spans="1:24" x14ac:dyDescent="0.3">
      <c r="A1209">
        <v>2655</v>
      </c>
      <c r="B1209" s="1" t="s">
        <v>1233</v>
      </c>
      <c r="C1209" s="1" t="s">
        <v>938</v>
      </c>
      <c r="D1209">
        <v>26</v>
      </c>
      <c r="E1209">
        <v>29</v>
      </c>
      <c r="F1209">
        <v>5</v>
      </c>
      <c r="G1209">
        <v>6.2</v>
      </c>
      <c r="H1209">
        <v>7.4</v>
      </c>
      <c r="I1209">
        <v>8.3000000000000007</v>
      </c>
      <c r="J1209">
        <v>210</v>
      </c>
      <c r="K1209">
        <v>726</v>
      </c>
      <c r="L1209">
        <v>3</v>
      </c>
      <c r="M1209">
        <v>5.4</v>
      </c>
      <c r="N1209">
        <v>0.3</v>
      </c>
      <c r="O1209">
        <v>5.4</v>
      </c>
      <c r="P1209">
        <v>9</v>
      </c>
      <c r="Q1209">
        <v>45</v>
      </c>
      <c r="R1209">
        <v>200</v>
      </c>
      <c r="S1209">
        <v>550</v>
      </c>
      <c r="T1209">
        <v>3</v>
      </c>
      <c r="U1209">
        <v>17</v>
      </c>
      <c r="V1209">
        <f>River_data[[#This Row],[Dissolved Oxygen Min]]*River_data[[#This Row],[Dissolved Oxygen Max]]/2</f>
        <v>15.5</v>
      </c>
      <c r="W1209">
        <f>River_data[[#This Row],[BOD Min]]*River_data[[#This Row],[BOD Max]]/2</f>
        <v>8.1000000000000014</v>
      </c>
      <c r="X1209">
        <f>AVERAGE(River_data[[#This Row],[pH Max]]-River_data[[#This Row],[pH Min]])</f>
        <v>0.90000000000000036</v>
      </c>
    </row>
    <row r="1210" spans="1:24" x14ac:dyDescent="0.3">
      <c r="A1210">
        <v>1191</v>
      </c>
      <c r="B1210" s="1" t="s">
        <v>1234</v>
      </c>
      <c r="C1210" s="1" t="s">
        <v>938</v>
      </c>
      <c r="D1210">
        <v>27</v>
      </c>
      <c r="E1210">
        <v>29</v>
      </c>
      <c r="F1210">
        <v>4.2</v>
      </c>
      <c r="G1210">
        <v>5.8</v>
      </c>
      <c r="H1210">
        <v>7.4</v>
      </c>
      <c r="I1210">
        <v>8</v>
      </c>
      <c r="J1210">
        <v>347</v>
      </c>
      <c r="K1210">
        <v>1603</v>
      </c>
      <c r="L1210">
        <v>4</v>
      </c>
      <c r="M1210">
        <v>10.9</v>
      </c>
      <c r="N1210">
        <v>0.3</v>
      </c>
      <c r="O1210">
        <v>11.12</v>
      </c>
      <c r="P1210">
        <v>8</v>
      </c>
      <c r="Q1210">
        <v>200</v>
      </c>
      <c r="R1210">
        <v>110</v>
      </c>
      <c r="S1210">
        <v>900</v>
      </c>
      <c r="T1210">
        <v>4</v>
      </c>
      <c r="U1210">
        <v>25</v>
      </c>
      <c r="V1210">
        <f>River_data[[#This Row],[Dissolved Oxygen Min]]*River_data[[#This Row],[Dissolved Oxygen Max]]/2</f>
        <v>12.18</v>
      </c>
      <c r="W1210">
        <f>River_data[[#This Row],[BOD Min]]*River_data[[#This Row],[BOD Max]]/2</f>
        <v>21.8</v>
      </c>
      <c r="X1210">
        <f>AVERAGE(River_data[[#This Row],[pH Max]]-River_data[[#This Row],[pH Min]])</f>
        <v>0.59999999999999964</v>
      </c>
    </row>
    <row r="1211" spans="1:24" x14ac:dyDescent="0.3">
      <c r="A1211">
        <v>1192</v>
      </c>
      <c r="B1211" s="1" t="s">
        <v>1235</v>
      </c>
      <c r="C1211" s="1" t="s">
        <v>938</v>
      </c>
      <c r="D1211">
        <v>27</v>
      </c>
      <c r="E1211">
        <v>30</v>
      </c>
      <c r="F1211">
        <v>4.5</v>
      </c>
      <c r="G1211">
        <v>5.8</v>
      </c>
      <c r="H1211">
        <v>7.5</v>
      </c>
      <c r="I1211">
        <v>8.1</v>
      </c>
      <c r="J1211">
        <v>349</v>
      </c>
      <c r="K1211">
        <v>1621</v>
      </c>
      <c r="L1211">
        <v>3.4</v>
      </c>
      <c r="M1211">
        <v>8.5</v>
      </c>
      <c r="N1211">
        <v>0.3</v>
      </c>
      <c r="O1211">
        <v>10.78</v>
      </c>
      <c r="P1211">
        <v>10</v>
      </c>
      <c r="Q1211">
        <v>115</v>
      </c>
      <c r="R1211">
        <v>95</v>
      </c>
      <c r="S1211">
        <v>900</v>
      </c>
      <c r="T1211">
        <v>2</v>
      </c>
      <c r="U1211">
        <v>20</v>
      </c>
      <c r="V1211">
        <f>River_data[[#This Row],[Dissolved Oxygen Min]]*River_data[[#This Row],[Dissolved Oxygen Max]]/2</f>
        <v>13.049999999999999</v>
      </c>
      <c r="W1211">
        <f>River_data[[#This Row],[BOD Min]]*River_data[[#This Row],[BOD Max]]/2</f>
        <v>14.45</v>
      </c>
      <c r="X1211">
        <f>AVERAGE(River_data[[#This Row],[pH Max]]-River_data[[#This Row],[pH Min]])</f>
        <v>0.59999999999999964</v>
      </c>
    </row>
    <row r="1212" spans="1:24" x14ac:dyDescent="0.3">
      <c r="A1212">
        <v>2656</v>
      </c>
      <c r="B1212" s="1" t="s">
        <v>1236</v>
      </c>
      <c r="C1212" s="1" t="s">
        <v>938</v>
      </c>
      <c r="D1212">
        <v>27</v>
      </c>
      <c r="E1212">
        <v>30</v>
      </c>
      <c r="F1212">
        <v>4.9000000000000004</v>
      </c>
      <c r="G1212">
        <v>6.2</v>
      </c>
      <c r="H1212">
        <v>7.4</v>
      </c>
      <c r="I1212">
        <v>8.3000000000000007</v>
      </c>
      <c r="J1212">
        <v>332</v>
      </c>
      <c r="K1212">
        <v>967</v>
      </c>
      <c r="L1212">
        <v>2.8</v>
      </c>
      <c r="M1212">
        <v>7.5</v>
      </c>
      <c r="N1212">
        <v>0.3</v>
      </c>
      <c r="O1212">
        <v>5.09</v>
      </c>
      <c r="P1212">
        <v>7</v>
      </c>
      <c r="Q1212">
        <v>85</v>
      </c>
      <c r="R1212">
        <v>170</v>
      </c>
      <c r="S1212">
        <v>350</v>
      </c>
      <c r="T1212">
        <v>2</v>
      </c>
      <c r="U1212">
        <v>14</v>
      </c>
      <c r="V1212">
        <f>River_data[[#This Row],[Dissolved Oxygen Min]]*River_data[[#This Row],[Dissolved Oxygen Max]]/2</f>
        <v>15.190000000000001</v>
      </c>
      <c r="W1212">
        <f>River_data[[#This Row],[BOD Min]]*River_data[[#This Row],[BOD Max]]/2</f>
        <v>10.5</v>
      </c>
      <c r="X1212">
        <f>AVERAGE(River_data[[#This Row],[pH Max]]-River_data[[#This Row],[pH Min]])</f>
        <v>0.90000000000000036</v>
      </c>
    </row>
    <row r="1213" spans="1:24" x14ac:dyDescent="0.3">
      <c r="A1213">
        <v>1188</v>
      </c>
      <c r="B1213" s="1" t="s">
        <v>1237</v>
      </c>
      <c r="C1213" s="1" t="s">
        <v>938</v>
      </c>
      <c r="D1213">
        <v>29</v>
      </c>
      <c r="E1213">
        <v>36</v>
      </c>
      <c r="F1213">
        <v>5.3</v>
      </c>
      <c r="G1213">
        <v>6.4</v>
      </c>
      <c r="H1213">
        <v>8</v>
      </c>
      <c r="I1213">
        <v>8.4</v>
      </c>
      <c r="J1213">
        <v>722</v>
      </c>
      <c r="K1213">
        <v>6664</v>
      </c>
      <c r="L1213">
        <v>3.2</v>
      </c>
      <c r="M1213">
        <v>7.6</v>
      </c>
      <c r="N1213">
        <v>0.3</v>
      </c>
      <c r="O1213">
        <v>2.77</v>
      </c>
      <c r="P1213">
        <v>7</v>
      </c>
      <c r="Q1213">
        <v>120</v>
      </c>
      <c r="R1213">
        <v>75</v>
      </c>
      <c r="S1213">
        <v>425</v>
      </c>
      <c r="T1213">
        <v>2</v>
      </c>
      <c r="U1213">
        <v>25</v>
      </c>
      <c r="V1213">
        <f>River_data[[#This Row],[Dissolved Oxygen Min]]*River_data[[#This Row],[Dissolved Oxygen Max]]/2</f>
        <v>16.96</v>
      </c>
      <c r="W1213">
        <f>River_data[[#This Row],[BOD Min]]*River_data[[#This Row],[BOD Max]]/2</f>
        <v>12.16</v>
      </c>
      <c r="X1213">
        <f>AVERAGE(River_data[[#This Row],[pH Max]]-River_data[[#This Row],[pH Min]])</f>
        <v>0.40000000000000036</v>
      </c>
    </row>
    <row r="1214" spans="1:24" x14ac:dyDescent="0.3">
      <c r="A1214">
        <v>30046</v>
      </c>
      <c r="B1214" s="1" t="s">
        <v>1238</v>
      </c>
      <c r="C1214" s="1" t="s">
        <v>938</v>
      </c>
      <c r="D1214">
        <v>22</v>
      </c>
      <c r="E1214">
        <v>22</v>
      </c>
      <c r="F1214">
        <v>4.9000000000000004</v>
      </c>
      <c r="G1214">
        <v>4.9000000000000004</v>
      </c>
      <c r="H1214">
        <v>8.3000000000000007</v>
      </c>
      <c r="I1214">
        <v>8.3000000000000007</v>
      </c>
      <c r="J1214">
        <v>1656</v>
      </c>
      <c r="K1214">
        <v>1656</v>
      </c>
      <c r="L1214">
        <v>7.8</v>
      </c>
      <c r="M1214">
        <v>7.8</v>
      </c>
      <c r="N1214">
        <v>1.1100000000000001</v>
      </c>
      <c r="O1214">
        <v>1.1100000000000001</v>
      </c>
      <c r="P1214">
        <v>45</v>
      </c>
      <c r="Q1214">
        <v>45</v>
      </c>
      <c r="R1214">
        <v>350</v>
      </c>
      <c r="S1214">
        <v>350</v>
      </c>
      <c r="T1214">
        <v>17</v>
      </c>
      <c r="U1214">
        <v>17</v>
      </c>
      <c r="V1214">
        <f>River_data[[#This Row],[Dissolved Oxygen Min]]*River_data[[#This Row],[Dissolved Oxygen Max]]/2</f>
        <v>12.005000000000003</v>
      </c>
      <c r="W1214">
        <f>River_data[[#This Row],[BOD Min]]*River_data[[#This Row],[BOD Max]]/2</f>
        <v>30.419999999999998</v>
      </c>
      <c r="X1214">
        <f>AVERAGE(River_data[[#This Row],[pH Max]]-River_data[[#This Row],[pH Min]])</f>
        <v>0</v>
      </c>
    </row>
    <row r="1215" spans="1:24" x14ac:dyDescent="0.3">
      <c r="A1215">
        <v>28</v>
      </c>
      <c r="B1215" s="1" t="s">
        <v>1239</v>
      </c>
      <c r="C1215" s="1" t="s">
        <v>938</v>
      </c>
      <c r="D1215">
        <v>29</v>
      </c>
      <c r="E1215">
        <v>36</v>
      </c>
      <c r="F1215">
        <v>4.4000000000000004</v>
      </c>
      <c r="G1215">
        <v>6.3</v>
      </c>
      <c r="H1215">
        <v>7.8</v>
      </c>
      <c r="I1215">
        <v>8.4</v>
      </c>
      <c r="J1215">
        <v>950</v>
      </c>
      <c r="K1215">
        <v>2383</v>
      </c>
      <c r="L1215">
        <v>2.5</v>
      </c>
      <c r="M1215">
        <v>10.4</v>
      </c>
      <c r="N1215">
        <v>0.3</v>
      </c>
      <c r="O1215">
        <v>2.23</v>
      </c>
      <c r="P1215">
        <v>6</v>
      </c>
      <c r="Q1215">
        <v>45</v>
      </c>
      <c r="R1215">
        <v>80</v>
      </c>
      <c r="S1215">
        <v>550</v>
      </c>
      <c r="T1215">
        <v>2</v>
      </c>
      <c r="U1215">
        <v>14</v>
      </c>
      <c r="V1215">
        <f>River_data[[#This Row],[Dissolved Oxygen Min]]*River_data[[#This Row],[Dissolved Oxygen Max]]/2</f>
        <v>13.860000000000001</v>
      </c>
      <c r="W1215">
        <f>River_data[[#This Row],[BOD Min]]*River_data[[#This Row],[BOD Max]]/2</f>
        <v>13</v>
      </c>
      <c r="X1215">
        <f>AVERAGE(River_data[[#This Row],[pH Max]]-River_data[[#This Row],[pH Min]])</f>
        <v>0.60000000000000053</v>
      </c>
    </row>
    <row r="1216" spans="1:24" x14ac:dyDescent="0.3">
      <c r="A1216">
        <v>5582</v>
      </c>
      <c r="B1216" s="1" t="s">
        <v>1240</v>
      </c>
      <c r="C1216" s="1" t="s">
        <v>1138</v>
      </c>
      <c r="D1216">
        <v>29</v>
      </c>
      <c r="E1216">
        <v>29</v>
      </c>
      <c r="F1216">
        <v>6</v>
      </c>
      <c r="G1216">
        <v>10</v>
      </c>
      <c r="H1216">
        <v>7</v>
      </c>
      <c r="I1216">
        <v>8.5</v>
      </c>
      <c r="J1216">
        <v>826</v>
      </c>
      <c r="K1216">
        <v>1620</v>
      </c>
      <c r="L1216">
        <v>1.2</v>
      </c>
      <c r="M1216">
        <v>2.9</v>
      </c>
      <c r="N1216">
        <v>2.27</v>
      </c>
      <c r="O1216">
        <v>8.15</v>
      </c>
      <c r="P1216">
        <v>540</v>
      </c>
      <c r="Q1216">
        <v>920</v>
      </c>
      <c r="R1216">
        <v>1600</v>
      </c>
      <c r="S1216">
        <v>1600</v>
      </c>
      <c r="T1216">
        <v>280</v>
      </c>
      <c r="U1216">
        <v>540</v>
      </c>
      <c r="V1216">
        <f>River_data[[#This Row],[Dissolved Oxygen Min]]*River_data[[#This Row],[Dissolved Oxygen Max]]/2</f>
        <v>30</v>
      </c>
      <c r="W1216">
        <f>River_data[[#This Row],[BOD Min]]*River_data[[#This Row],[BOD Max]]/2</f>
        <v>1.74</v>
      </c>
      <c r="X1216">
        <f>AVERAGE(River_data[[#This Row],[pH Max]]-River_data[[#This Row],[pH Min]])</f>
        <v>1.5</v>
      </c>
    </row>
    <row r="1217" spans="1:24" x14ac:dyDescent="0.3">
      <c r="A1217">
        <v>1183</v>
      </c>
      <c r="B1217" s="1" t="s">
        <v>1241</v>
      </c>
      <c r="C1217" s="1" t="s">
        <v>1138</v>
      </c>
      <c r="D1217">
        <v>25</v>
      </c>
      <c r="E1217">
        <v>31</v>
      </c>
      <c r="F1217">
        <v>6</v>
      </c>
      <c r="G1217">
        <v>8.6</v>
      </c>
      <c r="H1217">
        <v>7.4</v>
      </c>
      <c r="I1217">
        <v>8.5</v>
      </c>
      <c r="J1217">
        <v>1050</v>
      </c>
      <c r="K1217">
        <v>2010</v>
      </c>
      <c r="L1217">
        <v>3</v>
      </c>
      <c r="M1217">
        <v>8</v>
      </c>
      <c r="N1217">
        <v>0.48</v>
      </c>
      <c r="O1217">
        <v>3.51</v>
      </c>
      <c r="P1217">
        <v>230</v>
      </c>
      <c r="Q1217">
        <v>260000</v>
      </c>
      <c r="R1217">
        <v>1600</v>
      </c>
      <c r="S1217">
        <v>280000</v>
      </c>
      <c r="V1217">
        <f>River_data[[#This Row],[Dissolved Oxygen Min]]*River_data[[#This Row],[Dissolved Oxygen Max]]/2</f>
        <v>25.799999999999997</v>
      </c>
      <c r="W1217">
        <f>River_data[[#This Row],[BOD Min]]*River_data[[#This Row],[BOD Max]]/2</f>
        <v>12</v>
      </c>
      <c r="X1217">
        <f>AVERAGE(River_data[[#This Row],[pH Max]]-River_data[[#This Row],[pH Min]])</f>
        <v>1.0999999999999996</v>
      </c>
    </row>
    <row r="1218" spans="1:24" x14ac:dyDescent="0.3">
      <c r="A1218">
        <v>1184</v>
      </c>
      <c r="B1218" s="1" t="s">
        <v>1242</v>
      </c>
      <c r="C1218" s="1" t="s">
        <v>1138</v>
      </c>
      <c r="D1218">
        <v>24</v>
      </c>
      <c r="E1218">
        <v>32</v>
      </c>
      <c r="F1218">
        <v>6.5</v>
      </c>
      <c r="G1218">
        <v>11.6</v>
      </c>
      <c r="H1218">
        <v>7.7</v>
      </c>
      <c r="I1218">
        <v>8.8000000000000007</v>
      </c>
      <c r="J1218">
        <v>880</v>
      </c>
      <c r="K1218">
        <v>1295</v>
      </c>
      <c r="L1218">
        <v>2</v>
      </c>
      <c r="M1218">
        <v>4</v>
      </c>
      <c r="N1218">
        <v>0.51</v>
      </c>
      <c r="O1218">
        <v>67</v>
      </c>
      <c r="P1218">
        <v>140</v>
      </c>
      <c r="Q1218">
        <v>23000</v>
      </c>
      <c r="R1218">
        <v>1100</v>
      </c>
      <c r="S1218">
        <v>350000</v>
      </c>
      <c r="V1218">
        <f>River_data[[#This Row],[Dissolved Oxygen Min]]*River_data[[#This Row],[Dissolved Oxygen Max]]/2</f>
        <v>37.699999999999996</v>
      </c>
      <c r="W1218">
        <f>River_data[[#This Row],[BOD Min]]*River_data[[#This Row],[BOD Max]]/2</f>
        <v>4</v>
      </c>
      <c r="X1218">
        <f>AVERAGE(River_data[[#This Row],[pH Max]]-River_data[[#This Row],[pH Min]])</f>
        <v>1.1000000000000005</v>
      </c>
    </row>
    <row r="1219" spans="1:24" x14ac:dyDescent="0.3">
      <c r="A1219">
        <v>1888</v>
      </c>
      <c r="B1219" s="1" t="s">
        <v>1243</v>
      </c>
      <c r="C1219" s="1" t="s">
        <v>1138</v>
      </c>
      <c r="D1219">
        <v>24</v>
      </c>
      <c r="E1219">
        <v>32</v>
      </c>
      <c r="F1219">
        <v>5.6</v>
      </c>
      <c r="G1219">
        <v>12</v>
      </c>
      <c r="H1219">
        <v>7.7</v>
      </c>
      <c r="I1219">
        <v>8.6</v>
      </c>
      <c r="J1219">
        <v>818</v>
      </c>
      <c r="K1219">
        <v>1278</v>
      </c>
      <c r="L1219">
        <v>2</v>
      </c>
      <c r="M1219">
        <v>3.3</v>
      </c>
      <c r="N1219">
        <v>0.46</v>
      </c>
      <c r="O1219">
        <v>6.9</v>
      </c>
      <c r="P1219">
        <v>20</v>
      </c>
      <c r="Q1219">
        <v>700</v>
      </c>
      <c r="R1219">
        <v>350</v>
      </c>
      <c r="S1219">
        <v>5400</v>
      </c>
      <c r="V1219">
        <f>River_data[[#This Row],[Dissolved Oxygen Min]]*River_data[[#This Row],[Dissolved Oxygen Max]]/2</f>
        <v>33.599999999999994</v>
      </c>
      <c r="W1219">
        <f>River_data[[#This Row],[BOD Min]]*River_data[[#This Row],[BOD Max]]/2</f>
        <v>3.3</v>
      </c>
      <c r="X1219">
        <f>AVERAGE(River_data[[#This Row],[pH Max]]-River_data[[#This Row],[pH Min]])</f>
        <v>0.89999999999999947</v>
      </c>
    </row>
    <row r="1220" spans="1:24" x14ac:dyDescent="0.3">
      <c r="A1220">
        <v>30057</v>
      </c>
      <c r="B1220" s="1" t="s">
        <v>1244</v>
      </c>
      <c r="C1220" s="1" t="s">
        <v>1138</v>
      </c>
      <c r="D1220">
        <v>24</v>
      </c>
      <c r="E1220">
        <v>28</v>
      </c>
      <c r="F1220">
        <v>7.1</v>
      </c>
      <c r="G1220">
        <v>8.6999999999999993</v>
      </c>
      <c r="H1220">
        <v>8.1</v>
      </c>
      <c r="I1220">
        <v>8.6</v>
      </c>
      <c r="J1220">
        <v>1270</v>
      </c>
      <c r="K1220">
        <v>2198</v>
      </c>
      <c r="L1220">
        <v>4</v>
      </c>
      <c r="M1220">
        <v>6.7</v>
      </c>
      <c r="N1220">
        <v>0</v>
      </c>
      <c r="O1220">
        <v>3.72</v>
      </c>
      <c r="P1220">
        <v>790</v>
      </c>
      <c r="Q1220">
        <v>2200</v>
      </c>
      <c r="R1220">
        <v>4900</v>
      </c>
      <c r="S1220">
        <v>9200</v>
      </c>
      <c r="V1220">
        <f>River_data[[#This Row],[Dissolved Oxygen Min]]*River_data[[#This Row],[Dissolved Oxygen Max]]/2</f>
        <v>30.884999999999994</v>
      </c>
      <c r="W1220">
        <f>River_data[[#This Row],[BOD Min]]*River_data[[#This Row],[BOD Max]]/2</f>
        <v>13.4</v>
      </c>
      <c r="X1220">
        <f>AVERAGE(River_data[[#This Row],[pH Max]]-River_data[[#This Row],[pH Min]])</f>
        <v>0.5</v>
      </c>
    </row>
    <row r="1221" spans="1:24" x14ac:dyDescent="0.3">
      <c r="A1221">
        <v>1167</v>
      </c>
      <c r="B1221" s="1" t="s">
        <v>1245</v>
      </c>
      <c r="C1221" s="1" t="s">
        <v>1138</v>
      </c>
      <c r="D1221">
        <v>26</v>
      </c>
      <c r="E1221">
        <v>34</v>
      </c>
      <c r="F1221">
        <v>7</v>
      </c>
      <c r="G1221">
        <v>8</v>
      </c>
      <c r="H1221">
        <v>8.1</v>
      </c>
      <c r="I1221">
        <v>8.5</v>
      </c>
      <c r="J1221">
        <v>390</v>
      </c>
      <c r="K1221">
        <v>1473</v>
      </c>
      <c r="L1221">
        <v>2</v>
      </c>
      <c r="M1221">
        <v>3</v>
      </c>
      <c r="N1221">
        <v>0.35</v>
      </c>
      <c r="O1221">
        <v>11.56</v>
      </c>
      <c r="P1221">
        <v>33</v>
      </c>
      <c r="Q1221">
        <v>490</v>
      </c>
      <c r="R1221">
        <v>280</v>
      </c>
      <c r="S1221">
        <v>2800</v>
      </c>
      <c r="V1221">
        <f>River_data[[#This Row],[Dissolved Oxygen Min]]*River_data[[#This Row],[Dissolved Oxygen Max]]/2</f>
        <v>28</v>
      </c>
      <c r="W1221">
        <f>River_data[[#This Row],[BOD Min]]*River_data[[#This Row],[BOD Max]]/2</f>
        <v>3</v>
      </c>
      <c r="X1221">
        <f>AVERAGE(River_data[[#This Row],[pH Max]]-River_data[[#This Row],[pH Min]])</f>
        <v>0.40000000000000036</v>
      </c>
    </row>
    <row r="1222" spans="1:24" x14ac:dyDescent="0.3">
      <c r="A1222">
        <v>5158</v>
      </c>
      <c r="B1222" s="1" t="s">
        <v>1246</v>
      </c>
      <c r="C1222" s="1" t="s">
        <v>1115</v>
      </c>
      <c r="D1222">
        <v>21</v>
      </c>
      <c r="E1222">
        <v>29</v>
      </c>
      <c r="F1222">
        <v>5.5</v>
      </c>
      <c r="G1222">
        <v>6.2</v>
      </c>
      <c r="H1222">
        <v>6.9</v>
      </c>
      <c r="I1222">
        <v>8.1</v>
      </c>
      <c r="J1222">
        <v>547</v>
      </c>
      <c r="K1222">
        <v>896</v>
      </c>
      <c r="L1222">
        <v>1.3</v>
      </c>
      <c r="M1222">
        <v>2.5</v>
      </c>
      <c r="N1222">
        <v>0.34</v>
      </c>
      <c r="O1222">
        <v>1.29</v>
      </c>
      <c r="P1222">
        <v>173</v>
      </c>
      <c r="Q1222">
        <v>378</v>
      </c>
      <c r="R1222">
        <v>501</v>
      </c>
      <c r="S1222">
        <v>980</v>
      </c>
      <c r="V1222">
        <f>River_data[[#This Row],[Dissolved Oxygen Min]]*River_data[[#This Row],[Dissolved Oxygen Max]]/2</f>
        <v>17.05</v>
      </c>
      <c r="W1222">
        <f>River_data[[#This Row],[BOD Min]]*River_data[[#This Row],[BOD Max]]/2</f>
        <v>1.625</v>
      </c>
      <c r="X1222">
        <f>AVERAGE(River_data[[#This Row],[pH Max]]-River_data[[#This Row],[pH Min]])</f>
        <v>1.1999999999999993</v>
      </c>
    </row>
    <row r="1223" spans="1:24" x14ac:dyDescent="0.3">
      <c r="A1223">
        <v>2350</v>
      </c>
      <c r="B1223" s="1" t="s">
        <v>1247</v>
      </c>
      <c r="C1223" s="1" t="s">
        <v>1115</v>
      </c>
      <c r="D1223">
        <v>22</v>
      </c>
      <c r="E1223">
        <v>28</v>
      </c>
      <c r="F1223">
        <v>5.4</v>
      </c>
      <c r="G1223">
        <v>6.3</v>
      </c>
      <c r="H1223">
        <v>7.4</v>
      </c>
      <c r="I1223">
        <v>8.1</v>
      </c>
      <c r="J1223">
        <v>1152</v>
      </c>
      <c r="K1223">
        <v>1479</v>
      </c>
      <c r="L1223">
        <v>1</v>
      </c>
      <c r="M1223">
        <v>2.8</v>
      </c>
      <c r="N1223">
        <v>0.93</v>
      </c>
      <c r="O1223">
        <v>2.12</v>
      </c>
      <c r="P1223">
        <v>146</v>
      </c>
      <c r="Q1223">
        <v>320</v>
      </c>
      <c r="R1223">
        <v>575</v>
      </c>
      <c r="S1223">
        <v>816</v>
      </c>
      <c r="V1223">
        <f>River_data[[#This Row],[Dissolved Oxygen Min]]*River_data[[#This Row],[Dissolved Oxygen Max]]/2</f>
        <v>17.010000000000002</v>
      </c>
      <c r="W1223">
        <f>River_data[[#This Row],[BOD Min]]*River_data[[#This Row],[BOD Max]]/2</f>
        <v>1.4</v>
      </c>
      <c r="X1223">
        <f>AVERAGE(River_data[[#This Row],[pH Max]]-River_data[[#This Row],[pH Min]])</f>
        <v>0.69999999999999929</v>
      </c>
    </row>
    <row r="1224" spans="1:24" x14ac:dyDescent="0.3">
      <c r="A1224">
        <v>1091</v>
      </c>
      <c r="B1224" s="1" t="s">
        <v>1248</v>
      </c>
      <c r="C1224" s="1" t="s">
        <v>1138</v>
      </c>
      <c r="D1224">
        <v>20</v>
      </c>
      <c r="E1224">
        <v>25</v>
      </c>
      <c r="F1224">
        <v>6.6</v>
      </c>
      <c r="G1224">
        <v>7.7</v>
      </c>
      <c r="H1224">
        <v>7</v>
      </c>
      <c r="I1224">
        <v>8.1999999999999993</v>
      </c>
      <c r="J1224">
        <v>70</v>
      </c>
      <c r="K1224">
        <v>164</v>
      </c>
      <c r="L1224">
        <v>1.6</v>
      </c>
      <c r="M1224">
        <v>2</v>
      </c>
      <c r="N1224">
        <v>0.3</v>
      </c>
      <c r="O1224">
        <v>0.6</v>
      </c>
      <c r="P1224">
        <v>12</v>
      </c>
      <c r="Q1224">
        <v>40</v>
      </c>
      <c r="R1224">
        <v>110</v>
      </c>
      <c r="S1224">
        <v>350</v>
      </c>
      <c r="V1224">
        <f>River_data[[#This Row],[Dissolved Oxygen Min]]*River_data[[#This Row],[Dissolved Oxygen Max]]/2</f>
        <v>25.41</v>
      </c>
      <c r="W1224">
        <f>River_data[[#This Row],[BOD Min]]*River_data[[#This Row],[BOD Max]]/2</f>
        <v>1.6</v>
      </c>
      <c r="X1224">
        <f>AVERAGE(River_data[[#This Row],[pH Max]]-River_data[[#This Row],[pH Min]])</f>
        <v>1.1999999999999993</v>
      </c>
    </row>
    <row r="1225" spans="1:24" x14ac:dyDescent="0.3">
      <c r="A1225">
        <v>2771</v>
      </c>
      <c r="B1225" s="1" t="s">
        <v>1249</v>
      </c>
      <c r="C1225" s="1" t="s">
        <v>1138</v>
      </c>
      <c r="D1225">
        <v>20</v>
      </c>
      <c r="E1225">
        <v>25</v>
      </c>
      <c r="F1225">
        <v>6.6</v>
      </c>
      <c r="G1225">
        <v>7.9</v>
      </c>
      <c r="H1225">
        <v>6.9</v>
      </c>
      <c r="I1225">
        <v>8.1999999999999993</v>
      </c>
      <c r="J1225">
        <v>61</v>
      </c>
      <c r="K1225">
        <v>150</v>
      </c>
      <c r="L1225">
        <v>1.2</v>
      </c>
      <c r="M1225">
        <v>2</v>
      </c>
      <c r="N1225">
        <v>0.3</v>
      </c>
      <c r="O1225">
        <v>0.52</v>
      </c>
      <c r="P1225">
        <v>11</v>
      </c>
      <c r="Q1225">
        <v>40</v>
      </c>
      <c r="R1225">
        <v>110</v>
      </c>
      <c r="S1225">
        <v>350</v>
      </c>
      <c r="V1225">
        <f>River_data[[#This Row],[Dissolved Oxygen Min]]*River_data[[#This Row],[Dissolved Oxygen Max]]/2</f>
        <v>26.07</v>
      </c>
      <c r="W1225">
        <f>River_data[[#This Row],[BOD Min]]*River_data[[#This Row],[BOD Max]]/2</f>
        <v>1.2</v>
      </c>
      <c r="X1225">
        <f>AVERAGE(River_data[[#This Row],[pH Max]]-River_data[[#This Row],[pH Min]])</f>
        <v>1.2999999999999989</v>
      </c>
    </row>
    <row r="1226" spans="1:24" x14ac:dyDescent="0.3">
      <c r="A1226">
        <v>2765</v>
      </c>
      <c r="B1226" s="1" t="s">
        <v>1250</v>
      </c>
      <c r="C1226" s="1" t="s">
        <v>1138</v>
      </c>
      <c r="D1226">
        <v>26</v>
      </c>
      <c r="E1226">
        <v>27</v>
      </c>
      <c r="F1226">
        <v>6.6</v>
      </c>
      <c r="G1226">
        <v>8.1</v>
      </c>
      <c r="H1226">
        <v>7</v>
      </c>
      <c r="I1226">
        <v>8.1</v>
      </c>
      <c r="J1226">
        <v>103</v>
      </c>
      <c r="K1226">
        <v>250</v>
      </c>
      <c r="L1226">
        <v>1</v>
      </c>
      <c r="M1226">
        <v>2.4</v>
      </c>
      <c r="N1226">
        <v>0.3</v>
      </c>
      <c r="O1226">
        <v>0.83</v>
      </c>
      <c r="P1226">
        <v>13</v>
      </c>
      <c r="Q1226">
        <v>93</v>
      </c>
      <c r="R1226">
        <v>110</v>
      </c>
      <c r="S1226">
        <v>1600</v>
      </c>
      <c r="V1226">
        <f>River_data[[#This Row],[Dissolved Oxygen Min]]*River_data[[#This Row],[Dissolved Oxygen Max]]/2</f>
        <v>26.729999999999997</v>
      </c>
      <c r="W1226">
        <f>River_data[[#This Row],[BOD Min]]*River_data[[#This Row],[BOD Max]]/2</f>
        <v>1.2</v>
      </c>
      <c r="X1226">
        <f>AVERAGE(River_data[[#This Row],[pH Max]]-River_data[[#This Row],[pH Min]])</f>
        <v>1.0999999999999996</v>
      </c>
    </row>
    <row r="1227" spans="1:24" x14ac:dyDescent="0.3">
      <c r="A1227">
        <v>1387</v>
      </c>
      <c r="B1227" s="1" t="s">
        <v>1251</v>
      </c>
      <c r="C1227" s="1" t="s">
        <v>1138</v>
      </c>
      <c r="D1227">
        <v>26</v>
      </c>
      <c r="E1227">
        <v>28</v>
      </c>
      <c r="F1227">
        <v>4.9000000000000004</v>
      </c>
      <c r="G1227">
        <v>8</v>
      </c>
      <c r="H1227">
        <v>7</v>
      </c>
      <c r="I1227">
        <v>8.5</v>
      </c>
      <c r="J1227">
        <v>100</v>
      </c>
      <c r="K1227">
        <v>250</v>
      </c>
      <c r="L1227">
        <v>1.5</v>
      </c>
      <c r="M1227">
        <v>2.9</v>
      </c>
      <c r="N1227">
        <v>0.3</v>
      </c>
      <c r="O1227">
        <v>1.53</v>
      </c>
      <c r="P1227">
        <v>78</v>
      </c>
      <c r="Q1227">
        <v>390</v>
      </c>
      <c r="R1227">
        <v>920</v>
      </c>
      <c r="S1227">
        <v>2400</v>
      </c>
      <c r="V1227">
        <f>River_data[[#This Row],[Dissolved Oxygen Min]]*River_data[[#This Row],[Dissolved Oxygen Max]]/2</f>
        <v>19.600000000000001</v>
      </c>
      <c r="W1227">
        <f>River_data[[#This Row],[BOD Min]]*River_data[[#This Row],[BOD Max]]/2</f>
        <v>2.1749999999999998</v>
      </c>
      <c r="X1227">
        <f>AVERAGE(River_data[[#This Row],[pH Max]]-River_data[[#This Row],[pH Min]])</f>
        <v>1.5</v>
      </c>
    </row>
    <row r="1228" spans="1:24" x14ac:dyDescent="0.3">
      <c r="A1228">
        <v>4105</v>
      </c>
      <c r="B1228" s="1" t="s">
        <v>1252</v>
      </c>
      <c r="C1228" s="1" t="s">
        <v>1138</v>
      </c>
      <c r="D1228">
        <v>26</v>
      </c>
      <c r="E1228">
        <v>27</v>
      </c>
      <c r="F1228">
        <v>6.7</v>
      </c>
      <c r="G1228">
        <v>9.5</v>
      </c>
      <c r="H1228">
        <v>7.1</v>
      </c>
      <c r="I1228">
        <v>8.4</v>
      </c>
      <c r="J1228">
        <v>111</v>
      </c>
      <c r="K1228">
        <v>190</v>
      </c>
      <c r="L1228">
        <v>1.3</v>
      </c>
      <c r="M1228">
        <v>3.3</v>
      </c>
      <c r="N1228">
        <v>0.3</v>
      </c>
      <c r="O1228">
        <v>0.96</v>
      </c>
      <c r="P1228">
        <v>11</v>
      </c>
      <c r="Q1228">
        <v>310</v>
      </c>
      <c r="R1228">
        <v>110</v>
      </c>
      <c r="S1228">
        <v>2400</v>
      </c>
      <c r="V1228">
        <f>River_data[[#This Row],[Dissolved Oxygen Min]]*River_data[[#This Row],[Dissolved Oxygen Max]]/2</f>
        <v>31.824999999999999</v>
      </c>
      <c r="W1228">
        <f>River_data[[#This Row],[BOD Min]]*River_data[[#This Row],[BOD Max]]/2</f>
        <v>2.145</v>
      </c>
      <c r="X1228">
        <f>AVERAGE(River_data[[#This Row],[pH Max]]-River_data[[#This Row],[pH Min]])</f>
        <v>1.3000000000000007</v>
      </c>
    </row>
    <row r="1229" spans="1:24" x14ac:dyDescent="0.3">
      <c r="A1229">
        <v>1169</v>
      </c>
      <c r="B1229" s="1" t="s">
        <v>1253</v>
      </c>
      <c r="C1229" s="1" t="s">
        <v>1138</v>
      </c>
      <c r="D1229">
        <v>26</v>
      </c>
      <c r="E1229">
        <v>28</v>
      </c>
      <c r="F1229">
        <v>6</v>
      </c>
      <c r="G1229">
        <v>7.8</v>
      </c>
      <c r="H1229">
        <v>7</v>
      </c>
      <c r="I1229">
        <v>7.9</v>
      </c>
      <c r="J1229">
        <v>122</v>
      </c>
      <c r="K1229">
        <v>200</v>
      </c>
      <c r="L1229">
        <v>1.2</v>
      </c>
      <c r="M1229">
        <v>2.8</v>
      </c>
      <c r="N1229">
        <v>0.3</v>
      </c>
      <c r="O1229">
        <v>1.2</v>
      </c>
      <c r="P1229">
        <v>13</v>
      </c>
      <c r="Q1229">
        <v>270</v>
      </c>
      <c r="R1229">
        <v>140</v>
      </c>
      <c r="S1229">
        <v>1300</v>
      </c>
      <c r="V1229">
        <f>River_data[[#This Row],[Dissolved Oxygen Min]]*River_data[[#This Row],[Dissolved Oxygen Max]]/2</f>
        <v>23.4</v>
      </c>
      <c r="W1229">
        <f>River_data[[#This Row],[BOD Min]]*River_data[[#This Row],[BOD Max]]/2</f>
        <v>1.68</v>
      </c>
      <c r="X1229">
        <f>AVERAGE(River_data[[#This Row],[pH Max]]-River_data[[#This Row],[pH Min]])</f>
        <v>0.90000000000000036</v>
      </c>
    </row>
    <row r="1230" spans="1:24" x14ac:dyDescent="0.3">
      <c r="A1230">
        <v>1911</v>
      </c>
      <c r="B1230" s="1" t="s">
        <v>1254</v>
      </c>
      <c r="C1230" s="1" t="s">
        <v>938</v>
      </c>
      <c r="D1230">
        <v>25</v>
      </c>
      <c r="E1230">
        <v>36</v>
      </c>
      <c r="F1230">
        <v>4.7</v>
      </c>
      <c r="G1230">
        <v>6.2</v>
      </c>
      <c r="H1230">
        <v>7.7</v>
      </c>
      <c r="I1230">
        <v>8.4</v>
      </c>
      <c r="J1230">
        <v>672</v>
      </c>
      <c r="K1230">
        <v>9529</v>
      </c>
      <c r="L1230">
        <v>3</v>
      </c>
      <c r="M1230">
        <v>8.3000000000000007</v>
      </c>
      <c r="N1230">
        <v>0.3</v>
      </c>
      <c r="O1230">
        <v>2.12</v>
      </c>
      <c r="P1230">
        <v>9</v>
      </c>
      <c r="Q1230">
        <v>45</v>
      </c>
      <c r="R1230">
        <v>110</v>
      </c>
      <c r="S1230">
        <v>550</v>
      </c>
      <c r="T1230">
        <v>4</v>
      </c>
      <c r="U1230">
        <v>25</v>
      </c>
      <c r="V1230">
        <f>River_data[[#This Row],[Dissolved Oxygen Min]]*River_data[[#This Row],[Dissolved Oxygen Max]]/2</f>
        <v>14.57</v>
      </c>
      <c r="W1230">
        <f>River_data[[#This Row],[BOD Min]]*River_data[[#This Row],[BOD Max]]/2</f>
        <v>12.450000000000001</v>
      </c>
      <c r="X1230">
        <f>AVERAGE(River_data[[#This Row],[pH Max]]-River_data[[#This Row],[pH Min]])</f>
        <v>0.70000000000000018</v>
      </c>
    </row>
    <row r="1231" spans="1:24" x14ac:dyDescent="0.3">
      <c r="A1231">
        <v>1912</v>
      </c>
      <c r="B1231" s="1" t="s">
        <v>1255</v>
      </c>
      <c r="C1231" s="1" t="s">
        <v>938</v>
      </c>
      <c r="D1231">
        <v>25</v>
      </c>
      <c r="E1231">
        <v>36</v>
      </c>
      <c r="F1231">
        <v>4.5</v>
      </c>
      <c r="G1231">
        <v>5.8</v>
      </c>
      <c r="H1231">
        <v>7.8</v>
      </c>
      <c r="I1231">
        <v>8.4</v>
      </c>
      <c r="J1231">
        <v>745</v>
      </c>
      <c r="K1231">
        <v>1824</v>
      </c>
      <c r="L1231">
        <v>4.2</v>
      </c>
      <c r="M1231">
        <v>9</v>
      </c>
      <c r="N1231">
        <v>0.3</v>
      </c>
      <c r="O1231">
        <v>3.35</v>
      </c>
      <c r="P1231">
        <v>10</v>
      </c>
      <c r="Q1231">
        <v>175</v>
      </c>
      <c r="R1231">
        <v>140</v>
      </c>
      <c r="S1231">
        <v>900</v>
      </c>
      <c r="T1231">
        <v>5</v>
      </c>
      <c r="U1231">
        <v>25</v>
      </c>
      <c r="V1231">
        <f>River_data[[#This Row],[Dissolved Oxygen Min]]*River_data[[#This Row],[Dissolved Oxygen Max]]/2</f>
        <v>13.049999999999999</v>
      </c>
      <c r="W1231">
        <f>River_data[[#This Row],[BOD Min]]*River_data[[#This Row],[BOD Max]]/2</f>
        <v>18.900000000000002</v>
      </c>
      <c r="X1231">
        <f>AVERAGE(River_data[[#This Row],[pH Max]]-River_data[[#This Row],[pH Min]])</f>
        <v>0.60000000000000053</v>
      </c>
    </row>
    <row r="1232" spans="1:24" x14ac:dyDescent="0.3">
      <c r="A1232">
        <v>1163</v>
      </c>
      <c r="B1232" s="1" t="s">
        <v>1256</v>
      </c>
      <c r="C1232" s="1" t="s">
        <v>1138</v>
      </c>
      <c r="D1232">
        <v>24</v>
      </c>
      <c r="E1232">
        <v>29</v>
      </c>
      <c r="F1232">
        <v>6.1</v>
      </c>
      <c r="G1232">
        <v>8.6999999999999993</v>
      </c>
      <c r="H1232">
        <v>7.8</v>
      </c>
      <c r="I1232">
        <v>8.6999999999999993</v>
      </c>
      <c r="J1232">
        <v>196</v>
      </c>
      <c r="K1232">
        <v>884</v>
      </c>
      <c r="L1232">
        <v>1.1000000000000001</v>
      </c>
      <c r="M1232">
        <v>3</v>
      </c>
      <c r="N1232">
        <v>3.23</v>
      </c>
      <c r="O1232">
        <v>28.19</v>
      </c>
      <c r="P1232">
        <v>350</v>
      </c>
      <c r="Q1232">
        <v>540</v>
      </c>
      <c r="R1232">
        <v>920</v>
      </c>
      <c r="S1232">
        <v>1600</v>
      </c>
      <c r="T1232">
        <v>110</v>
      </c>
      <c r="U1232">
        <v>350</v>
      </c>
      <c r="V1232">
        <f>River_data[[#This Row],[Dissolved Oxygen Min]]*River_data[[#This Row],[Dissolved Oxygen Max]]/2</f>
        <v>26.534999999999997</v>
      </c>
      <c r="W1232">
        <f>River_data[[#This Row],[BOD Min]]*River_data[[#This Row],[BOD Max]]/2</f>
        <v>1.6500000000000001</v>
      </c>
      <c r="X1232">
        <f>AVERAGE(River_data[[#This Row],[pH Max]]-River_data[[#This Row],[pH Min]])</f>
        <v>0.89999999999999947</v>
      </c>
    </row>
    <row r="1233" spans="1:24" x14ac:dyDescent="0.3">
      <c r="A1233">
        <v>4104</v>
      </c>
      <c r="B1233" s="1" t="s">
        <v>1257</v>
      </c>
      <c r="C1233" s="1" t="s">
        <v>1138</v>
      </c>
      <c r="D1233">
        <v>18</v>
      </c>
      <c r="E1233">
        <v>21</v>
      </c>
      <c r="F1233">
        <v>5.6</v>
      </c>
      <c r="G1233">
        <v>13.7</v>
      </c>
      <c r="H1233">
        <v>6.4</v>
      </c>
      <c r="I1233">
        <v>9.1999999999999993</v>
      </c>
      <c r="J1233">
        <v>208</v>
      </c>
      <c r="K1233">
        <v>1258</v>
      </c>
      <c r="L1233">
        <v>1.8</v>
      </c>
      <c r="M1233">
        <v>5.2</v>
      </c>
      <c r="N1233">
        <v>3.95</v>
      </c>
      <c r="O1233">
        <v>55.36</v>
      </c>
      <c r="P1233">
        <v>350</v>
      </c>
      <c r="Q1233">
        <v>920</v>
      </c>
      <c r="R1233">
        <v>920</v>
      </c>
      <c r="S1233">
        <v>1600</v>
      </c>
      <c r="T1233">
        <v>240</v>
      </c>
      <c r="U1233">
        <v>540</v>
      </c>
      <c r="V1233">
        <f>River_data[[#This Row],[Dissolved Oxygen Min]]*River_data[[#This Row],[Dissolved Oxygen Max]]/2</f>
        <v>38.359999999999992</v>
      </c>
      <c r="W1233">
        <f>River_data[[#This Row],[BOD Min]]*River_data[[#This Row],[BOD Max]]/2</f>
        <v>4.6800000000000006</v>
      </c>
      <c r="X1233">
        <f>AVERAGE(River_data[[#This Row],[pH Max]]-River_data[[#This Row],[pH Min]])</f>
        <v>2.7999999999999989</v>
      </c>
    </row>
    <row r="1234" spans="1:24" x14ac:dyDescent="0.3">
      <c r="A1234">
        <v>1185</v>
      </c>
      <c r="B1234" s="1" t="s">
        <v>1258</v>
      </c>
      <c r="C1234" s="1" t="s">
        <v>1138</v>
      </c>
      <c r="D1234">
        <v>17</v>
      </c>
      <c r="E1234">
        <v>20</v>
      </c>
      <c r="F1234">
        <v>5.6</v>
      </c>
      <c r="G1234">
        <v>13.7</v>
      </c>
      <c r="H1234">
        <v>6.3</v>
      </c>
      <c r="I1234">
        <v>9.1</v>
      </c>
      <c r="J1234">
        <v>268</v>
      </c>
      <c r="K1234">
        <v>1320</v>
      </c>
      <c r="L1234">
        <v>1.6</v>
      </c>
      <c r="M1234">
        <v>4.2</v>
      </c>
      <c r="N1234">
        <v>4.37</v>
      </c>
      <c r="O1234">
        <v>47.51</v>
      </c>
      <c r="P1234">
        <v>430</v>
      </c>
      <c r="Q1234">
        <v>920</v>
      </c>
      <c r="R1234">
        <v>920</v>
      </c>
      <c r="S1234">
        <v>1600</v>
      </c>
      <c r="T1234">
        <v>240</v>
      </c>
      <c r="U1234">
        <v>540</v>
      </c>
      <c r="V1234">
        <f>River_data[[#This Row],[Dissolved Oxygen Min]]*River_data[[#This Row],[Dissolved Oxygen Max]]/2</f>
        <v>38.359999999999992</v>
      </c>
      <c r="W1234">
        <f>River_data[[#This Row],[BOD Min]]*River_data[[#This Row],[BOD Max]]/2</f>
        <v>3.3600000000000003</v>
      </c>
      <c r="X1234">
        <f>AVERAGE(River_data[[#This Row],[pH Max]]-River_data[[#This Row],[pH Min]])</f>
        <v>2.8</v>
      </c>
    </row>
    <row r="1235" spans="1:24" x14ac:dyDescent="0.3">
      <c r="A1235">
        <v>2665</v>
      </c>
      <c r="B1235" s="1" t="s">
        <v>1259</v>
      </c>
      <c r="C1235" s="1" t="s">
        <v>938</v>
      </c>
      <c r="D1235">
        <v>26</v>
      </c>
      <c r="E1235">
        <v>27</v>
      </c>
      <c r="F1235">
        <v>4.5999999999999996</v>
      </c>
      <c r="G1235">
        <v>6.1</v>
      </c>
      <c r="H1235">
        <v>7.5</v>
      </c>
      <c r="I1235">
        <v>8.4</v>
      </c>
      <c r="J1235">
        <v>431</v>
      </c>
      <c r="K1235">
        <v>1336</v>
      </c>
      <c r="L1235">
        <v>3.5</v>
      </c>
      <c r="M1235">
        <v>9.6999999999999993</v>
      </c>
      <c r="N1235">
        <v>0.3</v>
      </c>
      <c r="O1235">
        <v>3.42</v>
      </c>
      <c r="P1235">
        <v>7</v>
      </c>
      <c r="Q1235">
        <v>45</v>
      </c>
      <c r="R1235">
        <v>200</v>
      </c>
      <c r="S1235">
        <v>550</v>
      </c>
      <c r="T1235">
        <v>2</v>
      </c>
      <c r="U1235">
        <v>20</v>
      </c>
      <c r="V1235">
        <f>River_data[[#This Row],[Dissolved Oxygen Min]]*River_data[[#This Row],[Dissolved Oxygen Max]]/2</f>
        <v>14.029999999999998</v>
      </c>
      <c r="W1235">
        <f>River_data[[#This Row],[BOD Min]]*River_data[[#This Row],[BOD Max]]/2</f>
        <v>16.974999999999998</v>
      </c>
      <c r="X1235">
        <f>AVERAGE(River_data[[#This Row],[pH Max]]-River_data[[#This Row],[pH Min]])</f>
        <v>0.90000000000000036</v>
      </c>
    </row>
    <row r="1236" spans="1:24" x14ac:dyDescent="0.3">
      <c r="A1236">
        <v>2669</v>
      </c>
      <c r="B1236" s="1" t="s">
        <v>1260</v>
      </c>
      <c r="C1236" s="1" t="s">
        <v>938</v>
      </c>
      <c r="D1236">
        <v>25</v>
      </c>
      <c r="E1236">
        <v>29</v>
      </c>
      <c r="F1236">
        <v>4.8</v>
      </c>
      <c r="G1236">
        <v>6.1</v>
      </c>
      <c r="H1236">
        <v>7</v>
      </c>
      <c r="I1236">
        <v>7.8</v>
      </c>
      <c r="J1236">
        <v>216</v>
      </c>
      <c r="K1236">
        <v>777</v>
      </c>
      <c r="L1236">
        <v>2.2000000000000002</v>
      </c>
      <c r="M1236">
        <v>8.3000000000000007</v>
      </c>
      <c r="N1236">
        <v>0.3</v>
      </c>
      <c r="O1236">
        <v>7.25</v>
      </c>
      <c r="P1236">
        <v>8</v>
      </c>
      <c r="Q1236">
        <v>70</v>
      </c>
      <c r="R1236">
        <v>85</v>
      </c>
      <c r="S1236">
        <v>900</v>
      </c>
      <c r="T1236">
        <v>2</v>
      </c>
      <c r="U1236">
        <v>30</v>
      </c>
      <c r="V1236">
        <f>River_data[[#This Row],[Dissolved Oxygen Min]]*River_data[[#This Row],[Dissolved Oxygen Max]]/2</f>
        <v>14.639999999999999</v>
      </c>
      <c r="W1236">
        <f>River_data[[#This Row],[BOD Min]]*River_data[[#This Row],[BOD Max]]/2</f>
        <v>9.1300000000000008</v>
      </c>
      <c r="X1236">
        <f>AVERAGE(River_data[[#This Row],[pH Max]]-River_data[[#This Row],[pH Min]])</f>
        <v>0.79999999999999982</v>
      </c>
    </row>
    <row r="1237" spans="1:24" x14ac:dyDescent="0.3">
      <c r="A1237">
        <v>2668</v>
      </c>
      <c r="B1237" s="1" t="s">
        <v>1261</v>
      </c>
      <c r="C1237" s="1" t="s">
        <v>938</v>
      </c>
      <c r="D1237">
        <v>26</v>
      </c>
      <c r="E1237">
        <v>29</v>
      </c>
      <c r="F1237">
        <v>5.2</v>
      </c>
      <c r="G1237">
        <v>5.8</v>
      </c>
      <c r="H1237">
        <v>7</v>
      </c>
      <c r="I1237">
        <v>7.9</v>
      </c>
      <c r="J1237">
        <v>210</v>
      </c>
      <c r="K1237">
        <v>784</v>
      </c>
      <c r="L1237">
        <v>3.2</v>
      </c>
      <c r="M1237">
        <v>8.4</v>
      </c>
      <c r="N1237">
        <v>0.3</v>
      </c>
      <c r="O1237">
        <v>3.41</v>
      </c>
      <c r="P1237">
        <v>10</v>
      </c>
      <c r="Q1237">
        <v>115</v>
      </c>
      <c r="R1237">
        <v>170</v>
      </c>
      <c r="S1237">
        <v>550</v>
      </c>
      <c r="T1237">
        <v>4</v>
      </c>
      <c r="U1237">
        <v>20</v>
      </c>
      <c r="V1237">
        <f>River_data[[#This Row],[Dissolved Oxygen Min]]*River_data[[#This Row],[Dissolved Oxygen Max]]/2</f>
        <v>15.08</v>
      </c>
      <c r="W1237">
        <f>River_data[[#This Row],[BOD Min]]*River_data[[#This Row],[BOD Max]]/2</f>
        <v>13.440000000000001</v>
      </c>
      <c r="X1237">
        <f>AVERAGE(River_data[[#This Row],[pH Max]]-River_data[[#This Row],[pH Min]])</f>
        <v>0.90000000000000036</v>
      </c>
    </row>
    <row r="1238" spans="1:24" x14ac:dyDescent="0.3">
      <c r="A1238">
        <v>2197</v>
      </c>
      <c r="B1238" s="1" t="s">
        <v>1262</v>
      </c>
      <c r="C1238" s="1" t="s">
        <v>938</v>
      </c>
      <c r="D1238">
        <v>26</v>
      </c>
      <c r="E1238">
        <v>28</v>
      </c>
      <c r="F1238">
        <v>4.8</v>
      </c>
      <c r="G1238">
        <v>5.8</v>
      </c>
      <c r="H1238">
        <v>7</v>
      </c>
      <c r="I1238">
        <v>8</v>
      </c>
      <c r="J1238">
        <v>190</v>
      </c>
      <c r="K1238">
        <v>711</v>
      </c>
      <c r="L1238">
        <v>3.5</v>
      </c>
      <c r="M1238">
        <v>8.9</v>
      </c>
      <c r="N1238">
        <v>0.3</v>
      </c>
      <c r="O1238">
        <v>7.7</v>
      </c>
      <c r="P1238">
        <v>8</v>
      </c>
      <c r="Q1238">
        <v>70</v>
      </c>
      <c r="R1238">
        <v>140</v>
      </c>
      <c r="S1238">
        <v>550</v>
      </c>
      <c r="T1238">
        <v>4</v>
      </c>
      <c r="U1238">
        <v>20</v>
      </c>
      <c r="V1238">
        <f>River_data[[#This Row],[Dissolved Oxygen Min]]*River_data[[#This Row],[Dissolved Oxygen Max]]/2</f>
        <v>13.92</v>
      </c>
      <c r="W1238">
        <f>River_data[[#This Row],[BOD Min]]*River_data[[#This Row],[BOD Max]]/2</f>
        <v>15.575000000000001</v>
      </c>
      <c r="X1238">
        <f>AVERAGE(River_data[[#This Row],[pH Max]]-River_data[[#This Row],[pH Min]])</f>
        <v>1</v>
      </c>
    </row>
    <row r="1239" spans="1:24" x14ac:dyDescent="0.3">
      <c r="A1239">
        <v>1895</v>
      </c>
      <c r="B1239" s="1" t="s">
        <v>1263</v>
      </c>
      <c r="C1239" s="1" t="s">
        <v>1138</v>
      </c>
      <c r="D1239">
        <v>24</v>
      </c>
      <c r="E1239">
        <v>32</v>
      </c>
      <c r="F1239">
        <v>6.7</v>
      </c>
      <c r="G1239">
        <v>8.8000000000000007</v>
      </c>
      <c r="H1239">
        <v>7.7</v>
      </c>
      <c r="I1239">
        <v>8.5</v>
      </c>
      <c r="J1239">
        <v>340</v>
      </c>
      <c r="K1239">
        <v>610</v>
      </c>
      <c r="L1239">
        <v>1.7</v>
      </c>
      <c r="M1239">
        <v>4</v>
      </c>
      <c r="N1239">
        <v>0.31</v>
      </c>
      <c r="O1239">
        <v>3.4</v>
      </c>
      <c r="P1239">
        <v>49</v>
      </c>
      <c r="Q1239">
        <v>63000</v>
      </c>
      <c r="R1239">
        <v>240</v>
      </c>
      <c r="S1239">
        <v>120000</v>
      </c>
      <c r="V1239">
        <f>River_data[[#This Row],[Dissolved Oxygen Min]]*River_data[[#This Row],[Dissolved Oxygen Max]]/2</f>
        <v>29.480000000000004</v>
      </c>
      <c r="W1239">
        <f>River_data[[#This Row],[BOD Min]]*River_data[[#This Row],[BOD Max]]/2</f>
        <v>3.4</v>
      </c>
      <c r="X1239">
        <f>AVERAGE(River_data[[#This Row],[pH Max]]-River_data[[#This Row],[pH Min]])</f>
        <v>0.79999999999999982</v>
      </c>
    </row>
    <row r="1240" spans="1:24" x14ac:dyDescent="0.3">
      <c r="A1240">
        <v>2777</v>
      </c>
      <c r="B1240" s="1" t="s">
        <v>1264</v>
      </c>
      <c r="C1240" s="1" t="s">
        <v>1138</v>
      </c>
      <c r="D1240">
        <v>24</v>
      </c>
      <c r="E1240">
        <v>32</v>
      </c>
      <c r="F1240">
        <v>7.2</v>
      </c>
      <c r="G1240">
        <v>8.9</v>
      </c>
      <c r="H1240">
        <v>7.7</v>
      </c>
      <c r="I1240">
        <v>8.6</v>
      </c>
      <c r="J1240">
        <v>339</v>
      </c>
      <c r="K1240">
        <v>612</v>
      </c>
      <c r="L1240">
        <v>1</v>
      </c>
      <c r="M1240">
        <v>3.6</v>
      </c>
      <c r="N1240">
        <v>0.34</v>
      </c>
      <c r="O1240">
        <v>3</v>
      </c>
      <c r="P1240">
        <v>63</v>
      </c>
      <c r="Q1240">
        <v>7000</v>
      </c>
      <c r="R1240">
        <v>540</v>
      </c>
      <c r="S1240">
        <v>16000</v>
      </c>
      <c r="V1240">
        <f>River_data[[#This Row],[Dissolved Oxygen Min]]*River_data[[#This Row],[Dissolved Oxygen Max]]/2</f>
        <v>32.04</v>
      </c>
      <c r="W1240">
        <f>River_data[[#This Row],[BOD Min]]*River_data[[#This Row],[BOD Max]]/2</f>
        <v>1.8</v>
      </c>
      <c r="X1240">
        <f>AVERAGE(River_data[[#This Row],[pH Max]]-River_data[[#This Row],[pH Min]])</f>
        <v>0.89999999999999947</v>
      </c>
    </row>
    <row r="1241" spans="1:24" x14ac:dyDescent="0.3">
      <c r="A1241">
        <v>4500</v>
      </c>
      <c r="B1241" s="1" t="s">
        <v>1265</v>
      </c>
      <c r="C1241" s="1" t="s">
        <v>1138</v>
      </c>
      <c r="D1241">
        <v>24</v>
      </c>
      <c r="E1241">
        <v>32</v>
      </c>
      <c r="F1241">
        <v>6.7</v>
      </c>
      <c r="G1241">
        <v>8.6999999999999993</v>
      </c>
      <c r="H1241">
        <v>7.9</v>
      </c>
      <c r="I1241">
        <v>8.5</v>
      </c>
      <c r="J1241">
        <v>316</v>
      </c>
      <c r="K1241">
        <v>580</v>
      </c>
      <c r="L1241">
        <v>2</v>
      </c>
      <c r="M1241">
        <v>6</v>
      </c>
      <c r="N1241">
        <v>0.48</v>
      </c>
      <c r="O1241">
        <v>4</v>
      </c>
      <c r="P1241">
        <v>14</v>
      </c>
      <c r="Q1241">
        <v>7900</v>
      </c>
      <c r="R1241">
        <v>20</v>
      </c>
      <c r="S1241">
        <v>160000</v>
      </c>
      <c r="V1241">
        <f>River_data[[#This Row],[Dissolved Oxygen Min]]*River_data[[#This Row],[Dissolved Oxygen Max]]/2</f>
        <v>29.145</v>
      </c>
      <c r="W1241">
        <f>River_data[[#This Row],[BOD Min]]*River_data[[#This Row],[BOD Max]]/2</f>
        <v>6</v>
      </c>
      <c r="X1241">
        <f>AVERAGE(River_data[[#This Row],[pH Max]]-River_data[[#This Row],[pH Min]])</f>
        <v>0.59999999999999964</v>
      </c>
    </row>
    <row r="1242" spans="1:24" x14ac:dyDescent="0.3">
      <c r="A1242">
        <v>2189</v>
      </c>
      <c r="B1242" s="1" t="s">
        <v>1266</v>
      </c>
      <c r="C1242" s="1" t="s">
        <v>938</v>
      </c>
      <c r="D1242">
        <v>26</v>
      </c>
      <c r="E1242">
        <v>32</v>
      </c>
      <c r="F1242">
        <v>5.4</v>
      </c>
      <c r="G1242">
        <v>6.7</v>
      </c>
      <c r="H1242">
        <v>7.5</v>
      </c>
      <c r="I1242">
        <v>8.1</v>
      </c>
      <c r="J1242">
        <v>65</v>
      </c>
      <c r="K1242">
        <v>239</v>
      </c>
      <c r="L1242">
        <v>2</v>
      </c>
      <c r="M1242">
        <v>5</v>
      </c>
      <c r="N1242">
        <v>0.3</v>
      </c>
      <c r="O1242">
        <v>2.84</v>
      </c>
      <c r="P1242">
        <v>7</v>
      </c>
      <c r="Q1242">
        <v>35</v>
      </c>
      <c r="R1242">
        <v>110</v>
      </c>
      <c r="S1242">
        <v>350</v>
      </c>
      <c r="T1242">
        <v>2</v>
      </c>
      <c r="U1242">
        <v>13</v>
      </c>
      <c r="V1242">
        <f>River_data[[#This Row],[Dissolved Oxygen Min]]*River_data[[#This Row],[Dissolved Oxygen Max]]/2</f>
        <v>18.090000000000003</v>
      </c>
      <c r="W1242">
        <f>River_data[[#This Row],[BOD Min]]*River_data[[#This Row],[BOD Max]]/2</f>
        <v>5</v>
      </c>
      <c r="X1242">
        <f>AVERAGE(River_data[[#This Row],[pH Max]]-River_data[[#This Row],[pH Min]])</f>
        <v>0.59999999999999964</v>
      </c>
    </row>
    <row r="1243" spans="1:24" x14ac:dyDescent="0.3">
      <c r="A1243">
        <v>1187</v>
      </c>
      <c r="B1243" s="1" t="s">
        <v>1267</v>
      </c>
      <c r="C1243" s="1" t="s">
        <v>1138</v>
      </c>
      <c r="D1243">
        <v>22</v>
      </c>
      <c r="E1243">
        <v>29</v>
      </c>
      <c r="F1243">
        <v>5.6</v>
      </c>
      <c r="G1243">
        <v>8.4</v>
      </c>
      <c r="H1243">
        <v>6.5</v>
      </c>
      <c r="I1243">
        <v>8.8000000000000007</v>
      </c>
      <c r="J1243">
        <v>190</v>
      </c>
      <c r="K1243">
        <v>268</v>
      </c>
      <c r="L1243">
        <v>1.3</v>
      </c>
      <c r="M1243">
        <v>2.9</v>
      </c>
      <c r="N1243">
        <v>1.65</v>
      </c>
      <c r="O1243">
        <v>15.25</v>
      </c>
      <c r="P1243">
        <v>350</v>
      </c>
      <c r="Q1243">
        <v>920</v>
      </c>
      <c r="R1243">
        <v>920</v>
      </c>
      <c r="S1243">
        <v>1600</v>
      </c>
      <c r="T1243">
        <v>130</v>
      </c>
      <c r="U1243">
        <v>540</v>
      </c>
      <c r="V1243">
        <f>River_data[[#This Row],[Dissolved Oxygen Min]]*River_data[[#This Row],[Dissolved Oxygen Max]]/2</f>
        <v>23.52</v>
      </c>
      <c r="W1243">
        <f>River_data[[#This Row],[BOD Min]]*River_data[[#This Row],[BOD Max]]/2</f>
        <v>1.885</v>
      </c>
      <c r="X1243">
        <f>AVERAGE(River_data[[#This Row],[pH Max]]-River_data[[#This Row],[pH Min]])</f>
        <v>2.3000000000000007</v>
      </c>
    </row>
    <row r="1244" spans="1:24" x14ac:dyDescent="0.3">
      <c r="A1244">
        <v>1164</v>
      </c>
      <c r="B1244" s="1" t="s">
        <v>1268</v>
      </c>
      <c r="C1244" s="1" t="s">
        <v>1138</v>
      </c>
      <c r="D1244">
        <v>24</v>
      </c>
      <c r="E1244">
        <v>32</v>
      </c>
      <c r="F1244">
        <v>5.6</v>
      </c>
      <c r="G1244">
        <v>8.8000000000000007</v>
      </c>
      <c r="H1244">
        <v>7.7</v>
      </c>
      <c r="I1244">
        <v>8.6999999999999993</v>
      </c>
      <c r="J1244">
        <v>268</v>
      </c>
      <c r="K1244">
        <v>518</v>
      </c>
      <c r="L1244">
        <v>1.1000000000000001</v>
      </c>
      <c r="M1244">
        <v>3</v>
      </c>
      <c r="N1244">
        <v>1.23</v>
      </c>
      <c r="O1244">
        <v>23.04</v>
      </c>
      <c r="P1244">
        <v>280</v>
      </c>
      <c r="Q1244">
        <v>920</v>
      </c>
      <c r="R1244">
        <v>920</v>
      </c>
      <c r="S1244">
        <v>1600</v>
      </c>
      <c r="T1244">
        <v>170</v>
      </c>
      <c r="U1244">
        <v>540</v>
      </c>
      <c r="V1244">
        <f>River_data[[#This Row],[Dissolved Oxygen Min]]*River_data[[#This Row],[Dissolved Oxygen Max]]/2</f>
        <v>24.64</v>
      </c>
      <c r="W1244">
        <f>River_data[[#This Row],[BOD Min]]*River_data[[#This Row],[BOD Max]]/2</f>
        <v>1.6500000000000001</v>
      </c>
      <c r="X1244">
        <f>AVERAGE(River_data[[#This Row],[pH Max]]-River_data[[#This Row],[pH Min]])</f>
        <v>0.99999999999999911</v>
      </c>
    </row>
    <row r="1245" spans="1:24" x14ac:dyDescent="0.3">
      <c r="A1245">
        <v>2764</v>
      </c>
      <c r="B1245" s="1" t="s">
        <v>1269</v>
      </c>
      <c r="C1245" s="1" t="s">
        <v>1138</v>
      </c>
      <c r="D1245">
        <v>18</v>
      </c>
      <c r="E1245">
        <v>22</v>
      </c>
      <c r="F1245">
        <v>5</v>
      </c>
      <c r="G1245">
        <v>11.5</v>
      </c>
      <c r="H1245">
        <v>7.6</v>
      </c>
      <c r="I1245">
        <v>8.8000000000000007</v>
      </c>
      <c r="J1245">
        <v>708</v>
      </c>
      <c r="K1245">
        <v>1868</v>
      </c>
      <c r="L1245">
        <v>1</v>
      </c>
      <c r="M1245">
        <v>3.8</v>
      </c>
      <c r="N1245">
        <v>5.55</v>
      </c>
      <c r="O1245">
        <v>37.28</v>
      </c>
      <c r="P1245">
        <v>540</v>
      </c>
      <c r="Q1245">
        <v>920</v>
      </c>
      <c r="R1245">
        <v>920</v>
      </c>
      <c r="S1245">
        <v>1600</v>
      </c>
      <c r="T1245">
        <v>240</v>
      </c>
      <c r="U1245">
        <v>540</v>
      </c>
      <c r="V1245">
        <f>River_data[[#This Row],[Dissolved Oxygen Min]]*River_data[[#This Row],[Dissolved Oxygen Max]]/2</f>
        <v>28.75</v>
      </c>
      <c r="W1245">
        <f>River_data[[#This Row],[BOD Min]]*River_data[[#This Row],[BOD Max]]/2</f>
        <v>1.9</v>
      </c>
      <c r="X1245">
        <f>AVERAGE(River_data[[#This Row],[pH Max]]-River_data[[#This Row],[pH Min]])</f>
        <v>1.2000000000000011</v>
      </c>
    </row>
    <row r="1246" spans="1:24" x14ac:dyDescent="0.3">
      <c r="A1246">
        <v>1186</v>
      </c>
      <c r="B1246" s="1" t="s">
        <v>1270</v>
      </c>
      <c r="C1246" s="1" t="s">
        <v>1138</v>
      </c>
      <c r="D1246">
        <v>18</v>
      </c>
      <c r="E1246">
        <v>21</v>
      </c>
      <c r="F1246">
        <v>5</v>
      </c>
      <c r="G1246">
        <v>11.7</v>
      </c>
      <c r="H1246">
        <v>8.1</v>
      </c>
      <c r="I1246">
        <v>8.6999999999999993</v>
      </c>
      <c r="J1246">
        <v>758</v>
      </c>
      <c r="K1246">
        <v>1748</v>
      </c>
      <c r="L1246">
        <v>1</v>
      </c>
      <c r="M1246">
        <v>4.5999999999999996</v>
      </c>
      <c r="N1246">
        <v>3.48</v>
      </c>
      <c r="O1246">
        <v>38.24</v>
      </c>
      <c r="P1246">
        <v>350</v>
      </c>
      <c r="Q1246">
        <v>920</v>
      </c>
      <c r="R1246">
        <v>1600</v>
      </c>
      <c r="S1246">
        <v>1600</v>
      </c>
      <c r="T1246">
        <v>240</v>
      </c>
      <c r="U1246">
        <v>540</v>
      </c>
      <c r="V1246">
        <f>River_data[[#This Row],[Dissolved Oxygen Min]]*River_data[[#This Row],[Dissolved Oxygen Max]]/2</f>
        <v>29.25</v>
      </c>
      <c r="W1246">
        <f>River_data[[#This Row],[BOD Min]]*River_data[[#This Row],[BOD Max]]/2</f>
        <v>2.2999999999999998</v>
      </c>
      <c r="X1246">
        <f>AVERAGE(River_data[[#This Row],[pH Max]]-River_data[[#This Row],[pH Min]])</f>
        <v>0.59999999999999964</v>
      </c>
    </row>
    <row r="1247" spans="1:24" x14ac:dyDescent="0.3">
      <c r="A1247">
        <v>4098</v>
      </c>
      <c r="B1247" s="1" t="s">
        <v>1271</v>
      </c>
      <c r="C1247" s="1" t="s">
        <v>1138</v>
      </c>
      <c r="D1247">
        <v>20</v>
      </c>
      <c r="E1247">
        <v>26</v>
      </c>
      <c r="F1247">
        <v>5.0999999999999996</v>
      </c>
      <c r="G1247">
        <v>8.3000000000000007</v>
      </c>
      <c r="H1247">
        <v>6.9</v>
      </c>
      <c r="I1247">
        <v>9</v>
      </c>
      <c r="J1247">
        <v>190</v>
      </c>
      <c r="K1247">
        <v>270</v>
      </c>
      <c r="L1247">
        <v>1</v>
      </c>
      <c r="M1247">
        <v>2.8</v>
      </c>
      <c r="N1247">
        <v>2.02</v>
      </c>
      <c r="O1247">
        <v>14.18</v>
      </c>
      <c r="P1247">
        <v>270</v>
      </c>
      <c r="Q1247">
        <v>920</v>
      </c>
      <c r="R1247">
        <v>920</v>
      </c>
      <c r="S1247">
        <v>1600</v>
      </c>
      <c r="T1247">
        <v>110</v>
      </c>
      <c r="U1247">
        <v>540</v>
      </c>
      <c r="V1247">
        <f>River_data[[#This Row],[Dissolved Oxygen Min]]*River_data[[#This Row],[Dissolved Oxygen Max]]/2</f>
        <v>21.164999999999999</v>
      </c>
      <c r="W1247">
        <f>River_data[[#This Row],[BOD Min]]*River_data[[#This Row],[BOD Max]]/2</f>
        <v>1.4</v>
      </c>
      <c r="X1247">
        <f>AVERAGE(River_data[[#This Row],[pH Max]]-River_data[[#This Row],[pH Min]])</f>
        <v>2.0999999999999996</v>
      </c>
    </row>
    <row r="1248" spans="1:24" x14ac:dyDescent="0.3">
      <c r="A1248">
        <v>2193</v>
      </c>
      <c r="B1248" s="1" t="s">
        <v>1272</v>
      </c>
      <c r="C1248" s="1" t="s">
        <v>938</v>
      </c>
      <c r="D1248">
        <v>27</v>
      </c>
      <c r="E1248">
        <v>29</v>
      </c>
      <c r="F1248">
        <v>4.3</v>
      </c>
      <c r="G1248">
        <v>5.4</v>
      </c>
      <c r="H1248">
        <v>7</v>
      </c>
      <c r="I1248">
        <v>7.9</v>
      </c>
      <c r="J1248">
        <v>249</v>
      </c>
      <c r="K1248">
        <v>805</v>
      </c>
      <c r="L1248">
        <v>5.2</v>
      </c>
      <c r="M1248">
        <v>16</v>
      </c>
      <c r="N1248">
        <v>0.3</v>
      </c>
      <c r="O1248">
        <v>4.95</v>
      </c>
      <c r="P1248">
        <v>10</v>
      </c>
      <c r="Q1248">
        <v>195</v>
      </c>
      <c r="R1248">
        <v>200</v>
      </c>
      <c r="S1248">
        <v>1600</v>
      </c>
      <c r="T1248">
        <v>4</v>
      </c>
      <c r="U1248">
        <v>30</v>
      </c>
      <c r="V1248">
        <f>River_data[[#This Row],[Dissolved Oxygen Min]]*River_data[[#This Row],[Dissolved Oxygen Max]]/2</f>
        <v>11.61</v>
      </c>
      <c r="W1248">
        <f>River_data[[#This Row],[BOD Min]]*River_data[[#This Row],[BOD Max]]/2</f>
        <v>41.6</v>
      </c>
      <c r="X1248">
        <f>AVERAGE(River_data[[#This Row],[pH Max]]-River_data[[#This Row],[pH Min]])</f>
        <v>0.90000000000000036</v>
      </c>
    </row>
    <row r="1249" spans="1:24" x14ac:dyDescent="0.3">
      <c r="A1249">
        <v>2194</v>
      </c>
      <c r="B1249" s="1" t="s">
        <v>1273</v>
      </c>
      <c r="C1249" s="1" t="s">
        <v>938</v>
      </c>
      <c r="D1249">
        <v>27.5</v>
      </c>
      <c r="E1249">
        <v>29</v>
      </c>
      <c r="F1249">
        <v>3.4</v>
      </c>
      <c r="G1249">
        <v>5.0999999999999996</v>
      </c>
      <c r="H1249">
        <v>7</v>
      </c>
      <c r="I1249">
        <v>8.1</v>
      </c>
      <c r="J1249">
        <v>246</v>
      </c>
      <c r="K1249">
        <v>728</v>
      </c>
      <c r="L1249">
        <v>5.4</v>
      </c>
      <c r="M1249">
        <v>25</v>
      </c>
      <c r="N1249">
        <v>0.3</v>
      </c>
      <c r="O1249">
        <v>3.62</v>
      </c>
      <c r="P1249">
        <v>14</v>
      </c>
      <c r="Q1249">
        <v>225</v>
      </c>
      <c r="R1249">
        <v>275</v>
      </c>
      <c r="S1249">
        <v>1800</v>
      </c>
      <c r="T1249">
        <v>7</v>
      </c>
      <c r="U1249">
        <v>45</v>
      </c>
      <c r="V1249">
        <f>River_data[[#This Row],[Dissolved Oxygen Min]]*River_data[[#This Row],[Dissolved Oxygen Max]]/2</f>
        <v>8.67</v>
      </c>
      <c r="W1249">
        <f>River_data[[#This Row],[BOD Min]]*River_data[[#This Row],[BOD Max]]/2</f>
        <v>67.5</v>
      </c>
      <c r="X1249">
        <f>AVERAGE(River_data[[#This Row],[pH Max]]-River_data[[#This Row],[pH Min]])</f>
        <v>1.0999999999999996</v>
      </c>
    </row>
    <row r="1250" spans="1:24" x14ac:dyDescent="0.3">
      <c r="A1250">
        <v>2192</v>
      </c>
      <c r="B1250" s="1" t="s">
        <v>1274</v>
      </c>
      <c r="C1250" s="1" t="s">
        <v>938</v>
      </c>
      <c r="D1250">
        <v>27</v>
      </c>
      <c r="E1250">
        <v>29</v>
      </c>
      <c r="F1250">
        <v>3.6</v>
      </c>
      <c r="G1250">
        <v>4.5999999999999996</v>
      </c>
      <c r="H1250">
        <v>7.1</v>
      </c>
      <c r="I1250">
        <v>7.9</v>
      </c>
      <c r="J1250">
        <v>337</v>
      </c>
      <c r="K1250">
        <v>667</v>
      </c>
      <c r="L1250">
        <v>11</v>
      </c>
      <c r="M1250">
        <v>21</v>
      </c>
      <c r="N1250">
        <v>0.3</v>
      </c>
      <c r="O1250">
        <v>3.12</v>
      </c>
      <c r="P1250">
        <v>20</v>
      </c>
      <c r="Q1250">
        <v>170</v>
      </c>
      <c r="R1250">
        <v>540</v>
      </c>
      <c r="S1250">
        <v>1800</v>
      </c>
      <c r="T1250">
        <v>8</v>
      </c>
      <c r="U1250">
        <v>30</v>
      </c>
      <c r="V1250">
        <f>River_data[[#This Row],[Dissolved Oxygen Min]]*River_data[[#This Row],[Dissolved Oxygen Max]]/2</f>
        <v>8.2799999999999994</v>
      </c>
      <c r="W1250">
        <f>River_data[[#This Row],[BOD Min]]*River_data[[#This Row],[BOD Max]]/2</f>
        <v>115.5</v>
      </c>
      <c r="X1250">
        <f>AVERAGE(River_data[[#This Row],[pH Max]]-River_data[[#This Row],[pH Min]])</f>
        <v>0.80000000000000071</v>
      </c>
    </row>
    <row r="1251" spans="1:24" x14ac:dyDescent="0.3">
      <c r="A1251">
        <v>2677</v>
      </c>
      <c r="B1251" s="1" t="s">
        <v>1275</v>
      </c>
      <c r="C1251" s="1" t="s">
        <v>938</v>
      </c>
      <c r="D1251">
        <v>25</v>
      </c>
      <c r="E1251">
        <v>28</v>
      </c>
      <c r="F1251">
        <v>4.3</v>
      </c>
      <c r="G1251">
        <v>5.0999999999999996</v>
      </c>
      <c r="H1251">
        <v>7</v>
      </c>
      <c r="I1251">
        <v>7.8</v>
      </c>
      <c r="J1251">
        <v>326</v>
      </c>
      <c r="K1251">
        <v>693</v>
      </c>
      <c r="L1251">
        <v>7</v>
      </c>
      <c r="M1251">
        <v>13.5</v>
      </c>
      <c r="N1251">
        <v>0.3</v>
      </c>
      <c r="O1251">
        <v>2.4300000000000002</v>
      </c>
      <c r="P1251">
        <v>13</v>
      </c>
      <c r="Q1251">
        <v>110</v>
      </c>
      <c r="R1251">
        <v>280</v>
      </c>
      <c r="S1251">
        <v>1600</v>
      </c>
      <c r="T1251">
        <v>4</v>
      </c>
      <c r="U1251">
        <v>20</v>
      </c>
      <c r="V1251">
        <f>River_data[[#This Row],[Dissolved Oxygen Min]]*River_data[[#This Row],[Dissolved Oxygen Max]]/2</f>
        <v>10.964999999999998</v>
      </c>
      <c r="W1251">
        <f>River_data[[#This Row],[BOD Min]]*River_data[[#This Row],[BOD Max]]/2</f>
        <v>47.25</v>
      </c>
      <c r="X1251">
        <f>AVERAGE(River_data[[#This Row],[pH Max]]-River_data[[#This Row],[pH Min]])</f>
        <v>0.79999999999999982</v>
      </c>
    </row>
    <row r="1252" spans="1:24" x14ac:dyDescent="0.3">
      <c r="A1252">
        <v>1177</v>
      </c>
      <c r="B1252" s="1" t="s">
        <v>1276</v>
      </c>
      <c r="C1252" s="1" t="s">
        <v>1115</v>
      </c>
      <c r="D1252">
        <v>26</v>
      </c>
      <c r="E1252">
        <v>26</v>
      </c>
      <c r="F1252">
        <v>6.9</v>
      </c>
      <c r="G1252">
        <v>7.7</v>
      </c>
      <c r="H1252">
        <v>7.6</v>
      </c>
      <c r="I1252">
        <v>8.1</v>
      </c>
      <c r="J1252">
        <v>585</v>
      </c>
      <c r="K1252">
        <v>998</v>
      </c>
      <c r="L1252">
        <v>2.4</v>
      </c>
      <c r="M1252">
        <v>2.9</v>
      </c>
      <c r="N1252">
        <v>1.26</v>
      </c>
      <c r="O1252">
        <v>1.92</v>
      </c>
      <c r="P1252">
        <v>3</v>
      </c>
      <c r="Q1252">
        <v>28</v>
      </c>
      <c r="R1252">
        <v>39</v>
      </c>
      <c r="S1252">
        <v>470</v>
      </c>
      <c r="T1252">
        <v>2</v>
      </c>
      <c r="U1252">
        <v>3</v>
      </c>
      <c r="V1252">
        <f>River_data[[#This Row],[Dissolved Oxygen Min]]*River_data[[#This Row],[Dissolved Oxygen Max]]/2</f>
        <v>26.565000000000001</v>
      </c>
      <c r="W1252">
        <f>River_data[[#This Row],[BOD Min]]*River_data[[#This Row],[BOD Max]]/2</f>
        <v>3.48</v>
      </c>
      <c r="X1252">
        <f>AVERAGE(River_data[[#This Row],[pH Max]]-River_data[[#This Row],[pH Min]])</f>
        <v>0.5</v>
      </c>
    </row>
    <row r="1253" spans="1:24" x14ac:dyDescent="0.3">
      <c r="A1253">
        <v>4251</v>
      </c>
      <c r="B1253" s="1" t="s">
        <v>1277</v>
      </c>
      <c r="C1253" s="1" t="s">
        <v>1098</v>
      </c>
      <c r="D1253">
        <v>24.8</v>
      </c>
      <c r="E1253">
        <v>30.7</v>
      </c>
      <c r="F1253">
        <v>4.5999999999999996</v>
      </c>
      <c r="G1253">
        <v>6.1</v>
      </c>
      <c r="H1253">
        <v>7.2</v>
      </c>
      <c r="I1253">
        <v>8.3000000000000007</v>
      </c>
      <c r="J1253">
        <v>343</v>
      </c>
      <c r="K1253">
        <v>802</v>
      </c>
      <c r="L1253">
        <v>1</v>
      </c>
      <c r="M1253">
        <v>3.2</v>
      </c>
      <c r="N1253">
        <v>0.92</v>
      </c>
      <c r="O1253">
        <v>3.4</v>
      </c>
      <c r="P1253">
        <v>2</v>
      </c>
      <c r="Q1253">
        <v>2</v>
      </c>
      <c r="R1253">
        <v>23</v>
      </c>
      <c r="S1253">
        <v>49</v>
      </c>
      <c r="T1253">
        <v>2</v>
      </c>
      <c r="U1253">
        <v>2</v>
      </c>
      <c r="V1253">
        <f>River_data[[#This Row],[Dissolved Oxygen Min]]*River_data[[#This Row],[Dissolved Oxygen Max]]/2</f>
        <v>14.029999999999998</v>
      </c>
      <c r="W1253">
        <f>River_data[[#This Row],[BOD Min]]*River_data[[#This Row],[BOD Max]]/2</f>
        <v>1.6</v>
      </c>
      <c r="X1253">
        <f>AVERAGE(River_data[[#This Row],[pH Max]]-River_data[[#This Row],[pH Min]])</f>
        <v>1.1000000000000005</v>
      </c>
    </row>
    <row r="1254" spans="1:24" x14ac:dyDescent="0.3">
      <c r="A1254">
        <v>2680</v>
      </c>
      <c r="B1254" s="1" t="s">
        <v>1278</v>
      </c>
      <c r="C1254" s="1" t="s">
        <v>938</v>
      </c>
      <c r="D1254">
        <v>25</v>
      </c>
      <c r="E1254">
        <v>28</v>
      </c>
      <c r="F1254">
        <v>5.8</v>
      </c>
      <c r="G1254">
        <v>6.6</v>
      </c>
      <c r="H1254">
        <v>7.3</v>
      </c>
      <c r="I1254">
        <v>8</v>
      </c>
      <c r="J1254">
        <v>59</v>
      </c>
      <c r="K1254">
        <v>155</v>
      </c>
      <c r="L1254">
        <v>2.2000000000000002</v>
      </c>
      <c r="M1254">
        <v>3.2</v>
      </c>
      <c r="N1254">
        <v>0.3</v>
      </c>
      <c r="O1254">
        <v>1.22</v>
      </c>
      <c r="P1254">
        <v>4</v>
      </c>
      <c r="Q1254">
        <v>40</v>
      </c>
      <c r="R1254">
        <v>80</v>
      </c>
      <c r="S1254">
        <v>350</v>
      </c>
      <c r="T1254">
        <v>2</v>
      </c>
      <c r="U1254">
        <v>9</v>
      </c>
      <c r="V1254">
        <f>River_data[[#This Row],[Dissolved Oxygen Min]]*River_data[[#This Row],[Dissolved Oxygen Max]]/2</f>
        <v>19.139999999999997</v>
      </c>
      <c r="W1254">
        <f>River_data[[#This Row],[BOD Min]]*River_data[[#This Row],[BOD Max]]/2</f>
        <v>3.5200000000000005</v>
      </c>
      <c r="X1254">
        <f>AVERAGE(River_data[[#This Row],[pH Max]]-River_data[[#This Row],[pH Min]])</f>
        <v>0.70000000000000018</v>
      </c>
    </row>
    <row r="1255" spans="1:24" x14ac:dyDescent="0.3">
      <c r="A1255">
        <v>2679</v>
      </c>
      <c r="B1255" s="1" t="s">
        <v>1279</v>
      </c>
      <c r="C1255" s="1" t="s">
        <v>938</v>
      </c>
      <c r="D1255">
        <v>27.5</v>
      </c>
      <c r="E1255">
        <v>29</v>
      </c>
      <c r="F1255">
        <v>2.5</v>
      </c>
      <c r="G1255">
        <v>3.9</v>
      </c>
      <c r="H1255">
        <v>6.8</v>
      </c>
      <c r="I1255">
        <v>7.8</v>
      </c>
      <c r="J1255">
        <v>394</v>
      </c>
      <c r="K1255">
        <v>589</v>
      </c>
      <c r="L1255">
        <v>21.3</v>
      </c>
      <c r="M1255">
        <v>29</v>
      </c>
      <c r="N1255">
        <v>0.3</v>
      </c>
      <c r="O1255">
        <v>3.12</v>
      </c>
      <c r="P1255">
        <v>25</v>
      </c>
      <c r="Q1255">
        <v>550</v>
      </c>
      <c r="R1255">
        <v>900</v>
      </c>
      <c r="S1255">
        <v>1800</v>
      </c>
      <c r="T1255">
        <v>9</v>
      </c>
      <c r="U1255">
        <v>50</v>
      </c>
      <c r="V1255">
        <f>River_data[[#This Row],[Dissolved Oxygen Min]]*River_data[[#This Row],[Dissolved Oxygen Max]]/2</f>
        <v>4.875</v>
      </c>
      <c r="W1255">
        <f>River_data[[#This Row],[BOD Min]]*River_data[[#This Row],[BOD Max]]/2</f>
        <v>308.85000000000002</v>
      </c>
      <c r="X1255">
        <f>AVERAGE(River_data[[#This Row],[pH Max]]-River_data[[#This Row],[pH Min]])</f>
        <v>1</v>
      </c>
    </row>
    <row r="1256" spans="1:24" x14ac:dyDescent="0.3">
      <c r="A1256">
        <v>2678</v>
      </c>
      <c r="B1256" s="1" t="s">
        <v>1280</v>
      </c>
      <c r="C1256" s="1" t="s">
        <v>938</v>
      </c>
      <c r="D1256">
        <v>27.5</v>
      </c>
      <c r="E1256">
        <v>29</v>
      </c>
      <c r="F1256">
        <v>2.7</v>
      </c>
      <c r="G1256">
        <v>4.0999999999999996</v>
      </c>
      <c r="H1256">
        <v>6.9</v>
      </c>
      <c r="I1256">
        <v>7.8</v>
      </c>
      <c r="J1256">
        <v>433</v>
      </c>
      <c r="K1256">
        <v>568</v>
      </c>
      <c r="L1256">
        <v>21</v>
      </c>
      <c r="M1256">
        <v>29</v>
      </c>
      <c r="N1256">
        <v>0.3</v>
      </c>
      <c r="O1256">
        <v>3.05</v>
      </c>
      <c r="P1256">
        <v>20</v>
      </c>
      <c r="Q1256">
        <v>350</v>
      </c>
      <c r="R1256">
        <v>900</v>
      </c>
      <c r="S1256">
        <v>1800</v>
      </c>
      <c r="T1256">
        <v>9</v>
      </c>
      <c r="U1256">
        <v>55</v>
      </c>
      <c r="V1256">
        <f>River_data[[#This Row],[Dissolved Oxygen Min]]*River_data[[#This Row],[Dissolved Oxygen Max]]/2</f>
        <v>5.5350000000000001</v>
      </c>
      <c r="W1256">
        <f>River_data[[#This Row],[BOD Min]]*River_data[[#This Row],[BOD Max]]/2</f>
        <v>304.5</v>
      </c>
      <c r="X1256">
        <f>AVERAGE(River_data[[#This Row],[pH Max]]-River_data[[#This Row],[pH Min]])</f>
        <v>0.89999999999999947</v>
      </c>
    </row>
    <row r="1257" spans="1:24" x14ac:dyDescent="0.3">
      <c r="A1257">
        <v>2191</v>
      </c>
      <c r="B1257" s="1" t="s">
        <v>1281</v>
      </c>
      <c r="C1257" s="1" t="s">
        <v>938</v>
      </c>
      <c r="D1257">
        <v>27</v>
      </c>
      <c r="E1257">
        <v>29</v>
      </c>
      <c r="F1257">
        <v>2.8</v>
      </c>
      <c r="G1257">
        <v>4.0999999999999996</v>
      </c>
      <c r="H1257">
        <v>6.9</v>
      </c>
      <c r="I1257">
        <v>7.8</v>
      </c>
      <c r="J1257">
        <v>376</v>
      </c>
      <c r="K1257">
        <v>609</v>
      </c>
      <c r="L1257">
        <v>19.8</v>
      </c>
      <c r="M1257">
        <v>30</v>
      </c>
      <c r="N1257">
        <v>0.3</v>
      </c>
      <c r="O1257">
        <v>2.5499999999999998</v>
      </c>
      <c r="P1257">
        <v>30</v>
      </c>
      <c r="Q1257">
        <v>350</v>
      </c>
      <c r="R1257">
        <v>550</v>
      </c>
      <c r="S1257">
        <v>1800</v>
      </c>
      <c r="T1257">
        <v>10</v>
      </c>
      <c r="U1257">
        <v>50</v>
      </c>
      <c r="V1257">
        <f>River_data[[#This Row],[Dissolved Oxygen Min]]*River_data[[#This Row],[Dissolved Oxygen Max]]/2</f>
        <v>5.7399999999999993</v>
      </c>
      <c r="W1257">
        <f>River_data[[#This Row],[BOD Min]]*River_data[[#This Row],[BOD Max]]/2</f>
        <v>297</v>
      </c>
      <c r="X1257">
        <f>AVERAGE(River_data[[#This Row],[pH Max]]-River_data[[#This Row],[pH Min]])</f>
        <v>0.89999999999999947</v>
      </c>
    </row>
    <row r="1258" spans="1:24" x14ac:dyDescent="0.3">
      <c r="A1258">
        <v>1178</v>
      </c>
      <c r="B1258" s="1" t="s">
        <v>1282</v>
      </c>
      <c r="C1258" s="1" t="s">
        <v>1115</v>
      </c>
      <c r="D1258">
        <v>25</v>
      </c>
      <c r="E1258">
        <v>27</v>
      </c>
      <c r="F1258">
        <v>7.1</v>
      </c>
      <c r="G1258">
        <v>7.9</v>
      </c>
      <c r="H1258">
        <v>7.5</v>
      </c>
      <c r="I1258">
        <v>8.1</v>
      </c>
      <c r="J1258">
        <v>880</v>
      </c>
      <c r="K1258">
        <v>1170</v>
      </c>
      <c r="L1258">
        <v>2.6</v>
      </c>
      <c r="M1258">
        <v>2.9</v>
      </c>
      <c r="N1258">
        <v>0.95</v>
      </c>
      <c r="O1258">
        <v>1.96</v>
      </c>
      <c r="P1258">
        <v>3</v>
      </c>
      <c r="Q1258">
        <v>28</v>
      </c>
      <c r="R1258">
        <v>39</v>
      </c>
      <c r="S1258">
        <v>470</v>
      </c>
      <c r="T1258">
        <v>2</v>
      </c>
      <c r="U1258">
        <v>4</v>
      </c>
      <c r="V1258">
        <f>River_data[[#This Row],[Dissolved Oxygen Min]]*River_data[[#This Row],[Dissolved Oxygen Max]]/2</f>
        <v>28.044999999999998</v>
      </c>
      <c r="W1258">
        <f>River_data[[#This Row],[BOD Min]]*River_data[[#This Row],[BOD Max]]/2</f>
        <v>3.77</v>
      </c>
      <c r="X1258">
        <f>AVERAGE(River_data[[#This Row],[pH Max]]-River_data[[#This Row],[pH Min]])</f>
        <v>0.59999999999999964</v>
      </c>
    </row>
    <row r="1259" spans="1:24" x14ac:dyDescent="0.3">
      <c r="A1259">
        <v>1904</v>
      </c>
      <c r="B1259" s="1" t="s">
        <v>1283</v>
      </c>
      <c r="C1259" s="1" t="s">
        <v>938</v>
      </c>
      <c r="D1259">
        <v>24</v>
      </c>
      <c r="E1259">
        <v>27</v>
      </c>
      <c r="F1259">
        <v>5.3</v>
      </c>
      <c r="G1259">
        <v>7.8</v>
      </c>
      <c r="H1259">
        <v>7.4</v>
      </c>
      <c r="I1259">
        <v>8.1</v>
      </c>
      <c r="J1259">
        <v>85</v>
      </c>
      <c r="K1259">
        <v>192</v>
      </c>
      <c r="L1259">
        <v>1.8</v>
      </c>
      <c r="M1259">
        <v>3</v>
      </c>
      <c r="N1259">
        <v>0.39</v>
      </c>
      <c r="O1259">
        <v>2.59</v>
      </c>
      <c r="P1259">
        <v>6</v>
      </c>
      <c r="Q1259">
        <v>11</v>
      </c>
      <c r="R1259">
        <v>24</v>
      </c>
      <c r="S1259">
        <v>39</v>
      </c>
      <c r="T1259">
        <v>2</v>
      </c>
      <c r="U1259">
        <v>2</v>
      </c>
      <c r="V1259">
        <f>River_data[[#This Row],[Dissolved Oxygen Min]]*River_data[[#This Row],[Dissolved Oxygen Max]]/2</f>
        <v>20.669999999999998</v>
      </c>
      <c r="W1259">
        <f>River_data[[#This Row],[BOD Min]]*River_data[[#This Row],[BOD Max]]/2</f>
        <v>2.7</v>
      </c>
      <c r="X1259">
        <f>AVERAGE(River_data[[#This Row],[pH Max]]-River_data[[#This Row],[pH Min]])</f>
        <v>0.69999999999999929</v>
      </c>
    </row>
    <row r="1260" spans="1:24" x14ac:dyDescent="0.3">
      <c r="A1260">
        <v>1905</v>
      </c>
      <c r="B1260" s="1" t="s">
        <v>1284</v>
      </c>
      <c r="C1260" s="1" t="s">
        <v>938</v>
      </c>
      <c r="D1260">
        <v>24</v>
      </c>
      <c r="E1260">
        <v>27</v>
      </c>
      <c r="F1260">
        <v>5.6</v>
      </c>
      <c r="G1260">
        <v>7.6</v>
      </c>
      <c r="H1260">
        <v>7.4</v>
      </c>
      <c r="I1260">
        <v>8.5</v>
      </c>
      <c r="J1260">
        <v>83</v>
      </c>
      <c r="K1260">
        <v>223</v>
      </c>
      <c r="L1260">
        <v>1.8</v>
      </c>
      <c r="M1260">
        <v>3</v>
      </c>
      <c r="N1260">
        <v>0.36</v>
      </c>
      <c r="O1260">
        <v>2.5299999999999998</v>
      </c>
      <c r="P1260">
        <v>6</v>
      </c>
      <c r="Q1260">
        <v>12</v>
      </c>
      <c r="R1260">
        <v>22</v>
      </c>
      <c r="S1260">
        <v>47</v>
      </c>
      <c r="T1260">
        <v>2</v>
      </c>
      <c r="U1260">
        <v>2</v>
      </c>
      <c r="V1260">
        <f>River_data[[#This Row],[Dissolved Oxygen Min]]*River_data[[#This Row],[Dissolved Oxygen Max]]/2</f>
        <v>21.279999999999998</v>
      </c>
      <c r="W1260">
        <f>River_data[[#This Row],[BOD Min]]*River_data[[#This Row],[BOD Max]]/2</f>
        <v>2.7</v>
      </c>
      <c r="X1260">
        <f>AVERAGE(River_data[[#This Row],[pH Max]]-River_data[[#This Row],[pH Min]])</f>
        <v>1.0999999999999996</v>
      </c>
    </row>
    <row r="1261" spans="1:24" x14ac:dyDescent="0.3">
      <c r="A1261">
        <v>1311</v>
      </c>
      <c r="B1261" s="1" t="s">
        <v>1285</v>
      </c>
      <c r="C1261" s="1" t="s">
        <v>938</v>
      </c>
      <c r="D1261">
        <v>24</v>
      </c>
      <c r="E1261">
        <v>28</v>
      </c>
      <c r="F1261">
        <v>5.6</v>
      </c>
      <c r="G1261">
        <v>7.8</v>
      </c>
      <c r="H1261">
        <v>7.3</v>
      </c>
      <c r="I1261">
        <v>8.6</v>
      </c>
      <c r="J1261">
        <v>84</v>
      </c>
      <c r="K1261">
        <v>734</v>
      </c>
      <c r="L1261">
        <v>1.8</v>
      </c>
      <c r="M1261">
        <v>3.8</v>
      </c>
      <c r="N1261">
        <v>0.82</v>
      </c>
      <c r="O1261">
        <v>3.43</v>
      </c>
      <c r="P1261">
        <v>6</v>
      </c>
      <c r="Q1261">
        <v>10</v>
      </c>
      <c r="R1261">
        <v>25</v>
      </c>
      <c r="S1261">
        <v>47</v>
      </c>
      <c r="T1261">
        <v>2</v>
      </c>
      <c r="U1261">
        <v>2</v>
      </c>
      <c r="V1261">
        <f>River_data[[#This Row],[Dissolved Oxygen Min]]*River_data[[#This Row],[Dissolved Oxygen Max]]/2</f>
        <v>21.84</v>
      </c>
      <c r="W1261">
        <f>River_data[[#This Row],[BOD Min]]*River_data[[#This Row],[BOD Max]]/2</f>
        <v>3.42</v>
      </c>
      <c r="X1261">
        <f>AVERAGE(River_data[[#This Row],[pH Max]]-River_data[[#This Row],[pH Min]])</f>
        <v>1.2999999999999998</v>
      </c>
    </row>
    <row r="1262" spans="1:24" x14ac:dyDescent="0.3">
      <c r="A1262">
        <v>2163</v>
      </c>
      <c r="B1262" s="1" t="s">
        <v>1286</v>
      </c>
      <c r="C1262" s="1" t="s">
        <v>938</v>
      </c>
      <c r="D1262">
        <v>24</v>
      </c>
      <c r="E1262">
        <v>28</v>
      </c>
      <c r="F1262">
        <v>5.4</v>
      </c>
      <c r="G1262">
        <v>7.7</v>
      </c>
      <c r="H1262">
        <v>7.6</v>
      </c>
      <c r="I1262">
        <v>8.5</v>
      </c>
      <c r="J1262">
        <v>155</v>
      </c>
      <c r="K1262">
        <v>1029</v>
      </c>
      <c r="L1262">
        <v>1.8</v>
      </c>
      <c r="M1262">
        <v>3</v>
      </c>
      <c r="N1262">
        <v>0.66</v>
      </c>
      <c r="O1262">
        <v>3.26</v>
      </c>
      <c r="P1262">
        <v>4</v>
      </c>
      <c r="Q1262">
        <v>9</v>
      </c>
      <c r="R1262">
        <v>21</v>
      </c>
      <c r="S1262">
        <v>47</v>
      </c>
      <c r="T1262">
        <v>2</v>
      </c>
      <c r="U1262">
        <v>2</v>
      </c>
      <c r="V1262">
        <f>River_data[[#This Row],[Dissolved Oxygen Min]]*River_data[[#This Row],[Dissolved Oxygen Max]]/2</f>
        <v>20.790000000000003</v>
      </c>
      <c r="W1262">
        <f>River_data[[#This Row],[BOD Min]]*River_data[[#This Row],[BOD Max]]/2</f>
        <v>2.7</v>
      </c>
      <c r="X1262">
        <f>AVERAGE(River_data[[#This Row],[pH Max]]-River_data[[#This Row],[pH Min]])</f>
        <v>0.90000000000000036</v>
      </c>
    </row>
    <row r="1263" spans="1:24" x14ac:dyDescent="0.3">
      <c r="A1263">
        <v>2196</v>
      </c>
      <c r="B1263" s="1" t="s">
        <v>1287</v>
      </c>
      <c r="C1263" s="1" t="s">
        <v>938</v>
      </c>
      <c r="D1263">
        <v>26</v>
      </c>
      <c r="E1263">
        <v>28</v>
      </c>
      <c r="F1263">
        <v>3.1</v>
      </c>
      <c r="G1263">
        <v>4.4000000000000004</v>
      </c>
      <c r="H1263">
        <v>7</v>
      </c>
      <c r="I1263">
        <v>7.9</v>
      </c>
      <c r="J1263">
        <v>223</v>
      </c>
      <c r="K1263">
        <v>705</v>
      </c>
      <c r="L1263">
        <v>12</v>
      </c>
      <c r="M1263">
        <v>27</v>
      </c>
      <c r="N1263">
        <v>0.3</v>
      </c>
      <c r="O1263">
        <v>4.9800000000000004</v>
      </c>
      <c r="P1263">
        <v>12</v>
      </c>
      <c r="Q1263">
        <v>275</v>
      </c>
      <c r="R1263">
        <v>350</v>
      </c>
      <c r="S1263">
        <v>1600</v>
      </c>
      <c r="T1263">
        <v>6</v>
      </c>
      <c r="U1263">
        <v>30</v>
      </c>
      <c r="V1263">
        <f>River_data[[#This Row],[Dissolved Oxygen Min]]*River_data[[#This Row],[Dissolved Oxygen Max]]/2</f>
        <v>6.8200000000000012</v>
      </c>
      <c r="W1263">
        <f>River_data[[#This Row],[BOD Min]]*River_data[[#This Row],[BOD Max]]/2</f>
        <v>162</v>
      </c>
      <c r="X1263">
        <f>AVERAGE(River_data[[#This Row],[pH Max]]-River_data[[#This Row],[pH Min]])</f>
        <v>0.90000000000000036</v>
      </c>
    </row>
    <row r="1264" spans="1:24" x14ac:dyDescent="0.3">
      <c r="A1264">
        <v>2692</v>
      </c>
      <c r="B1264" s="1" t="s">
        <v>1288</v>
      </c>
      <c r="C1264" s="1" t="s">
        <v>938</v>
      </c>
      <c r="D1264">
        <v>26</v>
      </c>
      <c r="E1264">
        <v>28</v>
      </c>
      <c r="F1264">
        <v>5.3</v>
      </c>
      <c r="G1264">
        <v>6.5</v>
      </c>
      <c r="H1264">
        <v>7</v>
      </c>
      <c r="I1264">
        <v>8</v>
      </c>
      <c r="J1264">
        <v>114</v>
      </c>
      <c r="K1264">
        <v>276</v>
      </c>
      <c r="L1264">
        <v>2.4</v>
      </c>
      <c r="M1264">
        <v>4.8</v>
      </c>
      <c r="N1264">
        <v>0.3</v>
      </c>
      <c r="O1264">
        <v>1.42</v>
      </c>
      <c r="P1264">
        <v>4</v>
      </c>
      <c r="Q1264">
        <v>30</v>
      </c>
      <c r="R1264">
        <v>85</v>
      </c>
      <c r="S1264">
        <v>275</v>
      </c>
      <c r="T1264">
        <v>2</v>
      </c>
      <c r="U1264">
        <v>17</v>
      </c>
      <c r="V1264">
        <f>River_data[[#This Row],[Dissolved Oxygen Min]]*River_data[[#This Row],[Dissolved Oxygen Max]]/2</f>
        <v>17.224999999999998</v>
      </c>
      <c r="W1264">
        <f>River_data[[#This Row],[BOD Min]]*River_data[[#This Row],[BOD Max]]/2</f>
        <v>5.76</v>
      </c>
      <c r="X1264">
        <f>AVERAGE(River_data[[#This Row],[pH Max]]-River_data[[#This Row],[pH Min]])</f>
        <v>1</v>
      </c>
    </row>
    <row r="1265" spans="1:24" x14ac:dyDescent="0.3">
      <c r="A1265">
        <v>2693</v>
      </c>
      <c r="B1265" s="1" t="s">
        <v>1289</v>
      </c>
      <c r="C1265" s="1" t="s">
        <v>938</v>
      </c>
      <c r="D1265">
        <v>26</v>
      </c>
      <c r="E1265">
        <v>28</v>
      </c>
      <c r="F1265">
        <v>4.2</v>
      </c>
      <c r="G1265">
        <v>5.8</v>
      </c>
      <c r="H1265">
        <v>6.9</v>
      </c>
      <c r="I1265">
        <v>8</v>
      </c>
      <c r="J1265">
        <v>190</v>
      </c>
      <c r="K1265">
        <v>594</v>
      </c>
      <c r="L1265">
        <v>4.8</v>
      </c>
      <c r="M1265">
        <v>13</v>
      </c>
      <c r="N1265">
        <v>0.3</v>
      </c>
      <c r="O1265">
        <v>4.42</v>
      </c>
      <c r="P1265">
        <v>11</v>
      </c>
      <c r="Q1265">
        <v>95</v>
      </c>
      <c r="R1265">
        <v>350</v>
      </c>
      <c r="S1265">
        <v>1800</v>
      </c>
      <c r="T1265">
        <v>4</v>
      </c>
      <c r="U1265">
        <v>35</v>
      </c>
      <c r="V1265">
        <f>River_data[[#This Row],[Dissolved Oxygen Min]]*River_data[[#This Row],[Dissolved Oxygen Max]]/2</f>
        <v>12.18</v>
      </c>
      <c r="W1265">
        <f>River_data[[#This Row],[BOD Min]]*River_data[[#This Row],[BOD Max]]/2</f>
        <v>31.2</v>
      </c>
      <c r="X1265">
        <f>AVERAGE(River_data[[#This Row],[pH Max]]-River_data[[#This Row],[pH Min]])</f>
        <v>1.0999999999999996</v>
      </c>
    </row>
    <row r="1266" spans="1:24" x14ac:dyDescent="0.3">
      <c r="A1266">
        <v>2694</v>
      </c>
      <c r="B1266" s="1" t="s">
        <v>1290</v>
      </c>
      <c r="C1266" s="1" t="s">
        <v>938</v>
      </c>
      <c r="D1266">
        <v>26</v>
      </c>
      <c r="E1266">
        <v>28</v>
      </c>
      <c r="F1266">
        <v>3.2</v>
      </c>
      <c r="G1266">
        <v>4.9000000000000004</v>
      </c>
      <c r="H1266">
        <v>7</v>
      </c>
      <c r="I1266">
        <v>7.9</v>
      </c>
      <c r="J1266">
        <v>245</v>
      </c>
      <c r="K1266">
        <v>830</v>
      </c>
      <c r="L1266">
        <v>9</v>
      </c>
      <c r="M1266">
        <v>31</v>
      </c>
      <c r="N1266">
        <v>0.3</v>
      </c>
      <c r="O1266">
        <v>4.3899999999999997</v>
      </c>
      <c r="P1266">
        <v>14</v>
      </c>
      <c r="Q1266">
        <v>550</v>
      </c>
      <c r="R1266">
        <v>425</v>
      </c>
      <c r="S1266">
        <v>1800</v>
      </c>
      <c r="T1266">
        <v>6</v>
      </c>
      <c r="U1266">
        <v>50</v>
      </c>
      <c r="V1266">
        <f>River_data[[#This Row],[Dissolved Oxygen Min]]*River_data[[#This Row],[Dissolved Oxygen Max]]/2</f>
        <v>7.8400000000000007</v>
      </c>
      <c r="W1266">
        <f>River_data[[#This Row],[BOD Min]]*River_data[[#This Row],[BOD Max]]/2</f>
        <v>139.5</v>
      </c>
      <c r="X1266">
        <f>AVERAGE(River_data[[#This Row],[pH Max]]-River_data[[#This Row],[pH Min]])</f>
        <v>0.90000000000000036</v>
      </c>
    </row>
    <row r="1267" spans="1:24" x14ac:dyDescent="0.3">
      <c r="A1267">
        <v>2690</v>
      </c>
      <c r="B1267" s="1" t="s">
        <v>1291</v>
      </c>
      <c r="C1267" s="1" t="s">
        <v>938</v>
      </c>
      <c r="D1267">
        <v>26</v>
      </c>
      <c r="E1267">
        <v>28</v>
      </c>
      <c r="F1267">
        <v>3.7</v>
      </c>
      <c r="G1267">
        <v>4.4000000000000004</v>
      </c>
      <c r="H1267">
        <v>7</v>
      </c>
      <c r="I1267">
        <v>7.8</v>
      </c>
      <c r="J1267">
        <v>243</v>
      </c>
      <c r="K1267">
        <v>679</v>
      </c>
      <c r="L1267">
        <v>13</v>
      </c>
      <c r="M1267">
        <v>24</v>
      </c>
      <c r="N1267">
        <v>0.3</v>
      </c>
      <c r="O1267">
        <v>3.72</v>
      </c>
      <c r="P1267">
        <v>12</v>
      </c>
      <c r="Q1267">
        <v>195</v>
      </c>
      <c r="R1267">
        <v>425</v>
      </c>
      <c r="S1267">
        <v>1800</v>
      </c>
      <c r="T1267">
        <v>8</v>
      </c>
      <c r="U1267">
        <v>35</v>
      </c>
      <c r="V1267">
        <f>River_data[[#This Row],[Dissolved Oxygen Min]]*River_data[[#This Row],[Dissolved Oxygen Max]]/2</f>
        <v>8.14</v>
      </c>
      <c r="W1267">
        <f>River_data[[#This Row],[BOD Min]]*River_data[[#This Row],[BOD Max]]/2</f>
        <v>156</v>
      </c>
      <c r="X1267">
        <f>AVERAGE(River_data[[#This Row],[pH Max]]-River_data[[#This Row],[pH Min]])</f>
        <v>0.79999999999999982</v>
      </c>
    </row>
    <row r="1268" spans="1:24" x14ac:dyDescent="0.3">
      <c r="A1268">
        <v>2691</v>
      </c>
      <c r="B1268" s="1" t="s">
        <v>1292</v>
      </c>
      <c r="C1268" s="1" t="s">
        <v>938</v>
      </c>
      <c r="D1268">
        <v>25</v>
      </c>
      <c r="E1268">
        <v>28</v>
      </c>
      <c r="F1268">
        <v>2.9</v>
      </c>
      <c r="G1268">
        <v>4.3</v>
      </c>
      <c r="H1268">
        <v>7</v>
      </c>
      <c r="I1268">
        <v>7.9</v>
      </c>
      <c r="J1268">
        <v>229</v>
      </c>
      <c r="K1268">
        <v>754</v>
      </c>
      <c r="L1268">
        <v>13.5</v>
      </c>
      <c r="M1268">
        <v>28</v>
      </c>
      <c r="N1268">
        <v>0.3</v>
      </c>
      <c r="O1268">
        <v>3.08</v>
      </c>
      <c r="P1268">
        <v>14</v>
      </c>
      <c r="Q1268">
        <v>195</v>
      </c>
      <c r="R1268">
        <v>540</v>
      </c>
      <c r="S1268">
        <v>1800</v>
      </c>
      <c r="T1268">
        <v>7</v>
      </c>
      <c r="U1268">
        <v>45</v>
      </c>
      <c r="V1268">
        <f>River_data[[#This Row],[Dissolved Oxygen Min]]*River_data[[#This Row],[Dissolved Oxygen Max]]/2</f>
        <v>6.2349999999999994</v>
      </c>
      <c r="W1268">
        <f>River_data[[#This Row],[BOD Min]]*River_data[[#This Row],[BOD Max]]/2</f>
        <v>189</v>
      </c>
      <c r="X1268">
        <f>AVERAGE(River_data[[#This Row],[pH Max]]-River_data[[#This Row],[pH Min]])</f>
        <v>0.90000000000000036</v>
      </c>
    </row>
    <row r="1269" spans="1:24" x14ac:dyDescent="0.3">
      <c r="A1269">
        <v>2705</v>
      </c>
      <c r="B1269" s="1" t="s">
        <v>1293</v>
      </c>
      <c r="C1269" s="1" t="s">
        <v>938</v>
      </c>
      <c r="D1269">
        <v>28</v>
      </c>
      <c r="E1269">
        <v>35</v>
      </c>
      <c r="F1269">
        <v>4.4000000000000004</v>
      </c>
      <c r="G1269">
        <v>5.6</v>
      </c>
      <c r="H1269">
        <v>7.7</v>
      </c>
      <c r="I1269">
        <v>8.6</v>
      </c>
      <c r="J1269">
        <v>755</v>
      </c>
      <c r="K1269">
        <v>1826</v>
      </c>
      <c r="L1269">
        <v>4.4000000000000004</v>
      </c>
      <c r="M1269">
        <v>10.9</v>
      </c>
      <c r="N1269">
        <v>1.08</v>
      </c>
      <c r="O1269">
        <v>1.89</v>
      </c>
      <c r="P1269">
        <v>9</v>
      </c>
      <c r="Q1269">
        <v>25</v>
      </c>
      <c r="R1269">
        <v>115</v>
      </c>
      <c r="S1269">
        <v>275</v>
      </c>
      <c r="T1269">
        <v>4</v>
      </c>
      <c r="U1269">
        <v>9</v>
      </c>
      <c r="V1269">
        <f>River_data[[#This Row],[Dissolved Oxygen Min]]*River_data[[#This Row],[Dissolved Oxygen Max]]/2</f>
        <v>12.32</v>
      </c>
      <c r="W1269">
        <f>River_data[[#This Row],[BOD Min]]*River_data[[#This Row],[BOD Max]]/2</f>
        <v>23.980000000000004</v>
      </c>
      <c r="X1269">
        <f>AVERAGE(River_data[[#This Row],[pH Max]]-River_data[[#This Row],[pH Min]])</f>
        <v>0.89999999999999947</v>
      </c>
    </row>
    <row r="1270" spans="1:24" x14ac:dyDescent="0.3">
      <c r="A1270">
        <v>1168</v>
      </c>
      <c r="B1270" s="1" t="s">
        <v>1294</v>
      </c>
      <c r="C1270" s="1" t="s">
        <v>1138</v>
      </c>
      <c r="D1270">
        <v>26</v>
      </c>
      <c r="E1270">
        <v>28</v>
      </c>
      <c r="F1270">
        <v>0.5</v>
      </c>
      <c r="G1270">
        <v>9.3000000000000007</v>
      </c>
      <c r="H1270">
        <v>6.5</v>
      </c>
      <c r="I1270">
        <v>7.7</v>
      </c>
      <c r="J1270">
        <v>88</v>
      </c>
      <c r="K1270">
        <v>360</v>
      </c>
      <c r="L1270">
        <v>1.2</v>
      </c>
      <c r="M1270">
        <v>8</v>
      </c>
      <c r="N1270">
        <v>0.3</v>
      </c>
      <c r="O1270">
        <v>2.82</v>
      </c>
      <c r="P1270">
        <v>110</v>
      </c>
      <c r="Q1270">
        <v>940</v>
      </c>
      <c r="R1270">
        <v>1400</v>
      </c>
      <c r="S1270">
        <v>3500</v>
      </c>
      <c r="V1270">
        <f>River_data[[#This Row],[Dissolved Oxygen Min]]*River_data[[#This Row],[Dissolved Oxygen Max]]/2</f>
        <v>2.3250000000000002</v>
      </c>
      <c r="W1270">
        <f>River_data[[#This Row],[BOD Min]]*River_data[[#This Row],[BOD Max]]/2</f>
        <v>4.8</v>
      </c>
      <c r="X1270">
        <f>AVERAGE(River_data[[#This Row],[pH Max]]-River_data[[#This Row],[pH Min]])</f>
        <v>1.2000000000000002</v>
      </c>
    </row>
    <row r="1271" spans="1:24" x14ac:dyDescent="0.3">
      <c r="A1271">
        <v>4106</v>
      </c>
      <c r="B1271" s="1" t="s">
        <v>1295</v>
      </c>
      <c r="C1271" s="1" t="s">
        <v>1138</v>
      </c>
      <c r="D1271">
        <v>25</v>
      </c>
      <c r="E1271">
        <v>28</v>
      </c>
      <c r="F1271">
        <v>5</v>
      </c>
      <c r="G1271">
        <v>9.6999999999999993</v>
      </c>
      <c r="H1271">
        <v>6.5</v>
      </c>
      <c r="I1271">
        <v>8.1</v>
      </c>
      <c r="J1271">
        <v>66</v>
      </c>
      <c r="K1271">
        <v>220</v>
      </c>
      <c r="L1271">
        <v>1</v>
      </c>
      <c r="M1271">
        <v>2.5</v>
      </c>
      <c r="N1271">
        <v>0.3</v>
      </c>
      <c r="O1271">
        <v>0.92</v>
      </c>
      <c r="P1271">
        <v>17</v>
      </c>
      <c r="Q1271">
        <v>46</v>
      </c>
      <c r="R1271">
        <v>210</v>
      </c>
      <c r="S1271">
        <v>540</v>
      </c>
      <c r="V1271">
        <f>River_data[[#This Row],[Dissolved Oxygen Min]]*River_data[[#This Row],[Dissolved Oxygen Max]]/2</f>
        <v>24.25</v>
      </c>
      <c r="W1271">
        <f>River_data[[#This Row],[BOD Min]]*River_data[[#This Row],[BOD Max]]/2</f>
        <v>1.25</v>
      </c>
      <c r="X1271">
        <f>AVERAGE(River_data[[#This Row],[pH Max]]-River_data[[#This Row],[pH Min]])</f>
        <v>1.5999999999999996</v>
      </c>
    </row>
    <row r="1272" spans="1:24" x14ac:dyDescent="0.3">
      <c r="A1272">
        <v>1896</v>
      </c>
      <c r="B1272" s="1" t="s">
        <v>1296</v>
      </c>
      <c r="C1272" s="1" t="s">
        <v>1138</v>
      </c>
      <c r="D1272">
        <v>25</v>
      </c>
      <c r="E1272">
        <v>28</v>
      </c>
      <c r="F1272">
        <v>6.3</v>
      </c>
      <c r="G1272">
        <v>8.1999999999999993</v>
      </c>
      <c r="H1272">
        <v>6.8</v>
      </c>
      <c r="I1272">
        <v>8.1</v>
      </c>
      <c r="J1272">
        <v>100</v>
      </c>
      <c r="K1272">
        <v>193</v>
      </c>
      <c r="L1272">
        <v>1</v>
      </c>
      <c r="M1272">
        <v>3</v>
      </c>
      <c r="N1272">
        <v>0.3</v>
      </c>
      <c r="O1272">
        <v>1.1000000000000001</v>
      </c>
      <c r="P1272">
        <v>4</v>
      </c>
      <c r="Q1272">
        <v>43</v>
      </c>
      <c r="R1272">
        <v>220</v>
      </c>
      <c r="S1272">
        <v>540</v>
      </c>
      <c r="V1272">
        <f>River_data[[#This Row],[Dissolved Oxygen Min]]*River_data[[#This Row],[Dissolved Oxygen Max]]/2</f>
        <v>25.83</v>
      </c>
      <c r="W1272">
        <f>River_data[[#This Row],[BOD Min]]*River_data[[#This Row],[BOD Max]]/2</f>
        <v>1.5</v>
      </c>
      <c r="X1272">
        <f>AVERAGE(River_data[[#This Row],[pH Max]]-River_data[[#This Row],[pH Min]])</f>
        <v>1.2999999999999998</v>
      </c>
    </row>
    <row r="1273" spans="1:24" x14ac:dyDescent="0.3">
      <c r="A1273">
        <v>38</v>
      </c>
      <c r="B1273" s="1" t="s">
        <v>1297</v>
      </c>
      <c r="C1273" s="1" t="s">
        <v>1138</v>
      </c>
      <c r="D1273">
        <v>25</v>
      </c>
      <c r="E1273">
        <v>30</v>
      </c>
      <c r="F1273">
        <v>7</v>
      </c>
      <c r="G1273">
        <v>7.6</v>
      </c>
      <c r="H1273">
        <v>7.4</v>
      </c>
      <c r="I1273">
        <v>8.5</v>
      </c>
      <c r="J1273">
        <v>92</v>
      </c>
      <c r="K1273">
        <v>350</v>
      </c>
      <c r="L1273">
        <v>1</v>
      </c>
      <c r="M1273">
        <v>2.8</v>
      </c>
      <c r="N1273">
        <v>0.3</v>
      </c>
      <c r="O1273">
        <v>1.2</v>
      </c>
      <c r="P1273">
        <v>17</v>
      </c>
      <c r="Q1273">
        <v>170</v>
      </c>
      <c r="R1273">
        <v>170</v>
      </c>
      <c r="S1273">
        <v>1500</v>
      </c>
      <c r="V1273">
        <f>River_data[[#This Row],[Dissolved Oxygen Min]]*River_data[[#This Row],[Dissolved Oxygen Max]]/2</f>
        <v>26.599999999999998</v>
      </c>
      <c r="W1273">
        <f>River_data[[#This Row],[BOD Min]]*River_data[[#This Row],[BOD Max]]/2</f>
        <v>1.4</v>
      </c>
      <c r="X1273">
        <f>AVERAGE(River_data[[#This Row],[pH Max]]-River_data[[#This Row],[pH Min]])</f>
        <v>1.0999999999999996</v>
      </c>
    </row>
    <row r="1274" spans="1:24" x14ac:dyDescent="0.3">
      <c r="A1274">
        <v>1029</v>
      </c>
      <c r="B1274" s="1" t="s">
        <v>1298</v>
      </c>
      <c r="C1274" s="1" t="s">
        <v>1138</v>
      </c>
      <c r="D1274">
        <v>27</v>
      </c>
      <c r="E1274">
        <v>30</v>
      </c>
      <c r="F1274">
        <v>7</v>
      </c>
      <c r="G1274">
        <v>7.6</v>
      </c>
      <c r="H1274">
        <v>7.4</v>
      </c>
      <c r="I1274">
        <v>8.5</v>
      </c>
      <c r="J1274">
        <v>123</v>
      </c>
      <c r="K1274">
        <v>750</v>
      </c>
      <c r="L1274">
        <v>1.4</v>
      </c>
      <c r="M1274">
        <v>3</v>
      </c>
      <c r="N1274">
        <v>0.3</v>
      </c>
      <c r="O1274">
        <v>1.2</v>
      </c>
      <c r="P1274">
        <v>17</v>
      </c>
      <c r="Q1274">
        <v>210</v>
      </c>
      <c r="R1274">
        <v>170</v>
      </c>
      <c r="S1274">
        <v>1700</v>
      </c>
      <c r="V1274">
        <f>River_data[[#This Row],[Dissolved Oxygen Min]]*River_data[[#This Row],[Dissolved Oxygen Max]]/2</f>
        <v>26.599999999999998</v>
      </c>
      <c r="W1274">
        <f>River_data[[#This Row],[BOD Min]]*River_data[[#This Row],[BOD Max]]/2</f>
        <v>2.0999999999999996</v>
      </c>
      <c r="X1274">
        <f>AVERAGE(River_data[[#This Row],[pH Max]]-River_data[[#This Row],[pH Min]])</f>
        <v>1.0999999999999996</v>
      </c>
    </row>
    <row r="1275" spans="1:24" x14ac:dyDescent="0.3">
      <c r="A1275">
        <v>2766</v>
      </c>
      <c r="B1275" s="1" t="s">
        <v>1299</v>
      </c>
      <c r="C1275" s="1" t="s">
        <v>1138</v>
      </c>
      <c r="D1275">
        <v>25</v>
      </c>
      <c r="E1275">
        <v>29</v>
      </c>
      <c r="F1275">
        <v>7</v>
      </c>
      <c r="G1275">
        <v>7.4</v>
      </c>
      <c r="H1275">
        <v>7.1</v>
      </c>
      <c r="I1275">
        <v>8.5</v>
      </c>
      <c r="J1275">
        <v>102</v>
      </c>
      <c r="K1275">
        <v>370</v>
      </c>
      <c r="L1275">
        <v>1.1000000000000001</v>
      </c>
      <c r="M1275">
        <v>3</v>
      </c>
      <c r="N1275">
        <v>0.3</v>
      </c>
      <c r="O1275">
        <v>1.57</v>
      </c>
      <c r="P1275">
        <v>4</v>
      </c>
      <c r="Q1275">
        <v>200</v>
      </c>
      <c r="R1275">
        <v>140</v>
      </c>
      <c r="S1275">
        <v>1700</v>
      </c>
      <c r="V1275">
        <f>River_data[[#This Row],[Dissolved Oxygen Min]]*River_data[[#This Row],[Dissolved Oxygen Max]]/2</f>
        <v>25.900000000000002</v>
      </c>
      <c r="W1275">
        <f>River_data[[#This Row],[BOD Min]]*River_data[[#This Row],[BOD Max]]/2</f>
        <v>1.6500000000000001</v>
      </c>
      <c r="X1275">
        <f>AVERAGE(River_data[[#This Row],[pH Max]]-River_data[[#This Row],[pH Min]])</f>
        <v>1.4000000000000004</v>
      </c>
    </row>
    <row r="1276" spans="1:24" x14ac:dyDescent="0.3">
      <c r="A1276">
        <v>2768</v>
      </c>
      <c r="B1276" s="1" t="s">
        <v>1300</v>
      </c>
      <c r="C1276" s="1" t="s">
        <v>1138</v>
      </c>
      <c r="D1276">
        <v>26</v>
      </c>
      <c r="E1276">
        <v>30</v>
      </c>
      <c r="F1276">
        <v>6.1</v>
      </c>
      <c r="G1276">
        <v>6.8</v>
      </c>
      <c r="H1276">
        <v>7</v>
      </c>
      <c r="I1276">
        <v>8.1999999999999993</v>
      </c>
      <c r="J1276">
        <v>250</v>
      </c>
      <c r="K1276">
        <v>1900</v>
      </c>
      <c r="L1276">
        <v>3.2</v>
      </c>
      <c r="M1276">
        <v>6.2</v>
      </c>
      <c r="N1276">
        <v>0.43</v>
      </c>
      <c r="O1276">
        <v>2.64</v>
      </c>
      <c r="P1276">
        <v>11</v>
      </c>
      <c r="Q1276">
        <v>94</v>
      </c>
      <c r="R1276">
        <v>170</v>
      </c>
      <c r="S1276">
        <v>920</v>
      </c>
      <c r="V1276">
        <f>River_data[[#This Row],[Dissolved Oxygen Min]]*River_data[[#This Row],[Dissolved Oxygen Max]]/2</f>
        <v>20.74</v>
      </c>
      <c r="W1276">
        <f>River_data[[#This Row],[BOD Min]]*River_data[[#This Row],[BOD Max]]/2</f>
        <v>9.9200000000000017</v>
      </c>
      <c r="X1276">
        <f>AVERAGE(River_data[[#This Row],[pH Max]]-River_data[[#This Row],[pH Min]])</f>
        <v>1.1999999999999993</v>
      </c>
    </row>
    <row r="1277" spans="1:24" x14ac:dyDescent="0.3">
      <c r="A1277">
        <v>2767</v>
      </c>
      <c r="B1277" s="1" t="s">
        <v>1301</v>
      </c>
      <c r="C1277" s="1" t="s">
        <v>1138</v>
      </c>
      <c r="D1277">
        <v>25</v>
      </c>
      <c r="E1277">
        <v>29</v>
      </c>
      <c r="F1277">
        <v>6.9</v>
      </c>
      <c r="G1277">
        <v>7.4</v>
      </c>
      <c r="H1277">
        <v>7.1</v>
      </c>
      <c r="I1277">
        <v>8.5</v>
      </c>
      <c r="J1277">
        <v>96</v>
      </c>
      <c r="K1277">
        <v>360</v>
      </c>
      <c r="L1277">
        <v>1.2</v>
      </c>
      <c r="M1277">
        <v>3</v>
      </c>
      <c r="N1277">
        <v>0.3</v>
      </c>
      <c r="O1277">
        <v>1.53</v>
      </c>
      <c r="P1277">
        <v>11</v>
      </c>
      <c r="Q1277">
        <v>130</v>
      </c>
      <c r="R1277">
        <v>220</v>
      </c>
      <c r="S1277">
        <v>1600</v>
      </c>
      <c r="V1277">
        <f>River_data[[#This Row],[Dissolved Oxygen Min]]*River_data[[#This Row],[Dissolved Oxygen Max]]/2</f>
        <v>25.53</v>
      </c>
      <c r="W1277">
        <f>River_data[[#This Row],[BOD Min]]*River_data[[#This Row],[BOD Max]]/2</f>
        <v>1.7999999999999998</v>
      </c>
      <c r="X1277">
        <f>AVERAGE(River_data[[#This Row],[pH Max]]-River_data[[#This Row],[pH Min]])</f>
        <v>1.4000000000000004</v>
      </c>
    </row>
    <row r="1278" spans="1:24" x14ac:dyDescent="0.3">
      <c r="A1278">
        <v>2770</v>
      </c>
      <c r="B1278" s="1" t="s">
        <v>1302</v>
      </c>
      <c r="C1278" s="1" t="s">
        <v>1138</v>
      </c>
      <c r="D1278">
        <v>26</v>
      </c>
      <c r="E1278">
        <v>30</v>
      </c>
      <c r="F1278">
        <v>6.7</v>
      </c>
      <c r="G1278">
        <v>7</v>
      </c>
      <c r="H1278">
        <v>7.1</v>
      </c>
      <c r="I1278">
        <v>8.3000000000000007</v>
      </c>
      <c r="J1278">
        <v>128</v>
      </c>
      <c r="K1278">
        <v>610</v>
      </c>
      <c r="L1278">
        <v>3.2</v>
      </c>
      <c r="M1278">
        <v>5.2</v>
      </c>
      <c r="N1278">
        <v>0.32</v>
      </c>
      <c r="O1278">
        <v>1.77</v>
      </c>
      <c r="P1278">
        <v>700</v>
      </c>
      <c r="Q1278">
        <v>4700</v>
      </c>
      <c r="R1278">
        <v>4300</v>
      </c>
      <c r="S1278">
        <v>43000</v>
      </c>
      <c r="V1278">
        <f>River_data[[#This Row],[Dissolved Oxygen Min]]*River_data[[#This Row],[Dissolved Oxygen Max]]/2</f>
        <v>23.45</v>
      </c>
      <c r="W1278">
        <f>River_data[[#This Row],[BOD Min]]*River_data[[#This Row],[BOD Max]]/2</f>
        <v>8.32</v>
      </c>
      <c r="X1278">
        <f>AVERAGE(River_data[[#This Row],[pH Max]]-River_data[[#This Row],[pH Min]])</f>
        <v>1.2000000000000011</v>
      </c>
    </row>
    <row r="1279" spans="1:24" x14ac:dyDescent="0.3">
      <c r="A1279">
        <v>2769</v>
      </c>
      <c r="B1279" s="1" t="s">
        <v>1303</v>
      </c>
      <c r="C1279" s="1" t="s">
        <v>1138</v>
      </c>
      <c r="D1279">
        <v>27</v>
      </c>
      <c r="E1279">
        <v>30</v>
      </c>
      <c r="F1279">
        <v>6.1</v>
      </c>
      <c r="G1279">
        <v>6.9</v>
      </c>
      <c r="H1279">
        <v>7</v>
      </c>
      <c r="I1279">
        <v>8.5</v>
      </c>
      <c r="J1279">
        <v>133</v>
      </c>
      <c r="K1279">
        <v>1400</v>
      </c>
      <c r="L1279">
        <v>2.2000000000000002</v>
      </c>
      <c r="M1279">
        <v>4.5999999999999996</v>
      </c>
      <c r="N1279">
        <v>0.34</v>
      </c>
      <c r="O1279">
        <v>1.44</v>
      </c>
      <c r="P1279">
        <v>13</v>
      </c>
      <c r="Q1279">
        <v>200</v>
      </c>
      <c r="R1279">
        <v>350</v>
      </c>
      <c r="S1279">
        <v>1300</v>
      </c>
      <c r="V1279">
        <f>River_data[[#This Row],[Dissolved Oxygen Min]]*River_data[[#This Row],[Dissolved Oxygen Max]]/2</f>
        <v>21.044999999999998</v>
      </c>
      <c r="W1279">
        <f>River_data[[#This Row],[BOD Min]]*River_data[[#This Row],[BOD Max]]/2</f>
        <v>5.0599999999999996</v>
      </c>
      <c r="X1279">
        <f>AVERAGE(River_data[[#This Row],[pH Max]]-River_data[[#This Row],[pH Min]])</f>
        <v>1.5</v>
      </c>
    </row>
    <row r="1280" spans="1:24" x14ac:dyDescent="0.3">
      <c r="A1280">
        <v>5591</v>
      </c>
      <c r="B1280" s="1" t="s">
        <v>1304</v>
      </c>
      <c r="C1280" s="1" t="s">
        <v>1138</v>
      </c>
      <c r="D1280">
        <v>27</v>
      </c>
      <c r="E1280">
        <v>28</v>
      </c>
      <c r="F1280">
        <v>6.7</v>
      </c>
      <c r="G1280">
        <v>7.8</v>
      </c>
      <c r="H1280">
        <v>7.1</v>
      </c>
      <c r="I1280">
        <v>8.1999999999999993</v>
      </c>
      <c r="J1280">
        <v>119</v>
      </c>
      <c r="K1280">
        <v>1070</v>
      </c>
      <c r="L1280">
        <v>2</v>
      </c>
      <c r="M1280">
        <v>4.2</v>
      </c>
      <c r="N1280">
        <v>0.94</v>
      </c>
      <c r="O1280">
        <v>1.4</v>
      </c>
      <c r="P1280">
        <v>21</v>
      </c>
      <c r="Q1280">
        <v>280</v>
      </c>
      <c r="R1280">
        <v>280</v>
      </c>
      <c r="S1280">
        <v>2800</v>
      </c>
      <c r="V1280">
        <f>River_data[[#This Row],[Dissolved Oxygen Min]]*River_data[[#This Row],[Dissolved Oxygen Max]]/2</f>
        <v>26.13</v>
      </c>
      <c r="W1280">
        <f>River_data[[#This Row],[BOD Min]]*River_data[[#This Row],[BOD Max]]/2</f>
        <v>4.2</v>
      </c>
      <c r="X1280">
        <f>AVERAGE(River_data[[#This Row],[pH Max]]-River_data[[#This Row],[pH Min]])</f>
        <v>1.0999999999999996</v>
      </c>
    </row>
    <row r="1281" spans="1:24" x14ac:dyDescent="0.3">
      <c r="A1281">
        <v>5592</v>
      </c>
      <c r="B1281" s="1" t="s">
        <v>1305</v>
      </c>
      <c r="C1281" s="1" t="s">
        <v>1138</v>
      </c>
      <c r="D1281">
        <v>27</v>
      </c>
      <c r="E1281">
        <v>30</v>
      </c>
      <c r="F1281">
        <v>6.8</v>
      </c>
      <c r="G1281">
        <v>7.4</v>
      </c>
      <c r="H1281">
        <v>7.6</v>
      </c>
      <c r="I1281">
        <v>8.4</v>
      </c>
      <c r="J1281">
        <v>116</v>
      </c>
      <c r="K1281">
        <v>900</v>
      </c>
      <c r="L1281">
        <v>1.8</v>
      </c>
      <c r="M1281">
        <v>3.4</v>
      </c>
      <c r="N1281">
        <v>0.63</v>
      </c>
      <c r="O1281">
        <v>1.34</v>
      </c>
      <c r="P1281">
        <v>17</v>
      </c>
      <c r="Q1281">
        <v>110</v>
      </c>
      <c r="R1281">
        <v>220</v>
      </c>
      <c r="S1281">
        <v>1600</v>
      </c>
      <c r="V1281">
        <f>River_data[[#This Row],[Dissolved Oxygen Min]]*River_data[[#This Row],[Dissolved Oxygen Max]]/2</f>
        <v>25.16</v>
      </c>
      <c r="W1281">
        <f>River_data[[#This Row],[BOD Min]]*River_data[[#This Row],[BOD Max]]/2</f>
        <v>3.06</v>
      </c>
      <c r="X1281">
        <f>AVERAGE(River_data[[#This Row],[pH Max]]-River_data[[#This Row],[pH Min]])</f>
        <v>0.80000000000000071</v>
      </c>
    </row>
    <row r="1282" spans="1:24" x14ac:dyDescent="0.3">
      <c r="A1282">
        <v>4495</v>
      </c>
      <c r="B1282" s="1" t="s">
        <v>1306</v>
      </c>
      <c r="C1282" s="1" t="s">
        <v>1138</v>
      </c>
      <c r="D1282">
        <v>27</v>
      </c>
      <c r="E1282">
        <v>31</v>
      </c>
      <c r="F1282">
        <v>6.9</v>
      </c>
      <c r="G1282">
        <v>7.3</v>
      </c>
      <c r="H1282">
        <v>7.7</v>
      </c>
      <c r="I1282">
        <v>8.5</v>
      </c>
      <c r="J1282">
        <v>152</v>
      </c>
      <c r="K1282">
        <v>790</v>
      </c>
      <c r="L1282">
        <v>1.1000000000000001</v>
      </c>
      <c r="M1282">
        <v>2.8</v>
      </c>
      <c r="N1282">
        <v>0.3</v>
      </c>
      <c r="O1282">
        <v>1.5</v>
      </c>
      <c r="P1282">
        <v>9</v>
      </c>
      <c r="Q1282">
        <v>91</v>
      </c>
      <c r="R1282">
        <v>170</v>
      </c>
      <c r="S1282">
        <v>840</v>
      </c>
      <c r="V1282">
        <f>River_data[[#This Row],[Dissolved Oxygen Min]]*River_data[[#This Row],[Dissolved Oxygen Max]]/2</f>
        <v>25.185000000000002</v>
      </c>
      <c r="W1282">
        <f>River_data[[#This Row],[BOD Min]]*River_data[[#This Row],[BOD Max]]/2</f>
        <v>1.54</v>
      </c>
      <c r="X1282">
        <f>AVERAGE(River_data[[#This Row],[pH Max]]-River_data[[#This Row],[pH Min]])</f>
        <v>0.79999999999999982</v>
      </c>
    </row>
    <row r="1283" spans="1:24" x14ac:dyDescent="0.3">
      <c r="A1283">
        <v>5593</v>
      </c>
      <c r="B1283" s="1" t="s">
        <v>1307</v>
      </c>
      <c r="C1283" s="1" t="s">
        <v>1138</v>
      </c>
      <c r="D1283">
        <v>27</v>
      </c>
      <c r="E1283">
        <v>30</v>
      </c>
      <c r="F1283">
        <v>7</v>
      </c>
      <c r="G1283">
        <v>8.3000000000000007</v>
      </c>
      <c r="H1283">
        <v>7.7</v>
      </c>
      <c r="I1283">
        <v>8.3000000000000007</v>
      </c>
      <c r="J1283">
        <v>120</v>
      </c>
      <c r="K1283">
        <v>970</v>
      </c>
      <c r="L1283">
        <v>1.5</v>
      </c>
      <c r="M1283">
        <v>3.5</v>
      </c>
      <c r="N1283">
        <v>0.62</v>
      </c>
      <c r="O1283">
        <v>2.4500000000000002</v>
      </c>
      <c r="P1283">
        <v>17</v>
      </c>
      <c r="Q1283">
        <v>140</v>
      </c>
      <c r="R1283">
        <v>240</v>
      </c>
      <c r="S1283">
        <v>1200</v>
      </c>
      <c r="V1283">
        <f>River_data[[#This Row],[Dissolved Oxygen Min]]*River_data[[#This Row],[Dissolved Oxygen Max]]/2</f>
        <v>29.050000000000004</v>
      </c>
      <c r="W1283">
        <f>River_data[[#This Row],[BOD Min]]*River_data[[#This Row],[BOD Max]]/2</f>
        <v>2.625</v>
      </c>
      <c r="X1283">
        <f>AVERAGE(River_data[[#This Row],[pH Max]]-River_data[[#This Row],[pH Min]])</f>
        <v>0.60000000000000053</v>
      </c>
    </row>
    <row r="1284" spans="1:24" x14ac:dyDescent="0.3">
      <c r="A1284">
        <v>5594</v>
      </c>
      <c r="B1284" s="1" t="s">
        <v>1308</v>
      </c>
      <c r="C1284" s="1" t="s">
        <v>1138</v>
      </c>
      <c r="D1284">
        <v>27</v>
      </c>
      <c r="E1284">
        <v>32</v>
      </c>
      <c r="F1284">
        <v>7</v>
      </c>
      <c r="G1284">
        <v>10.5</v>
      </c>
      <c r="H1284">
        <v>7.6</v>
      </c>
      <c r="I1284">
        <v>8.4</v>
      </c>
      <c r="J1284">
        <v>136</v>
      </c>
      <c r="K1284">
        <v>850</v>
      </c>
      <c r="L1284">
        <v>1</v>
      </c>
      <c r="M1284">
        <v>3.6</v>
      </c>
      <c r="N1284">
        <v>0.65</v>
      </c>
      <c r="O1284">
        <v>1.41</v>
      </c>
      <c r="P1284">
        <v>18</v>
      </c>
      <c r="Q1284">
        <v>140</v>
      </c>
      <c r="R1284">
        <v>170</v>
      </c>
      <c r="S1284">
        <v>1400</v>
      </c>
      <c r="V1284">
        <f>River_data[[#This Row],[Dissolved Oxygen Min]]*River_data[[#This Row],[Dissolved Oxygen Max]]/2</f>
        <v>36.75</v>
      </c>
      <c r="W1284">
        <f>River_data[[#This Row],[BOD Min]]*River_data[[#This Row],[BOD Max]]/2</f>
        <v>1.8</v>
      </c>
      <c r="X1284">
        <f>AVERAGE(River_data[[#This Row],[pH Max]]-River_data[[#This Row],[pH Min]])</f>
        <v>0.80000000000000071</v>
      </c>
    </row>
    <row r="1285" spans="1:24" x14ac:dyDescent="0.3">
      <c r="A1285">
        <v>5595</v>
      </c>
      <c r="B1285" s="1" t="s">
        <v>1309</v>
      </c>
      <c r="C1285" s="1" t="s">
        <v>1138</v>
      </c>
      <c r="D1285">
        <v>27</v>
      </c>
      <c r="E1285">
        <v>31</v>
      </c>
      <c r="F1285">
        <v>7</v>
      </c>
      <c r="G1285">
        <v>10.199999999999999</v>
      </c>
      <c r="H1285">
        <v>7.1</v>
      </c>
      <c r="I1285">
        <v>8.5</v>
      </c>
      <c r="J1285">
        <v>137</v>
      </c>
      <c r="K1285">
        <v>820</v>
      </c>
      <c r="L1285">
        <v>1</v>
      </c>
      <c r="M1285">
        <v>6.6</v>
      </c>
      <c r="N1285">
        <v>0.66</v>
      </c>
      <c r="O1285">
        <v>1.43</v>
      </c>
      <c r="P1285">
        <v>21</v>
      </c>
      <c r="Q1285">
        <v>120</v>
      </c>
      <c r="R1285">
        <v>350</v>
      </c>
      <c r="S1285">
        <v>1100</v>
      </c>
      <c r="V1285">
        <f>River_data[[#This Row],[Dissolved Oxygen Min]]*River_data[[#This Row],[Dissolved Oxygen Max]]/2</f>
        <v>35.699999999999996</v>
      </c>
      <c r="W1285">
        <f>River_data[[#This Row],[BOD Min]]*River_data[[#This Row],[BOD Max]]/2</f>
        <v>3.3</v>
      </c>
      <c r="X1285">
        <f>AVERAGE(River_data[[#This Row],[pH Max]]-River_data[[#This Row],[pH Min]])</f>
        <v>1.4000000000000004</v>
      </c>
    </row>
    <row r="1286" spans="1:24" x14ac:dyDescent="0.3">
      <c r="A1286">
        <v>5596</v>
      </c>
      <c r="B1286" s="1" t="s">
        <v>1310</v>
      </c>
      <c r="C1286" s="1" t="s">
        <v>1138</v>
      </c>
      <c r="D1286">
        <v>27</v>
      </c>
      <c r="E1286">
        <v>34</v>
      </c>
      <c r="F1286">
        <v>7.1</v>
      </c>
      <c r="G1286">
        <v>11.8</v>
      </c>
      <c r="H1286">
        <v>7.3</v>
      </c>
      <c r="I1286">
        <v>8.5</v>
      </c>
      <c r="J1286">
        <v>145</v>
      </c>
      <c r="K1286">
        <v>660</v>
      </c>
      <c r="L1286">
        <v>1</v>
      </c>
      <c r="M1286">
        <v>3</v>
      </c>
      <c r="N1286">
        <v>0.72</v>
      </c>
      <c r="O1286">
        <v>1.22</v>
      </c>
      <c r="P1286">
        <v>33</v>
      </c>
      <c r="Q1286">
        <v>940</v>
      </c>
      <c r="R1286">
        <v>130</v>
      </c>
      <c r="S1286">
        <v>5400</v>
      </c>
      <c r="V1286">
        <f>River_data[[#This Row],[Dissolved Oxygen Min]]*River_data[[#This Row],[Dissolved Oxygen Max]]/2</f>
        <v>41.89</v>
      </c>
      <c r="W1286">
        <f>River_data[[#This Row],[BOD Min]]*River_data[[#This Row],[BOD Max]]/2</f>
        <v>1.5</v>
      </c>
      <c r="X1286">
        <f>AVERAGE(River_data[[#This Row],[pH Max]]-River_data[[#This Row],[pH Min]])</f>
        <v>1.2000000000000002</v>
      </c>
    </row>
    <row r="1287" spans="1:24" x14ac:dyDescent="0.3">
      <c r="A1287">
        <v>4494</v>
      </c>
      <c r="B1287" s="1" t="s">
        <v>1311</v>
      </c>
      <c r="C1287" s="1" t="s">
        <v>1138</v>
      </c>
      <c r="D1287">
        <v>27</v>
      </c>
      <c r="E1287">
        <v>31</v>
      </c>
      <c r="F1287">
        <v>7.2</v>
      </c>
      <c r="G1287">
        <v>7.5</v>
      </c>
      <c r="H1287">
        <v>7.4</v>
      </c>
      <c r="I1287">
        <v>8.5</v>
      </c>
      <c r="J1287">
        <v>164</v>
      </c>
      <c r="K1287">
        <v>770</v>
      </c>
      <c r="L1287">
        <v>1.6</v>
      </c>
      <c r="M1287">
        <v>3</v>
      </c>
      <c r="N1287">
        <v>0.4</v>
      </c>
      <c r="O1287">
        <v>1.5</v>
      </c>
      <c r="P1287">
        <v>13</v>
      </c>
      <c r="Q1287">
        <v>630</v>
      </c>
      <c r="R1287">
        <v>110</v>
      </c>
      <c r="S1287">
        <v>4300</v>
      </c>
      <c r="V1287">
        <f>River_data[[#This Row],[Dissolved Oxygen Min]]*River_data[[#This Row],[Dissolved Oxygen Max]]/2</f>
        <v>27</v>
      </c>
      <c r="W1287">
        <f>River_data[[#This Row],[BOD Min]]*River_data[[#This Row],[BOD Max]]/2</f>
        <v>2.4000000000000004</v>
      </c>
      <c r="X1287">
        <f>AVERAGE(River_data[[#This Row],[pH Max]]-River_data[[#This Row],[pH Min]])</f>
        <v>1.0999999999999996</v>
      </c>
    </row>
    <row r="1288" spans="1:24" x14ac:dyDescent="0.3">
      <c r="A1288">
        <v>2776</v>
      </c>
      <c r="B1288" s="1" t="s">
        <v>1312</v>
      </c>
      <c r="C1288" s="1" t="s">
        <v>1138</v>
      </c>
      <c r="D1288">
        <v>22</v>
      </c>
      <c r="E1288">
        <v>30</v>
      </c>
      <c r="F1288">
        <v>7.1</v>
      </c>
      <c r="G1288">
        <v>7.8</v>
      </c>
      <c r="H1288">
        <v>7.3</v>
      </c>
      <c r="I1288">
        <v>8.5</v>
      </c>
      <c r="J1288">
        <v>328</v>
      </c>
      <c r="K1288">
        <v>900</v>
      </c>
      <c r="L1288">
        <v>2</v>
      </c>
      <c r="M1288">
        <v>3</v>
      </c>
      <c r="N1288">
        <v>0.3</v>
      </c>
      <c r="O1288">
        <v>3.34</v>
      </c>
      <c r="P1288">
        <v>280</v>
      </c>
      <c r="Q1288">
        <v>490</v>
      </c>
      <c r="R1288">
        <v>1600</v>
      </c>
      <c r="S1288">
        <v>2800</v>
      </c>
      <c r="V1288">
        <f>River_data[[#This Row],[Dissolved Oxygen Min]]*River_data[[#This Row],[Dissolved Oxygen Max]]/2</f>
        <v>27.689999999999998</v>
      </c>
      <c r="W1288">
        <f>River_data[[#This Row],[BOD Min]]*River_data[[#This Row],[BOD Max]]/2</f>
        <v>3</v>
      </c>
      <c r="X1288">
        <f>AVERAGE(River_data[[#This Row],[pH Max]]-River_data[[#This Row],[pH Min]])</f>
        <v>1.2000000000000002</v>
      </c>
    </row>
    <row r="1289" spans="1:24" x14ac:dyDescent="0.3">
      <c r="A1289">
        <v>29</v>
      </c>
      <c r="B1289" s="1" t="s">
        <v>1313</v>
      </c>
      <c r="C1289" s="1" t="s">
        <v>1138</v>
      </c>
      <c r="D1289">
        <v>17</v>
      </c>
      <c r="E1289">
        <v>29</v>
      </c>
      <c r="F1289">
        <v>0.3</v>
      </c>
      <c r="G1289">
        <v>7.8</v>
      </c>
      <c r="H1289">
        <v>6.5</v>
      </c>
      <c r="I1289">
        <v>8.4</v>
      </c>
      <c r="J1289">
        <v>69</v>
      </c>
      <c r="K1289">
        <v>2430</v>
      </c>
      <c r="L1289">
        <v>1</v>
      </c>
      <c r="M1289">
        <v>78</v>
      </c>
      <c r="N1289">
        <v>0.32</v>
      </c>
      <c r="O1289">
        <v>8</v>
      </c>
      <c r="P1289">
        <v>48</v>
      </c>
      <c r="Q1289">
        <v>4800000</v>
      </c>
      <c r="R1289">
        <v>79</v>
      </c>
      <c r="S1289">
        <v>54000000</v>
      </c>
      <c r="T1289">
        <v>2</v>
      </c>
      <c r="U1289">
        <v>17</v>
      </c>
      <c r="V1289">
        <f>River_data[[#This Row],[Dissolved Oxygen Min]]*River_data[[#This Row],[Dissolved Oxygen Max]]/2</f>
        <v>1.17</v>
      </c>
      <c r="W1289">
        <f>River_data[[#This Row],[BOD Min]]*River_data[[#This Row],[BOD Max]]/2</f>
        <v>39</v>
      </c>
      <c r="X1289">
        <f>AVERAGE(River_data[[#This Row],[pH Max]]-River_data[[#This Row],[pH Min]])</f>
        <v>1.9000000000000004</v>
      </c>
    </row>
    <row r="1290" spans="1:24" x14ac:dyDescent="0.3">
      <c r="A1290">
        <v>3558</v>
      </c>
      <c r="B1290" s="1" t="s">
        <v>1314</v>
      </c>
      <c r="C1290" s="1" t="s">
        <v>1138</v>
      </c>
      <c r="D1290">
        <v>27</v>
      </c>
      <c r="E1290">
        <v>32</v>
      </c>
      <c r="F1290">
        <v>6.8</v>
      </c>
      <c r="G1290">
        <v>8.6999999999999993</v>
      </c>
      <c r="H1290">
        <v>8.3000000000000007</v>
      </c>
      <c r="I1290">
        <v>8.6</v>
      </c>
      <c r="J1290">
        <v>676</v>
      </c>
      <c r="K1290">
        <v>2050</v>
      </c>
      <c r="L1290">
        <v>2.5</v>
      </c>
      <c r="M1290">
        <v>3.5</v>
      </c>
      <c r="N1290">
        <v>1.1000000000000001</v>
      </c>
      <c r="O1290">
        <v>4</v>
      </c>
      <c r="P1290">
        <v>280</v>
      </c>
      <c r="Q1290">
        <v>700</v>
      </c>
      <c r="R1290">
        <v>1600</v>
      </c>
      <c r="S1290">
        <v>2800</v>
      </c>
      <c r="V1290">
        <f>River_data[[#This Row],[Dissolved Oxygen Min]]*River_data[[#This Row],[Dissolved Oxygen Max]]/2</f>
        <v>29.58</v>
      </c>
      <c r="W1290">
        <f>River_data[[#This Row],[BOD Min]]*River_data[[#This Row],[BOD Max]]/2</f>
        <v>4.375</v>
      </c>
      <c r="X1290">
        <f>AVERAGE(River_data[[#This Row],[pH Max]]-River_data[[#This Row],[pH Min]])</f>
        <v>0.29999999999999893</v>
      </c>
    </row>
    <row r="1291" spans="1:24" x14ac:dyDescent="0.3">
      <c r="A1291">
        <v>30054</v>
      </c>
      <c r="B1291" s="1" t="s">
        <v>1315</v>
      </c>
      <c r="C1291" s="1" t="s">
        <v>1138</v>
      </c>
      <c r="D1291">
        <v>24</v>
      </c>
      <c r="E1291">
        <v>28</v>
      </c>
      <c r="F1291">
        <v>7.2</v>
      </c>
      <c r="G1291">
        <v>12.2</v>
      </c>
      <c r="H1291">
        <v>8.1999999999999993</v>
      </c>
      <c r="I1291">
        <v>8.6999999999999993</v>
      </c>
      <c r="J1291">
        <v>921</v>
      </c>
      <c r="K1291">
        <v>2560</v>
      </c>
      <c r="L1291">
        <v>1</v>
      </c>
      <c r="M1291">
        <v>1</v>
      </c>
      <c r="N1291">
        <v>0</v>
      </c>
      <c r="O1291">
        <v>1.52</v>
      </c>
      <c r="P1291">
        <v>70</v>
      </c>
      <c r="Q1291">
        <v>790</v>
      </c>
      <c r="R1291">
        <v>280</v>
      </c>
      <c r="S1291">
        <v>5400</v>
      </c>
      <c r="V1291">
        <f>River_data[[#This Row],[Dissolved Oxygen Min]]*River_data[[#This Row],[Dissolved Oxygen Max]]/2</f>
        <v>43.92</v>
      </c>
      <c r="W1291">
        <f>River_data[[#This Row],[BOD Min]]*River_data[[#This Row],[BOD Max]]/2</f>
        <v>0.5</v>
      </c>
      <c r="X1291">
        <f>AVERAGE(River_data[[#This Row],[pH Max]]-River_data[[#This Row],[pH Min]])</f>
        <v>0.5</v>
      </c>
    </row>
    <row r="1292" spans="1:24" x14ac:dyDescent="0.3">
      <c r="A1292">
        <v>1785</v>
      </c>
      <c r="B1292" s="1" t="s">
        <v>1316</v>
      </c>
      <c r="C1292" s="1" t="s">
        <v>1115</v>
      </c>
      <c r="D1292">
        <v>21</v>
      </c>
      <c r="E1292">
        <v>29</v>
      </c>
      <c r="F1292">
        <v>5.3</v>
      </c>
      <c r="G1292">
        <v>6.4</v>
      </c>
      <c r="H1292">
        <v>7.3</v>
      </c>
      <c r="I1292">
        <v>8</v>
      </c>
      <c r="J1292">
        <v>964</v>
      </c>
      <c r="K1292">
        <v>1652</v>
      </c>
      <c r="L1292">
        <v>1</v>
      </c>
      <c r="M1292">
        <v>2.7</v>
      </c>
      <c r="N1292">
        <v>0.46</v>
      </c>
      <c r="O1292">
        <v>1.51</v>
      </c>
      <c r="P1292">
        <v>163</v>
      </c>
      <c r="Q1292">
        <v>615</v>
      </c>
      <c r="R1292">
        <v>602</v>
      </c>
      <c r="S1292">
        <v>1553</v>
      </c>
      <c r="V1292">
        <f>River_data[[#This Row],[Dissolved Oxygen Min]]*River_data[[#This Row],[Dissolved Oxygen Max]]/2</f>
        <v>16.96</v>
      </c>
      <c r="W1292">
        <f>River_data[[#This Row],[BOD Min]]*River_data[[#This Row],[BOD Max]]/2</f>
        <v>1.35</v>
      </c>
      <c r="X1292">
        <f>AVERAGE(River_data[[#This Row],[pH Max]]-River_data[[#This Row],[pH Min]])</f>
        <v>0.70000000000000018</v>
      </c>
    </row>
    <row r="1293" spans="1:24" x14ac:dyDescent="0.3">
      <c r="A1293">
        <v>1174</v>
      </c>
      <c r="B1293" s="1" t="s">
        <v>1317</v>
      </c>
      <c r="C1293" s="1" t="s">
        <v>1115</v>
      </c>
      <c r="D1293">
        <v>22</v>
      </c>
      <c r="E1293">
        <v>28</v>
      </c>
      <c r="F1293">
        <v>5.2</v>
      </c>
      <c r="G1293">
        <v>6.3</v>
      </c>
      <c r="H1293">
        <v>7.3</v>
      </c>
      <c r="I1293">
        <v>8.1</v>
      </c>
      <c r="J1293">
        <v>1360</v>
      </c>
      <c r="K1293">
        <v>1698</v>
      </c>
      <c r="L1293">
        <v>1.7</v>
      </c>
      <c r="M1293">
        <v>2.5</v>
      </c>
      <c r="N1293">
        <v>0.53</v>
      </c>
      <c r="O1293">
        <v>2.2400000000000002</v>
      </c>
      <c r="P1293">
        <v>177</v>
      </c>
      <c r="Q1293">
        <v>479</v>
      </c>
      <c r="R1293">
        <v>549</v>
      </c>
      <c r="S1293">
        <v>1203</v>
      </c>
      <c r="V1293">
        <f>River_data[[#This Row],[Dissolved Oxygen Min]]*River_data[[#This Row],[Dissolved Oxygen Max]]/2</f>
        <v>16.38</v>
      </c>
      <c r="W1293">
        <f>River_data[[#This Row],[BOD Min]]*River_data[[#This Row],[BOD Max]]/2</f>
        <v>2.125</v>
      </c>
      <c r="X1293">
        <f>AVERAGE(River_data[[#This Row],[pH Max]]-River_data[[#This Row],[pH Min]])</f>
        <v>0.79999999999999982</v>
      </c>
    </row>
    <row r="1294" spans="1:24" x14ac:dyDescent="0.3">
      <c r="A1294">
        <v>4388</v>
      </c>
      <c r="B1294" s="1" t="s">
        <v>1318</v>
      </c>
      <c r="C1294" s="1" t="s">
        <v>1115</v>
      </c>
      <c r="D1294">
        <v>18</v>
      </c>
      <c r="E1294">
        <v>27</v>
      </c>
      <c r="F1294">
        <v>5</v>
      </c>
      <c r="G1294">
        <v>5.9</v>
      </c>
      <c r="H1294">
        <v>6.8</v>
      </c>
      <c r="I1294">
        <v>7.9</v>
      </c>
      <c r="J1294">
        <v>1329</v>
      </c>
      <c r="K1294">
        <v>2263</v>
      </c>
      <c r="L1294">
        <v>1.3</v>
      </c>
      <c r="M1294">
        <v>2.8</v>
      </c>
      <c r="N1294">
        <v>0.52</v>
      </c>
      <c r="O1294">
        <v>1.46</v>
      </c>
      <c r="P1294">
        <v>162</v>
      </c>
      <c r="Q1294">
        <v>549</v>
      </c>
      <c r="R1294">
        <v>613</v>
      </c>
      <c r="S1294">
        <v>1553</v>
      </c>
      <c r="V1294">
        <f>River_data[[#This Row],[Dissolved Oxygen Min]]*River_data[[#This Row],[Dissolved Oxygen Max]]/2</f>
        <v>14.75</v>
      </c>
      <c r="W1294">
        <f>River_data[[#This Row],[BOD Min]]*River_data[[#This Row],[BOD Max]]/2</f>
        <v>1.8199999999999998</v>
      </c>
      <c r="X1294">
        <f>AVERAGE(River_data[[#This Row],[pH Max]]-River_data[[#This Row],[pH Min]])</f>
        <v>1.1000000000000005</v>
      </c>
    </row>
    <row r="1295" spans="1:24" x14ac:dyDescent="0.3">
      <c r="A1295">
        <v>4389</v>
      </c>
      <c r="B1295" s="1" t="s">
        <v>1319</v>
      </c>
      <c r="C1295" s="1" t="s">
        <v>1115</v>
      </c>
      <c r="D1295">
        <v>21</v>
      </c>
      <c r="E1295">
        <v>28</v>
      </c>
      <c r="F1295">
        <v>5.0999999999999996</v>
      </c>
      <c r="G1295">
        <v>5.7</v>
      </c>
      <c r="H1295">
        <v>7</v>
      </c>
      <c r="I1295">
        <v>7.8</v>
      </c>
      <c r="J1295">
        <v>720</v>
      </c>
      <c r="K1295">
        <v>1720</v>
      </c>
      <c r="L1295">
        <v>1</v>
      </c>
      <c r="M1295">
        <v>2.8</v>
      </c>
      <c r="N1295">
        <v>1.0900000000000001</v>
      </c>
      <c r="O1295">
        <v>1.84</v>
      </c>
      <c r="P1295">
        <v>177</v>
      </c>
      <c r="Q1295">
        <v>689</v>
      </c>
      <c r="R1295">
        <v>649</v>
      </c>
      <c r="S1295">
        <v>1986</v>
      </c>
      <c r="V1295">
        <f>River_data[[#This Row],[Dissolved Oxygen Min]]*River_data[[#This Row],[Dissolved Oxygen Max]]/2</f>
        <v>14.535</v>
      </c>
      <c r="W1295">
        <f>River_data[[#This Row],[BOD Min]]*River_data[[#This Row],[BOD Max]]/2</f>
        <v>1.4</v>
      </c>
      <c r="X1295">
        <f>AVERAGE(River_data[[#This Row],[pH Max]]-River_data[[#This Row],[pH Min]])</f>
        <v>0.79999999999999982</v>
      </c>
    </row>
    <row r="1296" spans="1:24" x14ac:dyDescent="0.3">
      <c r="A1296">
        <v>4379</v>
      </c>
      <c r="B1296" s="1" t="s">
        <v>1320</v>
      </c>
      <c r="C1296" s="1" t="s">
        <v>1115</v>
      </c>
      <c r="D1296">
        <v>24</v>
      </c>
      <c r="E1296">
        <v>26</v>
      </c>
      <c r="F1296">
        <v>5.8</v>
      </c>
      <c r="G1296">
        <v>6.7</v>
      </c>
      <c r="H1296">
        <v>7.6</v>
      </c>
      <c r="I1296">
        <v>8</v>
      </c>
      <c r="J1296">
        <v>34400</v>
      </c>
      <c r="K1296">
        <v>54200</v>
      </c>
      <c r="L1296">
        <v>2.2999999999999998</v>
      </c>
      <c r="M1296">
        <v>2.9</v>
      </c>
      <c r="N1296">
        <v>0.66</v>
      </c>
      <c r="O1296">
        <v>1.24</v>
      </c>
      <c r="P1296">
        <v>3</v>
      </c>
      <c r="Q1296">
        <v>14</v>
      </c>
      <c r="R1296">
        <v>36</v>
      </c>
      <c r="S1296">
        <v>210</v>
      </c>
      <c r="T1296">
        <v>2</v>
      </c>
      <c r="U1296">
        <v>3</v>
      </c>
      <c r="V1296">
        <f>River_data[[#This Row],[Dissolved Oxygen Min]]*River_data[[#This Row],[Dissolved Oxygen Max]]/2</f>
        <v>19.43</v>
      </c>
      <c r="W1296">
        <f>River_data[[#This Row],[BOD Min]]*River_data[[#This Row],[BOD Max]]/2</f>
        <v>3.3349999999999995</v>
      </c>
      <c r="X1296">
        <f>AVERAGE(River_data[[#This Row],[pH Max]]-River_data[[#This Row],[pH Min]])</f>
        <v>0.40000000000000036</v>
      </c>
    </row>
    <row r="1297" spans="1:24" x14ac:dyDescent="0.3">
      <c r="A1297">
        <v>2711</v>
      </c>
      <c r="B1297" s="1" t="s">
        <v>1321</v>
      </c>
      <c r="C1297" s="1" t="s">
        <v>938</v>
      </c>
      <c r="D1297">
        <v>25</v>
      </c>
      <c r="E1297">
        <v>33.5</v>
      </c>
      <c r="F1297">
        <v>4.9000000000000004</v>
      </c>
      <c r="G1297">
        <v>6.4</v>
      </c>
      <c r="H1297">
        <v>7.3</v>
      </c>
      <c r="I1297">
        <v>8.3000000000000007</v>
      </c>
      <c r="J1297">
        <v>174</v>
      </c>
      <c r="K1297">
        <v>887</v>
      </c>
      <c r="L1297">
        <v>3</v>
      </c>
      <c r="M1297">
        <v>5.2</v>
      </c>
      <c r="N1297">
        <v>0.3</v>
      </c>
      <c r="O1297">
        <v>1.83</v>
      </c>
      <c r="P1297">
        <v>8</v>
      </c>
      <c r="Q1297">
        <v>40</v>
      </c>
      <c r="R1297">
        <v>95</v>
      </c>
      <c r="S1297">
        <v>425</v>
      </c>
      <c r="T1297">
        <v>4</v>
      </c>
      <c r="U1297">
        <v>14</v>
      </c>
      <c r="V1297">
        <f>River_data[[#This Row],[Dissolved Oxygen Min]]*River_data[[#This Row],[Dissolved Oxygen Max]]/2</f>
        <v>15.680000000000001</v>
      </c>
      <c r="W1297">
        <f>River_data[[#This Row],[BOD Min]]*River_data[[#This Row],[BOD Max]]/2</f>
        <v>7.8000000000000007</v>
      </c>
      <c r="X1297">
        <f>AVERAGE(River_data[[#This Row],[pH Max]]-River_data[[#This Row],[pH Min]])</f>
        <v>1.0000000000000009</v>
      </c>
    </row>
    <row r="1298" spans="1:24" x14ac:dyDescent="0.3">
      <c r="A1298">
        <v>2715</v>
      </c>
      <c r="B1298" s="1" t="s">
        <v>1322</v>
      </c>
      <c r="C1298" s="1" t="s">
        <v>938</v>
      </c>
      <c r="D1298">
        <v>26</v>
      </c>
      <c r="E1298">
        <v>29</v>
      </c>
      <c r="F1298">
        <v>5</v>
      </c>
      <c r="G1298">
        <v>6.1</v>
      </c>
      <c r="H1298">
        <v>7.9</v>
      </c>
      <c r="I1298">
        <v>8</v>
      </c>
      <c r="J1298">
        <v>177</v>
      </c>
      <c r="K1298">
        <v>582</v>
      </c>
      <c r="L1298">
        <v>4</v>
      </c>
      <c r="M1298">
        <v>8.4</v>
      </c>
      <c r="N1298">
        <v>0.3</v>
      </c>
      <c r="O1298">
        <v>0.3</v>
      </c>
      <c r="P1298">
        <v>14</v>
      </c>
      <c r="Q1298">
        <v>110</v>
      </c>
      <c r="R1298">
        <v>350</v>
      </c>
      <c r="S1298">
        <v>425</v>
      </c>
      <c r="T1298">
        <v>6</v>
      </c>
      <c r="U1298">
        <v>17</v>
      </c>
      <c r="V1298">
        <f>River_data[[#This Row],[Dissolved Oxygen Min]]*River_data[[#This Row],[Dissolved Oxygen Max]]/2</f>
        <v>15.25</v>
      </c>
      <c r="W1298">
        <f>River_data[[#This Row],[BOD Min]]*River_data[[#This Row],[BOD Max]]/2</f>
        <v>16.8</v>
      </c>
      <c r="X1298">
        <f>AVERAGE(River_data[[#This Row],[pH Max]]-River_data[[#This Row],[pH Min]])</f>
        <v>9.9999999999999645E-2</v>
      </c>
    </row>
    <row r="1299" spans="1:24" x14ac:dyDescent="0.3">
      <c r="A1299">
        <v>1255</v>
      </c>
      <c r="B1299" s="1" t="s">
        <v>1323</v>
      </c>
      <c r="C1299" s="1" t="s">
        <v>1115</v>
      </c>
      <c r="D1299">
        <v>23</v>
      </c>
      <c r="E1299">
        <v>34</v>
      </c>
      <c r="F1299">
        <v>5.3</v>
      </c>
      <c r="G1299">
        <v>5.9</v>
      </c>
      <c r="H1299">
        <v>7.3</v>
      </c>
      <c r="I1299">
        <v>8</v>
      </c>
      <c r="J1299">
        <v>683</v>
      </c>
      <c r="K1299">
        <v>1263</v>
      </c>
      <c r="L1299">
        <v>1.2</v>
      </c>
      <c r="M1299">
        <v>2.8</v>
      </c>
      <c r="N1299">
        <v>0.61</v>
      </c>
      <c r="O1299">
        <v>1.61</v>
      </c>
      <c r="P1299">
        <v>203</v>
      </c>
      <c r="Q1299">
        <v>613</v>
      </c>
      <c r="R1299">
        <v>816</v>
      </c>
      <c r="S1299">
        <v>1553</v>
      </c>
      <c r="V1299">
        <f>River_data[[#This Row],[Dissolved Oxygen Min]]*River_data[[#This Row],[Dissolved Oxygen Max]]/2</f>
        <v>15.635</v>
      </c>
      <c r="W1299">
        <f>River_data[[#This Row],[BOD Min]]*River_data[[#This Row],[BOD Max]]/2</f>
        <v>1.68</v>
      </c>
      <c r="X1299">
        <f>AVERAGE(River_data[[#This Row],[pH Max]]-River_data[[#This Row],[pH Min]])</f>
        <v>0.70000000000000018</v>
      </c>
    </row>
    <row r="1300" spans="1:24" x14ac:dyDescent="0.3">
      <c r="A1300">
        <v>1256</v>
      </c>
      <c r="B1300" s="1" t="s">
        <v>1324</v>
      </c>
      <c r="C1300" s="1" t="s">
        <v>1115</v>
      </c>
      <c r="D1300">
        <v>22</v>
      </c>
      <c r="E1300">
        <v>28</v>
      </c>
      <c r="F1300">
        <v>5.5</v>
      </c>
      <c r="G1300">
        <v>6.2</v>
      </c>
      <c r="H1300">
        <v>7.3</v>
      </c>
      <c r="I1300">
        <v>8.1</v>
      </c>
      <c r="J1300">
        <v>806</v>
      </c>
      <c r="K1300">
        <v>1298</v>
      </c>
      <c r="L1300">
        <v>1</v>
      </c>
      <c r="M1300">
        <v>2.5</v>
      </c>
      <c r="N1300">
        <v>0.69</v>
      </c>
      <c r="O1300">
        <v>1.43</v>
      </c>
      <c r="P1300">
        <v>185</v>
      </c>
      <c r="Q1300">
        <v>395</v>
      </c>
      <c r="R1300">
        <v>575</v>
      </c>
      <c r="S1300">
        <v>1300</v>
      </c>
      <c r="V1300">
        <f>River_data[[#This Row],[Dissolved Oxygen Min]]*River_data[[#This Row],[Dissolved Oxygen Max]]/2</f>
        <v>17.05</v>
      </c>
      <c r="W1300">
        <f>River_data[[#This Row],[BOD Min]]*River_data[[#This Row],[BOD Max]]/2</f>
        <v>1.25</v>
      </c>
      <c r="X1300">
        <f>AVERAGE(River_data[[#This Row],[pH Max]]-River_data[[#This Row],[pH Min]])</f>
        <v>0.79999999999999982</v>
      </c>
    </row>
    <row r="1301" spans="1:24" x14ac:dyDescent="0.3">
      <c r="A1301">
        <v>1257</v>
      </c>
      <c r="B1301" s="1" t="s">
        <v>1325</v>
      </c>
      <c r="C1301" s="1" t="s">
        <v>1115</v>
      </c>
      <c r="D1301">
        <v>17</v>
      </c>
      <c r="E1301">
        <v>20</v>
      </c>
      <c r="F1301">
        <v>6.8</v>
      </c>
      <c r="G1301">
        <v>8.3000000000000007</v>
      </c>
      <c r="H1301">
        <v>7.5</v>
      </c>
      <c r="I1301">
        <v>8.1999999999999993</v>
      </c>
      <c r="J1301">
        <v>728</v>
      </c>
      <c r="K1301">
        <v>1080</v>
      </c>
      <c r="L1301">
        <v>2.6</v>
      </c>
      <c r="M1301">
        <v>2.8</v>
      </c>
      <c r="N1301">
        <v>0.54</v>
      </c>
      <c r="O1301">
        <v>1.46</v>
      </c>
      <c r="P1301">
        <v>3</v>
      </c>
      <c r="Q1301">
        <v>14</v>
      </c>
      <c r="R1301">
        <v>64</v>
      </c>
      <c r="S1301">
        <v>470</v>
      </c>
      <c r="T1301">
        <v>2</v>
      </c>
      <c r="U1301">
        <v>3</v>
      </c>
      <c r="V1301">
        <f>River_data[[#This Row],[Dissolved Oxygen Min]]*River_data[[#This Row],[Dissolved Oxygen Max]]/2</f>
        <v>28.220000000000002</v>
      </c>
      <c r="W1301">
        <f>River_data[[#This Row],[BOD Min]]*River_data[[#This Row],[BOD Max]]/2</f>
        <v>3.6399999999999997</v>
      </c>
      <c r="X1301">
        <f>AVERAGE(River_data[[#This Row],[pH Max]]-River_data[[#This Row],[pH Min]])</f>
        <v>0.69999999999999929</v>
      </c>
    </row>
    <row r="1302" spans="1:24" x14ac:dyDescent="0.3">
      <c r="A1302">
        <v>30</v>
      </c>
      <c r="B1302" s="1" t="s">
        <v>1326</v>
      </c>
      <c r="C1302" s="1" t="s">
        <v>1115</v>
      </c>
      <c r="D1302">
        <v>20</v>
      </c>
      <c r="E1302">
        <v>28</v>
      </c>
      <c r="F1302">
        <v>5</v>
      </c>
      <c r="G1302">
        <v>6.4</v>
      </c>
      <c r="H1302">
        <v>6.6</v>
      </c>
      <c r="I1302">
        <v>7.7</v>
      </c>
      <c r="J1302">
        <v>835</v>
      </c>
      <c r="K1302">
        <v>1451</v>
      </c>
      <c r="L1302">
        <v>1</v>
      </c>
      <c r="M1302">
        <v>2.7</v>
      </c>
      <c r="N1302">
        <v>0.38</v>
      </c>
      <c r="O1302">
        <v>1.7</v>
      </c>
      <c r="P1302">
        <v>151</v>
      </c>
      <c r="Q1302">
        <v>381</v>
      </c>
      <c r="R1302">
        <v>575</v>
      </c>
      <c r="S1302">
        <v>1049</v>
      </c>
      <c r="V1302">
        <f>River_data[[#This Row],[Dissolved Oxygen Min]]*River_data[[#This Row],[Dissolved Oxygen Max]]/2</f>
        <v>16</v>
      </c>
      <c r="W1302">
        <f>River_data[[#This Row],[BOD Min]]*River_data[[#This Row],[BOD Max]]/2</f>
        <v>1.35</v>
      </c>
      <c r="X1302">
        <f>AVERAGE(River_data[[#This Row],[pH Max]]-River_data[[#This Row],[pH Min]])</f>
        <v>1.1000000000000005</v>
      </c>
    </row>
    <row r="1303" spans="1:24" x14ac:dyDescent="0.3">
      <c r="A1303">
        <v>2351</v>
      </c>
      <c r="B1303" s="1" t="s">
        <v>1327</v>
      </c>
      <c r="C1303" s="1" t="s">
        <v>1115</v>
      </c>
      <c r="D1303">
        <v>15</v>
      </c>
      <c r="E1303">
        <v>29</v>
      </c>
      <c r="F1303">
        <v>3.4</v>
      </c>
      <c r="G1303">
        <v>5.9</v>
      </c>
      <c r="H1303">
        <v>6.9</v>
      </c>
      <c r="I1303">
        <v>7.7</v>
      </c>
      <c r="J1303">
        <v>876</v>
      </c>
      <c r="K1303">
        <v>1310</v>
      </c>
      <c r="L1303">
        <v>2.2000000000000002</v>
      </c>
      <c r="M1303">
        <v>3.6</v>
      </c>
      <c r="N1303">
        <v>0.75</v>
      </c>
      <c r="O1303">
        <v>2.38</v>
      </c>
      <c r="P1303">
        <v>235</v>
      </c>
      <c r="Q1303">
        <v>649</v>
      </c>
      <c r="R1303">
        <v>770</v>
      </c>
      <c r="S1303">
        <v>1986</v>
      </c>
      <c r="V1303">
        <f>River_data[[#This Row],[Dissolved Oxygen Min]]*River_data[[#This Row],[Dissolved Oxygen Max]]/2</f>
        <v>10.030000000000001</v>
      </c>
      <c r="W1303">
        <f>River_data[[#This Row],[BOD Min]]*River_data[[#This Row],[BOD Max]]/2</f>
        <v>3.9600000000000004</v>
      </c>
      <c r="X1303">
        <f>AVERAGE(River_data[[#This Row],[pH Max]]-River_data[[#This Row],[pH Min]])</f>
        <v>0.79999999999999982</v>
      </c>
    </row>
    <row r="1304" spans="1:24" x14ac:dyDescent="0.3">
      <c r="A1304">
        <v>1689</v>
      </c>
      <c r="B1304" s="1" t="s">
        <v>1328</v>
      </c>
      <c r="C1304" s="1" t="s">
        <v>1329</v>
      </c>
      <c r="D1304">
        <v>29</v>
      </c>
      <c r="E1304">
        <v>35</v>
      </c>
      <c r="F1304">
        <v>6.3</v>
      </c>
      <c r="G1304">
        <v>13.7</v>
      </c>
      <c r="H1304">
        <v>8.1</v>
      </c>
      <c r="I1304">
        <v>9.4</v>
      </c>
      <c r="J1304">
        <v>856</v>
      </c>
      <c r="K1304">
        <v>1605</v>
      </c>
      <c r="L1304">
        <v>2</v>
      </c>
      <c r="M1304">
        <v>9</v>
      </c>
      <c r="N1304">
        <v>0</v>
      </c>
      <c r="O1304">
        <v>0.32</v>
      </c>
      <c r="P1304">
        <v>2</v>
      </c>
      <c r="Q1304">
        <v>1600</v>
      </c>
      <c r="R1304">
        <v>170</v>
      </c>
      <c r="S1304">
        <v>1600</v>
      </c>
      <c r="T1304">
        <v>2</v>
      </c>
      <c r="U1304">
        <v>280</v>
      </c>
      <c r="V1304">
        <f>River_data[[#This Row],[Dissolved Oxygen Min]]*River_data[[#This Row],[Dissolved Oxygen Max]]/2</f>
        <v>43.154999999999994</v>
      </c>
      <c r="W1304">
        <f>River_data[[#This Row],[BOD Min]]*River_data[[#This Row],[BOD Max]]/2</f>
        <v>9</v>
      </c>
      <c r="X1304">
        <f>AVERAGE(River_data[[#This Row],[pH Max]]-River_data[[#This Row],[pH Min]])</f>
        <v>1.3000000000000007</v>
      </c>
    </row>
    <row r="1305" spans="1:24" x14ac:dyDescent="0.3">
      <c r="A1305">
        <v>1198</v>
      </c>
      <c r="B1305" s="1" t="s">
        <v>1330</v>
      </c>
      <c r="C1305" s="1" t="s">
        <v>1138</v>
      </c>
      <c r="D1305">
        <v>17</v>
      </c>
      <c r="E1305">
        <v>26</v>
      </c>
      <c r="F1305">
        <v>6.3</v>
      </c>
      <c r="G1305">
        <v>7.7</v>
      </c>
      <c r="H1305">
        <v>7</v>
      </c>
      <c r="I1305">
        <v>8.6999999999999993</v>
      </c>
      <c r="J1305">
        <v>48</v>
      </c>
      <c r="K1305">
        <v>170</v>
      </c>
      <c r="L1305">
        <v>1</v>
      </c>
      <c r="M1305">
        <v>2.5</v>
      </c>
      <c r="N1305">
        <v>0.3</v>
      </c>
      <c r="O1305">
        <v>1</v>
      </c>
      <c r="P1305">
        <v>17</v>
      </c>
      <c r="Q1305">
        <v>43</v>
      </c>
      <c r="R1305">
        <v>210</v>
      </c>
      <c r="S1305">
        <v>350</v>
      </c>
      <c r="V1305">
        <f>River_data[[#This Row],[Dissolved Oxygen Min]]*River_data[[#This Row],[Dissolved Oxygen Max]]/2</f>
        <v>24.254999999999999</v>
      </c>
      <c r="W1305">
        <f>River_data[[#This Row],[BOD Min]]*River_data[[#This Row],[BOD Max]]/2</f>
        <v>1.25</v>
      </c>
      <c r="X1305">
        <f>AVERAGE(River_data[[#This Row],[pH Max]]-River_data[[#This Row],[pH Min]])</f>
        <v>1.6999999999999993</v>
      </c>
    </row>
    <row r="1306" spans="1:24" x14ac:dyDescent="0.3">
      <c r="A1306">
        <v>1195</v>
      </c>
      <c r="B1306" s="1" t="s">
        <v>1331</v>
      </c>
      <c r="C1306" s="1" t="s">
        <v>1138</v>
      </c>
      <c r="D1306">
        <v>18</v>
      </c>
      <c r="E1306">
        <v>27</v>
      </c>
      <c r="F1306">
        <v>6.2</v>
      </c>
      <c r="G1306">
        <v>7.7</v>
      </c>
      <c r="H1306">
        <v>7.2</v>
      </c>
      <c r="I1306">
        <v>8.6</v>
      </c>
      <c r="J1306">
        <v>63</v>
      </c>
      <c r="K1306">
        <v>326</v>
      </c>
      <c r="L1306">
        <v>1</v>
      </c>
      <c r="M1306">
        <v>3</v>
      </c>
      <c r="N1306">
        <v>0.3</v>
      </c>
      <c r="O1306">
        <v>1.9</v>
      </c>
      <c r="P1306">
        <v>32</v>
      </c>
      <c r="Q1306">
        <v>78</v>
      </c>
      <c r="R1306">
        <v>240</v>
      </c>
      <c r="S1306">
        <v>630</v>
      </c>
      <c r="V1306">
        <f>River_data[[#This Row],[Dissolved Oxygen Min]]*River_data[[#This Row],[Dissolved Oxygen Max]]/2</f>
        <v>23.87</v>
      </c>
      <c r="W1306">
        <f>River_data[[#This Row],[BOD Min]]*River_data[[#This Row],[BOD Max]]/2</f>
        <v>1.5</v>
      </c>
      <c r="X1306">
        <f>AVERAGE(River_data[[#This Row],[pH Max]]-River_data[[#This Row],[pH Min]])</f>
        <v>1.3999999999999995</v>
      </c>
    </row>
    <row r="1307" spans="1:24" x14ac:dyDescent="0.3">
      <c r="A1307">
        <v>33</v>
      </c>
      <c r="B1307" s="1" t="s">
        <v>1332</v>
      </c>
      <c r="C1307" s="1" t="s">
        <v>1138</v>
      </c>
      <c r="D1307">
        <v>19</v>
      </c>
      <c r="E1307">
        <v>28</v>
      </c>
      <c r="F1307">
        <v>6.1</v>
      </c>
      <c r="G1307">
        <v>7</v>
      </c>
      <c r="H1307">
        <v>7</v>
      </c>
      <c r="I1307">
        <v>8.6</v>
      </c>
      <c r="J1307">
        <v>143</v>
      </c>
      <c r="K1307">
        <v>489</v>
      </c>
      <c r="L1307">
        <v>1</v>
      </c>
      <c r="M1307">
        <v>4</v>
      </c>
      <c r="N1307">
        <v>0.78</v>
      </c>
      <c r="O1307">
        <v>3.4</v>
      </c>
      <c r="P1307">
        <v>83</v>
      </c>
      <c r="Q1307">
        <v>170</v>
      </c>
      <c r="R1307">
        <v>940</v>
      </c>
      <c r="S1307">
        <v>1300</v>
      </c>
      <c r="V1307">
        <f>River_data[[#This Row],[Dissolved Oxygen Min]]*River_data[[#This Row],[Dissolved Oxygen Max]]/2</f>
        <v>21.349999999999998</v>
      </c>
      <c r="W1307">
        <f>River_data[[#This Row],[BOD Min]]*River_data[[#This Row],[BOD Max]]/2</f>
        <v>2</v>
      </c>
      <c r="X1307">
        <f>AVERAGE(River_data[[#This Row],[pH Max]]-River_data[[#This Row],[pH Min]])</f>
        <v>1.5999999999999996</v>
      </c>
    </row>
    <row r="1308" spans="1:24" x14ac:dyDescent="0.3">
      <c r="A1308">
        <v>1171</v>
      </c>
      <c r="B1308" s="1" t="s">
        <v>1333</v>
      </c>
      <c r="C1308" s="1" t="s">
        <v>1138</v>
      </c>
      <c r="D1308">
        <v>20</v>
      </c>
      <c r="E1308">
        <v>29</v>
      </c>
      <c r="F1308">
        <v>5.7</v>
      </c>
      <c r="G1308">
        <v>6.7</v>
      </c>
      <c r="H1308">
        <v>7.8</v>
      </c>
      <c r="I1308">
        <v>8.5</v>
      </c>
      <c r="J1308">
        <v>221</v>
      </c>
      <c r="K1308">
        <v>518</v>
      </c>
      <c r="L1308">
        <v>2</v>
      </c>
      <c r="M1308">
        <v>4.5</v>
      </c>
      <c r="N1308">
        <v>0.75</v>
      </c>
      <c r="O1308">
        <v>4.0999999999999996</v>
      </c>
      <c r="P1308">
        <v>110</v>
      </c>
      <c r="Q1308">
        <v>270</v>
      </c>
      <c r="R1308">
        <v>1300</v>
      </c>
      <c r="S1308">
        <v>2400</v>
      </c>
      <c r="V1308">
        <f>River_data[[#This Row],[Dissolved Oxygen Min]]*River_data[[#This Row],[Dissolved Oxygen Max]]/2</f>
        <v>19.095000000000002</v>
      </c>
      <c r="W1308">
        <f>River_data[[#This Row],[BOD Min]]*River_data[[#This Row],[BOD Max]]/2</f>
        <v>4.5</v>
      </c>
      <c r="X1308">
        <f>AVERAGE(River_data[[#This Row],[pH Max]]-River_data[[#This Row],[pH Min]])</f>
        <v>0.70000000000000018</v>
      </c>
    </row>
    <row r="1309" spans="1:24" x14ac:dyDescent="0.3">
      <c r="A1309">
        <v>1386</v>
      </c>
      <c r="B1309" s="1" t="s">
        <v>1334</v>
      </c>
      <c r="C1309" s="1" t="s">
        <v>1138</v>
      </c>
      <c r="D1309">
        <v>19</v>
      </c>
      <c r="E1309">
        <v>29</v>
      </c>
      <c r="F1309">
        <v>5.5</v>
      </c>
      <c r="G1309">
        <v>6.9</v>
      </c>
      <c r="H1309">
        <v>7.7</v>
      </c>
      <c r="I1309">
        <v>8.6999999999999993</v>
      </c>
      <c r="J1309">
        <v>158</v>
      </c>
      <c r="K1309">
        <v>438</v>
      </c>
      <c r="L1309">
        <v>2</v>
      </c>
      <c r="M1309">
        <v>4</v>
      </c>
      <c r="N1309">
        <v>1.4</v>
      </c>
      <c r="O1309">
        <v>2.8</v>
      </c>
      <c r="P1309">
        <v>110</v>
      </c>
      <c r="Q1309">
        <v>210</v>
      </c>
      <c r="R1309">
        <v>1200</v>
      </c>
      <c r="S1309">
        <v>1700</v>
      </c>
      <c r="V1309">
        <f>River_data[[#This Row],[Dissolved Oxygen Min]]*River_data[[#This Row],[Dissolved Oxygen Max]]/2</f>
        <v>18.975000000000001</v>
      </c>
      <c r="W1309">
        <f>River_data[[#This Row],[BOD Min]]*River_data[[#This Row],[BOD Max]]/2</f>
        <v>4</v>
      </c>
      <c r="X1309">
        <f>AVERAGE(River_data[[#This Row],[pH Max]]-River_data[[#This Row],[pH Min]])</f>
        <v>0.99999999999999911</v>
      </c>
    </row>
    <row r="1310" spans="1:24" x14ac:dyDescent="0.3">
      <c r="A1310">
        <v>34</v>
      </c>
      <c r="B1310" s="1" t="s">
        <v>1335</v>
      </c>
      <c r="C1310" s="1" t="s">
        <v>1138</v>
      </c>
      <c r="D1310">
        <v>21</v>
      </c>
      <c r="E1310">
        <v>33</v>
      </c>
      <c r="F1310">
        <v>5.4</v>
      </c>
      <c r="G1310">
        <v>7</v>
      </c>
      <c r="H1310">
        <v>7.9</v>
      </c>
      <c r="I1310">
        <v>8.6</v>
      </c>
      <c r="J1310">
        <v>215</v>
      </c>
      <c r="K1310">
        <v>485</v>
      </c>
      <c r="L1310">
        <v>1</v>
      </c>
      <c r="M1310">
        <v>3.5</v>
      </c>
      <c r="N1310">
        <v>1.1599999999999999</v>
      </c>
      <c r="O1310">
        <v>2.4</v>
      </c>
      <c r="P1310">
        <v>110</v>
      </c>
      <c r="Q1310">
        <v>210</v>
      </c>
      <c r="R1310">
        <v>1100</v>
      </c>
      <c r="S1310">
        <v>1700</v>
      </c>
      <c r="V1310">
        <f>River_data[[#This Row],[Dissolved Oxygen Min]]*River_data[[#This Row],[Dissolved Oxygen Max]]/2</f>
        <v>18.900000000000002</v>
      </c>
      <c r="W1310">
        <f>River_data[[#This Row],[BOD Min]]*River_data[[#This Row],[BOD Max]]/2</f>
        <v>1.75</v>
      </c>
      <c r="X1310">
        <f>AVERAGE(River_data[[#This Row],[pH Max]]-River_data[[#This Row],[pH Min]])</f>
        <v>0.69999999999999929</v>
      </c>
    </row>
    <row r="1311" spans="1:24" x14ac:dyDescent="0.3">
      <c r="A1311">
        <v>2773</v>
      </c>
      <c r="B1311" s="1" t="s">
        <v>1336</v>
      </c>
      <c r="C1311" s="1" t="s">
        <v>1138</v>
      </c>
      <c r="D1311">
        <v>23</v>
      </c>
      <c r="E1311">
        <v>28</v>
      </c>
      <c r="F1311">
        <v>5.7</v>
      </c>
      <c r="G1311">
        <v>7.1</v>
      </c>
      <c r="H1311">
        <v>8</v>
      </c>
      <c r="I1311">
        <v>8.5</v>
      </c>
      <c r="J1311">
        <v>195</v>
      </c>
      <c r="K1311">
        <v>495</v>
      </c>
      <c r="L1311">
        <v>1</v>
      </c>
      <c r="M1311">
        <v>3.5</v>
      </c>
      <c r="N1311">
        <v>0.97</v>
      </c>
      <c r="O1311">
        <v>2.8</v>
      </c>
      <c r="P1311">
        <v>110</v>
      </c>
      <c r="Q1311">
        <v>170</v>
      </c>
      <c r="R1311">
        <v>1100</v>
      </c>
      <c r="S1311">
        <v>1700</v>
      </c>
      <c r="V1311">
        <f>River_data[[#This Row],[Dissolved Oxygen Min]]*River_data[[#This Row],[Dissolved Oxygen Max]]/2</f>
        <v>20.234999999999999</v>
      </c>
      <c r="W1311">
        <f>River_data[[#This Row],[BOD Min]]*River_data[[#This Row],[BOD Max]]/2</f>
        <v>1.75</v>
      </c>
      <c r="X1311">
        <f>AVERAGE(River_data[[#This Row],[pH Max]]-River_data[[#This Row],[pH Min]])</f>
        <v>0.5</v>
      </c>
    </row>
    <row r="1312" spans="1:24" x14ac:dyDescent="0.3">
      <c r="A1312">
        <v>2774</v>
      </c>
      <c r="B1312" s="1" t="s">
        <v>1337</v>
      </c>
      <c r="C1312" s="1" t="s">
        <v>1138</v>
      </c>
      <c r="D1312">
        <v>19</v>
      </c>
      <c r="E1312">
        <v>28</v>
      </c>
      <c r="F1312">
        <v>6.2</v>
      </c>
      <c r="G1312">
        <v>6.9</v>
      </c>
      <c r="H1312">
        <v>7.6</v>
      </c>
      <c r="I1312">
        <v>8.5</v>
      </c>
      <c r="J1312">
        <v>160</v>
      </c>
      <c r="K1312">
        <v>457</v>
      </c>
      <c r="L1312">
        <v>1.8</v>
      </c>
      <c r="M1312">
        <v>3</v>
      </c>
      <c r="N1312">
        <v>0.48</v>
      </c>
      <c r="O1312">
        <v>3.3</v>
      </c>
      <c r="P1312">
        <v>110</v>
      </c>
      <c r="Q1312">
        <v>210</v>
      </c>
      <c r="R1312">
        <v>1100</v>
      </c>
      <c r="S1312">
        <v>1500</v>
      </c>
      <c r="V1312">
        <f>River_data[[#This Row],[Dissolved Oxygen Min]]*River_data[[#This Row],[Dissolved Oxygen Max]]/2</f>
        <v>21.39</v>
      </c>
      <c r="W1312">
        <f>River_data[[#This Row],[BOD Min]]*River_data[[#This Row],[BOD Max]]/2</f>
        <v>2.7</v>
      </c>
      <c r="X1312">
        <f>AVERAGE(River_data[[#This Row],[pH Max]]-River_data[[#This Row],[pH Min]])</f>
        <v>0.90000000000000036</v>
      </c>
    </row>
    <row r="1313" spans="1:24" x14ac:dyDescent="0.3">
      <c r="A1313">
        <v>3566</v>
      </c>
      <c r="B1313" s="1" t="s">
        <v>1338</v>
      </c>
      <c r="C1313" s="1" t="s">
        <v>1138</v>
      </c>
      <c r="D1313">
        <v>19</v>
      </c>
      <c r="E1313">
        <v>29</v>
      </c>
      <c r="F1313">
        <v>6.1</v>
      </c>
      <c r="G1313">
        <v>7.1</v>
      </c>
      <c r="H1313">
        <v>7.5</v>
      </c>
      <c r="I1313">
        <v>8.6999999999999993</v>
      </c>
      <c r="J1313">
        <v>140</v>
      </c>
      <c r="K1313">
        <v>564</v>
      </c>
      <c r="L1313">
        <v>1</v>
      </c>
      <c r="M1313">
        <v>3</v>
      </c>
      <c r="N1313">
        <v>0.96</v>
      </c>
      <c r="O1313">
        <v>2.9</v>
      </c>
      <c r="P1313">
        <v>83</v>
      </c>
      <c r="Q1313">
        <v>170</v>
      </c>
      <c r="R1313">
        <v>700</v>
      </c>
      <c r="S1313">
        <v>2100</v>
      </c>
      <c r="V1313">
        <f>River_data[[#This Row],[Dissolved Oxygen Min]]*River_data[[#This Row],[Dissolved Oxygen Max]]/2</f>
        <v>21.654999999999998</v>
      </c>
      <c r="W1313">
        <f>River_data[[#This Row],[BOD Min]]*River_data[[#This Row],[BOD Max]]/2</f>
        <v>1.5</v>
      </c>
      <c r="X1313">
        <f>AVERAGE(River_data[[#This Row],[pH Max]]-River_data[[#This Row],[pH Min]])</f>
        <v>1.1999999999999993</v>
      </c>
    </row>
    <row r="1314" spans="1:24" x14ac:dyDescent="0.3">
      <c r="A1314">
        <v>3568</v>
      </c>
      <c r="B1314" s="1" t="s">
        <v>1339</v>
      </c>
      <c r="C1314" s="1" t="s">
        <v>1138</v>
      </c>
      <c r="D1314">
        <v>20</v>
      </c>
      <c r="E1314">
        <v>29</v>
      </c>
      <c r="F1314">
        <v>5.7</v>
      </c>
      <c r="G1314">
        <v>6.4</v>
      </c>
      <c r="H1314">
        <v>7.5</v>
      </c>
      <c r="I1314">
        <v>8.6</v>
      </c>
      <c r="J1314">
        <v>203</v>
      </c>
      <c r="K1314">
        <v>586</v>
      </c>
      <c r="L1314">
        <v>2.5</v>
      </c>
      <c r="M1314">
        <v>4</v>
      </c>
      <c r="N1314">
        <v>0.72</v>
      </c>
      <c r="O1314">
        <v>3.9</v>
      </c>
      <c r="P1314">
        <v>110</v>
      </c>
      <c r="Q1314">
        <v>260</v>
      </c>
      <c r="R1314">
        <v>1200</v>
      </c>
      <c r="S1314">
        <v>2300</v>
      </c>
      <c r="V1314">
        <f>River_data[[#This Row],[Dissolved Oxygen Min]]*River_data[[#This Row],[Dissolved Oxygen Max]]/2</f>
        <v>18.240000000000002</v>
      </c>
      <c r="W1314">
        <f>River_data[[#This Row],[BOD Min]]*River_data[[#This Row],[BOD Max]]/2</f>
        <v>5</v>
      </c>
      <c r="X1314">
        <f>AVERAGE(River_data[[#This Row],[pH Max]]-River_data[[#This Row],[pH Min]])</f>
        <v>1.0999999999999996</v>
      </c>
    </row>
    <row r="1315" spans="1:24" x14ac:dyDescent="0.3">
      <c r="A1315">
        <v>3569</v>
      </c>
      <c r="B1315" s="1" t="s">
        <v>1340</v>
      </c>
      <c r="C1315" s="1" t="s">
        <v>1138</v>
      </c>
      <c r="D1315">
        <v>20</v>
      </c>
      <c r="E1315">
        <v>29</v>
      </c>
      <c r="F1315">
        <v>5.8</v>
      </c>
      <c r="G1315">
        <v>6.7</v>
      </c>
      <c r="H1315">
        <v>7.3</v>
      </c>
      <c r="I1315">
        <v>8.6</v>
      </c>
      <c r="J1315">
        <v>216</v>
      </c>
      <c r="K1315">
        <v>704</v>
      </c>
      <c r="L1315">
        <v>2</v>
      </c>
      <c r="M1315">
        <v>4.5</v>
      </c>
      <c r="N1315">
        <v>0.71</v>
      </c>
      <c r="O1315">
        <v>4.0999999999999996</v>
      </c>
      <c r="P1315">
        <v>93</v>
      </c>
      <c r="Q1315">
        <v>320</v>
      </c>
      <c r="R1315">
        <v>1100</v>
      </c>
      <c r="S1315">
        <v>2100</v>
      </c>
      <c r="V1315">
        <f>River_data[[#This Row],[Dissolved Oxygen Min]]*River_data[[#This Row],[Dissolved Oxygen Max]]/2</f>
        <v>19.43</v>
      </c>
      <c r="W1315">
        <f>River_data[[#This Row],[BOD Min]]*River_data[[#This Row],[BOD Max]]/2</f>
        <v>4.5</v>
      </c>
      <c r="X1315">
        <f>AVERAGE(River_data[[#This Row],[pH Max]]-River_data[[#This Row],[pH Min]])</f>
        <v>1.2999999999999998</v>
      </c>
    </row>
    <row r="1316" spans="1:24" x14ac:dyDescent="0.3">
      <c r="A1316">
        <v>3570</v>
      </c>
      <c r="B1316" s="1" t="s">
        <v>1341</v>
      </c>
      <c r="C1316" s="1" t="s">
        <v>1138</v>
      </c>
      <c r="D1316">
        <v>21</v>
      </c>
      <c r="E1316">
        <v>30</v>
      </c>
      <c r="F1316">
        <v>5.9</v>
      </c>
      <c r="G1316">
        <v>7</v>
      </c>
      <c r="H1316">
        <v>7.3</v>
      </c>
      <c r="I1316">
        <v>8.6</v>
      </c>
      <c r="J1316">
        <v>140</v>
      </c>
      <c r="K1316">
        <v>535</v>
      </c>
      <c r="L1316">
        <v>1</v>
      </c>
      <c r="M1316">
        <v>3.5</v>
      </c>
      <c r="N1316">
        <v>0.56000000000000005</v>
      </c>
      <c r="O1316">
        <v>4.3</v>
      </c>
      <c r="P1316">
        <v>68</v>
      </c>
      <c r="Q1316">
        <v>220</v>
      </c>
      <c r="R1316">
        <v>840</v>
      </c>
      <c r="S1316">
        <v>1300</v>
      </c>
      <c r="V1316">
        <f>River_data[[#This Row],[Dissolved Oxygen Min]]*River_data[[#This Row],[Dissolved Oxygen Max]]/2</f>
        <v>20.650000000000002</v>
      </c>
      <c r="W1316">
        <f>River_data[[#This Row],[BOD Min]]*River_data[[#This Row],[BOD Max]]/2</f>
        <v>1.75</v>
      </c>
      <c r="X1316">
        <f>AVERAGE(River_data[[#This Row],[pH Max]]-River_data[[#This Row],[pH Min]])</f>
        <v>1.2999999999999998</v>
      </c>
    </row>
    <row r="1317" spans="1:24" x14ac:dyDescent="0.3">
      <c r="A1317">
        <v>3571</v>
      </c>
      <c r="B1317" s="1" t="s">
        <v>1342</v>
      </c>
      <c r="C1317" s="1" t="s">
        <v>1138</v>
      </c>
      <c r="D1317">
        <v>21</v>
      </c>
      <c r="E1317">
        <v>30</v>
      </c>
      <c r="F1317">
        <v>6.3</v>
      </c>
      <c r="G1317">
        <v>7.2</v>
      </c>
      <c r="H1317">
        <v>7.4</v>
      </c>
      <c r="I1317">
        <v>8.6</v>
      </c>
      <c r="J1317">
        <v>120</v>
      </c>
      <c r="K1317">
        <v>493</v>
      </c>
      <c r="L1317">
        <v>1</v>
      </c>
      <c r="M1317">
        <v>3</v>
      </c>
      <c r="N1317">
        <v>0.48</v>
      </c>
      <c r="O1317">
        <v>2.9</v>
      </c>
      <c r="P1317">
        <v>68</v>
      </c>
      <c r="Q1317">
        <v>93</v>
      </c>
      <c r="R1317">
        <v>700</v>
      </c>
      <c r="S1317">
        <v>1100</v>
      </c>
      <c r="V1317">
        <f>River_data[[#This Row],[Dissolved Oxygen Min]]*River_data[[#This Row],[Dissolved Oxygen Max]]/2</f>
        <v>22.68</v>
      </c>
      <c r="W1317">
        <f>River_data[[#This Row],[BOD Min]]*River_data[[#This Row],[BOD Max]]/2</f>
        <v>1.5</v>
      </c>
      <c r="X1317">
        <f>AVERAGE(River_data[[#This Row],[pH Max]]-River_data[[#This Row],[pH Min]])</f>
        <v>1.1999999999999993</v>
      </c>
    </row>
    <row r="1318" spans="1:24" x14ac:dyDescent="0.3">
      <c r="A1318">
        <v>3573</v>
      </c>
      <c r="B1318" s="1" t="s">
        <v>1343</v>
      </c>
      <c r="C1318" s="1" t="s">
        <v>1138</v>
      </c>
      <c r="D1318">
        <v>17</v>
      </c>
      <c r="E1318">
        <v>27</v>
      </c>
      <c r="F1318">
        <v>6.2</v>
      </c>
      <c r="G1318">
        <v>7.7</v>
      </c>
      <c r="H1318">
        <v>7.3</v>
      </c>
      <c r="I1318">
        <v>8.6</v>
      </c>
      <c r="J1318">
        <v>66</v>
      </c>
      <c r="K1318">
        <v>326</v>
      </c>
      <c r="L1318">
        <v>1</v>
      </c>
      <c r="M1318">
        <v>3</v>
      </c>
      <c r="N1318">
        <v>0.32</v>
      </c>
      <c r="O1318">
        <v>1.8</v>
      </c>
      <c r="P1318">
        <v>32</v>
      </c>
      <c r="Q1318">
        <v>68</v>
      </c>
      <c r="R1318">
        <v>240</v>
      </c>
      <c r="S1318">
        <v>700</v>
      </c>
      <c r="V1318">
        <f>River_data[[#This Row],[Dissolved Oxygen Min]]*River_data[[#This Row],[Dissolved Oxygen Max]]/2</f>
        <v>23.87</v>
      </c>
      <c r="W1318">
        <f>River_data[[#This Row],[BOD Min]]*River_data[[#This Row],[BOD Max]]/2</f>
        <v>1.5</v>
      </c>
      <c r="X1318">
        <f>AVERAGE(River_data[[#This Row],[pH Max]]-River_data[[#This Row],[pH Min]])</f>
        <v>1.2999999999999998</v>
      </c>
    </row>
    <row r="1319" spans="1:24" x14ac:dyDescent="0.3">
      <c r="A1319">
        <v>3576</v>
      </c>
      <c r="B1319" s="1" t="s">
        <v>1344</v>
      </c>
      <c r="C1319" s="1" t="s">
        <v>1138</v>
      </c>
      <c r="D1319">
        <v>18</v>
      </c>
      <c r="E1319">
        <v>28</v>
      </c>
      <c r="F1319">
        <v>6.2</v>
      </c>
      <c r="G1319">
        <v>7.4</v>
      </c>
      <c r="H1319">
        <v>7.6</v>
      </c>
      <c r="I1319">
        <v>8.6</v>
      </c>
      <c r="J1319">
        <v>152</v>
      </c>
      <c r="K1319">
        <v>462</v>
      </c>
      <c r="L1319">
        <v>1</v>
      </c>
      <c r="M1319">
        <v>3</v>
      </c>
      <c r="N1319">
        <v>1.1000000000000001</v>
      </c>
      <c r="O1319">
        <v>2.9</v>
      </c>
      <c r="P1319">
        <v>68</v>
      </c>
      <c r="Q1319">
        <v>120</v>
      </c>
      <c r="R1319">
        <v>230</v>
      </c>
      <c r="S1319">
        <v>1100</v>
      </c>
      <c r="V1319">
        <f>River_data[[#This Row],[Dissolved Oxygen Min]]*River_data[[#This Row],[Dissolved Oxygen Max]]/2</f>
        <v>22.94</v>
      </c>
      <c r="W1319">
        <f>River_data[[#This Row],[BOD Min]]*River_data[[#This Row],[BOD Max]]/2</f>
        <v>1.5</v>
      </c>
      <c r="X1319">
        <f>AVERAGE(River_data[[#This Row],[pH Max]]-River_data[[#This Row],[pH Min]])</f>
        <v>1</v>
      </c>
    </row>
    <row r="1320" spans="1:24" x14ac:dyDescent="0.3">
      <c r="A1320">
        <v>3578</v>
      </c>
      <c r="B1320" s="1" t="s">
        <v>1345</v>
      </c>
      <c r="C1320" s="1" t="s">
        <v>1138</v>
      </c>
      <c r="D1320">
        <v>19</v>
      </c>
      <c r="E1320">
        <v>27</v>
      </c>
      <c r="F1320">
        <v>6.5</v>
      </c>
      <c r="G1320">
        <v>7.3</v>
      </c>
      <c r="H1320">
        <v>8</v>
      </c>
      <c r="I1320">
        <v>8.6999999999999993</v>
      </c>
      <c r="J1320">
        <v>218</v>
      </c>
      <c r="K1320">
        <v>481</v>
      </c>
      <c r="L1320">
        <v>1</v>
      </c>
      <c r="M1320">
        <v>3</v>
      </c>
      <c r="N1320">
        <v>0.75</v>
      </c>
      <c r="O1320">
        <v>2.4</v>
      </c>
      <c r="P1320">
        <v>68</v>
      </c>
      <c r="Q1320">
        <v>110</v>
      </c>
      <c r="R1320">
        <v>700</v>
      </c>
      <c r="S1320">
        <v>1500</v>
      </c>
      <c r="V1320">
        <f>River_data[[#This Row],[Dissolved Oxygen Min]]*River_data[[#This Row],[Dissolved Oxygen Max]]/2</f>
        <v>23.724999999999998</v>
      </c>
      <c r="W1320">
        <f>River_data[[#This Row],[BOD Min]]*River_data[[#This Row],[BOD Max]]/2</f>
        <v>1.5</v>
      </c>
      <c r="X1320">
        <f>AVERAGE(River_data[[#This Row],[pH Max]]-River_data[[#This Row],[pH Min]])</f>
        <v>0.69999999999999929</v>
      </c>
    </row>
    <row r="1321" spans="1:24" x14ac:dyDescent="0.3">
      <c r="A1321">
        <v>3579</v>
      </c>
      <c r="B1321" s="1" t="s">
        <v>1346</v>
      </c>
      <c r="C1321" s="1" t="s">
        <v>1138</v>
      </c>
      <c r="D1321">
        <v>23</v>
      </c>
      <c r="E1321">
        <v>33</v>
      </c>
      <c r="F1321">
        <v>5.2</v>
      </c>
      <c r="G1321">
        <v>6.8</v>
      </c>
      <c r="H1321">
        <v>7.9</v>
      </c>
      <c r="I1321">
        <v>8.6999999999999993</v>
      </c>
      <c r="J1321">
        <v>205</v>
      </c>
      <c r="K1321">
        <v>492</v>
      </c>
      <c r="L1321">
        <v>2</v>
      </c>
      <c r="M1321">
        <v>4</v>
      </c>
      <c r="N1321">
        <v>1</v>
      </c>
      <c r="O1321">
        <v>3.4</v>
      </c>
      <c r="P1321">
        <v>78</v>
      </c>
      <c r="Q1321">
        <v>260</v>
      </c>
      <c r="R1321">
        <v>940</v>
      </c>
      <c r="S1321">
        <v>1700</v>
      </c>
      <c r="V1321">
        <f>River_data[[#This Row],[Dissolved Oxygen Min]]*River_data[[#This Row],[Dissolved Oxygen Max]]/2</f>
        <v>17.68</v>
      </c>
      <c r="W1321">
        <f>River_data[[#This Row],[BOD Min]]*River_data[[#This Row],[BOD Max]]/2</f>
        <v>4</v>
      </c>
      <c r="X1321">
        <f>AVERAGE(River_data[[#This Row],[pH Max]]-River_data[[#This Row],[pH Min]])</f>
        <v>0.79999999999999893</v>
      </c>
    </row>
    <row r="1322" spans="1:24" x14ac:dyDescent="0.3">
      <c r="A1322">
        <v>3581</v>
      </c>
      <c r="B1322" s="1" t="s">
        <v>1347</v>
      </c>
      <c r="C1322" s="1" t="s">
        <v>1138</v>
      </c>
      <c r="D1322">
        <v>19</v>
      </c>
      <c r="E1322">
        <v>28</v>
      </c>
      <c r="F1322">
        <v>6.3</v>
      </c>
      <c r="G1322">
        <v>7.3</v>
      </c>
      <c r="H1322">
        <v>7.9</v>
      </c>
      <c r="I1322">
        <v>8.6999999999999993</v>
      </c>
      <c r="J1322">
        <v>218</v>
      </c>
      <c r="K1322">
        <v>480</v>
      </c>
      <c r="L1322">
        <v>1</v>
      </c>
      <c r="M1322">
        <v>3</v>
      </c>
      <c r="N1322">
        <v>0.84</v>
      </c>
      <c r="O1322">
        <v>2.7</v>
      </c>
      <c r="P1322">
        <v>61</v>
      </c>
      <c r="Q1322">
        <v>110</v>
      </c>
      <c r="R1322">
        <v>630</v>
      </c>
      <c r="S1322">
        <v>1200</v>
      </c>
      <c r="V1322">
        <f>River_data[[#This Row],[Dissolved Oxygen Min]]*River_data[[#This Row],[Dissolved Oxygen Max]]/2</f>
        <v>22.994999999999997</v>
      </c>
      <c r="W1322">
        <f>River_data[[#This Row],[BOD Min]]*River_data[[#This Row],[BOD Max]]/2</f>
        <v>1.5</v>
      </c>
      <c r="X1322">
        <f>AVERAGE(River_data[[#This Row],[pH Max]]-River_data[[#This Row],[pH Min]])</f>
        <v>0.79999999999999893</v>
      </c>
    </row>
    <row r="1323" spans="1:24" x14ac:dyDescent="0.3">
      <c r="A1323">
        <v>4109</v>
      </c>
      <c r="B1323" s="1" t="s">
        <v>1348</v>
      </c>
      <c r="C1323" s="1" t="s">
        <v>1138</v>
      </c>
      <c r="D1323">
        <v>25</v>
      </c>
      <c r="E1323">
        <v>36</v>
      </c>
      <c r="F1323">
        <v>3.6</v>
      </c>
      <c r="G1323">
        <v>6.9</v>
      </c>
      <c r="H1323">
        <v>7.2</v>
      </c>
      <c r="I1323">
        <v>8.1</v>
      </c>
      <c r="J1323">
        <v>269</v>
      </c>
      <c r="K1323">
        <v>1144</v>
      </c>
      <c r="L1323">
        <v>4</v>
      </c>
      <c r="M1323">
        <v>12</v>
      </c>
      <c r="N1323">
        <v>1</v>
      </c>
      <c r="O1323">
        <v>5</v>
      </c>
      <c r="P1323">
        <v>22</v>
      </c>
      <c r="Q1323">
        <v>9400</v>
      </c>
      <c r="R1323">
        <v>79</v>
      </c>
      <c r="S1323">
        <v>92000</v>
      </c>
      <c r="V1323">
        <f>River_data[[#This Row],[Dissolved Oxygen Min]]*River_data[[#This Row],[Dissolved Oxygen Max]]/2</f>
        <v>12.420000000000002</v>
      </c>
      <c r="W1323">
        <f>River_data[[#This Row],[BOD Min]]*River_data[[#This Row],[BOD Max]]/2</f>
        <v>24</v>
      </c>
      <c r="X1323">
        <f>AVERAGE(River_data[[#This Row],[pH Max]]-River_data[[#This Row],[pH Min]])</f>
        <v>0.89999999999999947</v>
      </c>
    </row>
    <row r="1324" spans="1:24" x14ac:dyDescent="0.3">
      <c r="A1324">
        <v>4099</v>
      </c>
      <c r="B1324" s="1" t="s">
        <v>1349</v>
      </c>
      <c r="C1324" s="1" t="s">
        <v>1138</v>
      </c>
      <c r="D1324">
        <v>22</v>
      </c>
      <c r="E1324">
        <v>31</v>
      </c>
      <c r="F1324">
        <v>6.2</v>
      </c>
      <c r="G1324">
        <v>7</v>
      </c>
      <c r="H1324">
        <v>7</v>
      </c>
      <c r="I1324">
        <v>8.6999999999999993</v>
      </c>
      <c r="J1324">
        <v>217</v>
      </c>
      <c r="K1324">
        <v>484</v>
      </c>
      <c r="L1324">
        <v>1</v>
      </c>
      <c r="M1324">
        <v>3</v>
      </c>
      <c r="N1324">
        <v>0.96</v>
      </c>
      <c r="O1324">
        <v>3.2</v>
      </c>
      <c r="P1324">
        <v>78</v>
      </c>
      <c r="Q1324">
        <v>170</v>
      </c>
      <c r="R1324">
        <v>840</v>
      </c>
      <c r="S1324">
        <v>1400</v>
      </c>
      <c r="V1324">
        <f>River_data[[#This Row],[Dissolved Oxygen Min]]*River_data[[#This Row],[Dissolved Oxygen Max]]/2</f>
        <v>21.7</v>
      </c>
      <c r="W1324">
        <f>River_data[[#This Row],[BOD Min]]*River_data[[#This Row],[BOD Max]]/2</f>
        <v>1.5</v>
      </c>
      <c r="X1324">
        <f>AVERAGE(River_data[[#This Row],[pH Max]]-River_data[[#This Row],[pH Min]])</f>
        <v>1.6999999999999993</v>
      </c>
    </row>
    <row r="1325" spans="1:24" x14ac:dyDescent="0.3">
      <c r="A1325">
        <v>4102</v>
      </c>
      <c r="B1325" s="1" t="s">
        <v>1350</v>
      </c>
      <c r="C1325" s="1" t="s">
        <v>1138</v>
      </c>
      <c r="D1325">
        <v>16</v>
      </c>
      <c r="E1325">
        <v>27</v>
      </c>
      <c r="F1325">
        <v>6.5</v>
      </c>
      <c r="G1325">
        <v>7.8</v>
      </c>
      <c r="H1325">
        <v>6.8</v>
      </c>
      <c r="I1325">
        <v>8.9</v>
      </c>
      <c r="J1325">
        <v>48</v>
      </c>
      <c r="K1325">
        <v>127</v>
      </c>
      <c r="L1325">
        <v>1</v>
      </c>
      <c r="M1325">
        <v>2.5</v>
      </c>
      <c r="N1325">
        <v>0.3</v>
      </c>
      <c r="O1325">
        <v>1</v>
      </c>
      <c r="P1325">
        <v>17</v>
      </c>
      <c r="Q1325">
        <v>41</v>
      </c>
      <c r="R1325">
        <v>210</v>
      </c>
      <c r="S1325">
        <v>350</v>
      </c>
      <c r="V1325">
        <f>River_data[[#This Row],[Dissolved Oxygen Min]]*River_data[[#This Row],[Dissolved Oxygen Max]]/2</f>
        <v>25.349999999999998</v>
      </c>
      <c r="W1325">
        <f>River_data[[#This Row],[BOD Min]]*River_data[[#This Row],[BOD Max]]/2</f>
        <v>1.25</v>
      </c>
      <c r="X1325">
        <f>AVERAGE(River_data[[#This Row],[pH Max]]-River_data[[#This Row],[pH Min]])</f>
        <v>2.1000000000000005</v>
      </c>
    </row>
    <row r="1326" spans="1:24" x14ac:dyDescent="0.3">
      <c r="A1326">
        <v>4103</v>
      </c>
      <c r="B1326" s="1" t="s">
        <v>1351</v>
      </c>
      <c r="C1326" s="1" t="s">
        <v>1138</v>
      </c>
      <c r="D1326">
        <v>17</v>
      </c>
      <c r="E1326">
        <v>27</v>
      </c>
      <c r="F1326">
        <v>6.6</v>
      </c>
      <c r="G1326">
        <v>7.6</v>
      </c>
      <c r="H1326">
        <v>7.2</v>
      </c>
      <c r="I1326">
        <v>8.8000000000000007</v>
      </c>
      <c r="J1326">
        <v>58</v>
      </c>
      <c r="K1326">
        <v>333</v>
      </c>
      <c r="L1326">
        <v>1</v>
      </c>
      <c r="M1326">
        <v>3</v>
      </c>
      <c r="N1326">
        <v>0.3</v>
      </c>
      <c r="O1326">
        <v>2.2000000000000002</v>
      </c>
      <c r="P1326">
        <v>21</v>
      </c>
      <c r="Q1326">
        <v>92</v>
      </c>
      <c r="R1326">
        <v>220</v>
      </c>
      <c r="S1326">
        <v>1200</v>
      </c>
      <c r="V1326">
        <f>River_data[[#This Row],[Dissolved Oxygen Min]]*River_data[[#This Row],[Dissolved Oxygen Max]]/2</f>
        <v>25.08</v>
      </c>
      <c r="W1326">
        <f>River_data[[#This Row],[BOD Min]]*River_data[[#This Row],[BOD Max]]/2</f>
        <v>1.5</v>
      </c>
      <c r="X1326">
        <f>AVERAGE(River_data[[#This Row],[pH Max]]-River_data[[#This Row],[pH Min]])</f>
        <v>1.6000000000000005</v>
      </c>
    </row>
    <row r="1327" spans="1:24" x14ac:dyDescent="0.3">
      <c r="A1327">
        <v>30052</v>
      </c>
      <c r="B1327" s="1" t="s">
        <v>1352</v>
      </c>
      <c r="C1327" s="1" t="s">
        <v>1138</v>
      </c>
      <c r="D1327">
        <v>25</v>
      </c>
      <c r="E1327">
        <v>26</v>
      </c>
      <c r="F1327">
        <v>7</v>
      </c>
      <c r="G1327">
        <v>7.7</v>
      </c>
      <c r="H1327">
        <v>8</v>
      </c>
      <c r="I1327">
        <v>8.8000000000000007</v>
      </c>
      <c r="J1327">
        <v>329</v>
      </c>
      <c r="K1327">
        <v>586</v>
      </c>
      <c r="L1327">
        <v>1</v>
      </c>
      <c r="M1327">
        <v>1</v>
      </c>
      <c r="N1327">
        <v>0</v>
      </c>
      <c r="O1327">
        <v>1.72</v>
      </c>
      <c r="P1327">
        <v>11</v>
      </c>
      <c r="Q1327">
        <v>79</v>
      </c>
      <c r="R1327">
        <v>350</v>
      </c>
      <c r="S1327">
        <v>350</v>
      </c>
      <c r="V1327">
        <f>River_data[[#This Row],[Dissolved Oxygen Min]]*River_data[[#This Row],[Dissolved Oxygen Max]]/2</f>
        <v>26.95</v>
      </c>
      <c r="W1327">
        <f>River_data[[#This Row],[BOD Min]]*River_data[[#This Row],[BOD Max]]/2</f>
        <v>0.5</v>
      </c>
      <c r="X1327">
        <f>AVERAGE(River_data[[#This Row],[pH Max]]-River_data[[#This Row],[pH Min]])</f>
        <v>0.80000000000000071</v>
      </c>
    </row>
    <row r="1328" spans="1:24" x14ac:dyDescent="0.3">
      <c r="A1328">
        <v>50</v>
      </c>
      <c r="B1328" s="1" t="s">
        <v>1353</v>
      </c>
      <c r="C1328" s="1" t="s">
        <v>1354</v>
      </c>
      <c r="D1328">
        <v>23</v>
      </c>
      <c r="E1328">
        <v>31</v>
      </c>
      <c r="F1328">
        <v>5.2</v>
      </c>
      <c r="G1328">
        <v>6.5</v>
      </c>
      <c r="H1328">
        <v>7</v>
      </c>
      <c r="I1328">
        <v>8.9</v>
      </c>
      <c r="J1328">
        <v>340</v>
      </c>
      <c r="K1328">
        <v>1596</v>
      </c>
      <c r="L1328">
        <v>1</v>
      </c>
      <c r="M1328">
        <v>2.7</v>
      </c>
      <c r="N1328">
        <v>0.32</v>
      </c>
      <c r="O1328">
        <v>0.55000000000000004</v>
      </c>
      <c r="P1328">
        <v>5</v>
      </c>
      <c r="Q1328">
        <v>17</v>
      </c>
      <c r="R1328">
        <v>13</v>
      </c>
      <c r="S1328">
        <v>39</v>
      </c>
      <c r="V1328">
        <f>River_data[[#This Row],[Dissolved Oxygen Min]]*River_data[[#This Row],[Dissolved Oxygen Max]]/2</f>
        <v>16.900000000000002</v>
      </c>
      <c r="W1328">
        <f>River_data[[#This Row],[BOD Min]]*River_data[[#This Row],[BOD Max]]/2</f>
        <v>1.35</v>
      </c>
      <c r="X1328">
        <f>AVERAGE(River_data[[#This Row],[pH Max]]-River_data[[#This Row],[pH Min]])</f>
        <v>1.9000000000000004</v>
      </c>
    </row>
    <row r="1329" spans="1:24" x14ac:dyDescent="0.3">
      <c r="A1329">
        <v>51</v>
      </c>
      <c r="B1329" s="1" t="s">
        <v>1355</v>
      </c>
      <c r="C1329" s="1" t="s">
        <v>1354</v>
      </c>
      <c r="D1329">
        <v>24</v>
      </c>
      <c r="E1329">
        <v>30</v>
      </c>
      <c r="F1329">
        <v>5.9</v>
      </c>
      <c r="G1329">
        <v>6.7</v>
      </c>
      <c r="H1329">
        <v>7.2</v>
      </c>
      <c r="I1329">
        <v>8.3000000000000007</v>
      </c>
      <c r="J1329">
        <v>304</v>
      </c>
      <c r="K1329">
        <v>1204</v>
      </c>
      <c r="L1329">
        <v>1</v>
      </c>
      <c r="M1329">
        <v>2.7</v>
      </c>
      <c r="N1329">
        <v>0.32</v>
      </c>
      <c r="O1329">
        <v>1.22</v>
      </c>
      <c r="P1329">
        <v>7</v>
      </c>
      <c r="Q1329">
        <v>33</v>
      </c>
      <c r="R1329">
        <v>14</v>
      </c>
      <c r="S1329">
        <v>140</v>
      </c>
      <c r="V1329">
        <f>River_data[[#This Row],[Dissolved Oxygen Min]]*River_data[[#This Row],[Dissolved Oxygen Max]]/2</f>
        <v>19.765000000000001</v>
      </c>
      <c r="W1329">
        <f>River_data[[#This Row],[BOD Min]]*River_data[[#This Row],[BOD Max]]/2</f>
        <v>1.35</v>
      </c>
      <c r="X1329">
        <f>AVERAGE(River_data[[#This Row],[pH Max]]-River_data[[#This Row],[pH Min]])</f>
        <v>1.1000000000000005</v>
      </c>
    </row>
    <row r="1330" spans="1:24" x14ac:dyDescent="0.3">
      <c r="A1330">
        <v>1320</v>
      </c>
      <c r="B1330" s="1" t="s">
        <v>1356</v>
      </c>
      <c r="C1330" s="1" t="s">
        <v>1354</v>
      </c>
      <c r="D1330">
        <v>28</v>
      </c>
      <c r="E1330">
        <v>37</v>
      </c>
      <c r="F1330">
        <v>5.2</v>
      </c>
      <c r="G1330">
        <v>6.5</v>
      </c>
      <c r="H1330">
        <v>7.1</v>
      </c>
      <c r="I1330">
        <v>8.3000000000000007</v>
      </c>
      <c r="J1330">
        <v>335</v>
      </c>
      <c r="K1330">
        <v>1177</v>
      </c>
      <c r="L1330">
        <v>1</v>
      </c>
      <c r="M1330">
        <v>3.1</v>
      </c>
      <c r="N1330">
        <v>0.32</v>
      </c>
      <c r="O1330">
        <v>3.42</v>
      </c>
      <c r="P1330">
        <v>14</v>
      </c>
      <c r="Q1330">
        <v>26</v>
      </c>
      <c r="R1330">
        <v>26</v>
      </c>
      <c r="S1330">
        <v>70</v>
      </c>
      <c r="V1330">
        <f>River_data[[#This Row],[Dissolved Oxygen Min]]*River_data[[#This Row],[Dissolved Oxygen Max]]/2</f>
        <v>16.900000000000002</v>
      </c>
      <c r="W1330">
        <f>River_data[[#This Row],[BOD Min]]*River_data[[#This Row],[BOD Max]]/2</f>
        <v>1.55</v>
      </c>
      <c r="X1330">
        <f>AVERAGE(River_data[[#This Row],[pH Max]]-River_data[[#This Row],[pH Min]])</f>
        <v>1.2000000000000011</v>
      </c>
    </row>
    <row r="1331" spans="1:24" x14ac:dyDescent="0.3">
      <c r="A1331">
        <v>3015</v>
      </c>
      <c r="B1331" s="1" t="s">
        <v>1357</v>
      </c>
      <c r="C1331" s="1" t="s">
        <v>1354</v>
      </c>
      <c r="D1331">
        <v>26</v>
      </c>
      <c r="E1331">
        <v>35</v>
      </c>
      <c r="F1331">
        <v>5.6</v>
      </c>
      <c r="G1331">
        <v>7.3</v>
      </c>
      <c r="H1331">
        <v>7.6</v>
      </c>
      <c r="I1331">
        <v>8.3000000000000007</v>
      </c>
      <c r="J1331">
        <v>531</v>
      </c>
      <c r="K1331">
        <v>1085</v>
      </c>
      <c r="L1331">
        <v>1</v>
      </c>
      <c r="M1331">
        <v>2.8</v>
      </c>
      <c r="N1331">
        <v>0.32</v>
      </c>
      <c r="O1331">
        <v>0.75</v>
      </c>
      <c r="P1331">
        <v>2</v>
      </c>
      <c r="Q1331">
        <v>21</v>
      </c>
      <c r="R1331">
        <v>8</v>
      </c>
      <c r="S1331">
        <v>47</v>
      </c>
      <c r="V1331">
        <f>River_data[[#This Row],[Dissolved Oxygen Min]]*River_data[[#This Row],[Dissolved Oxygen Max]]/2</f>
        <v>20.439999999999998</v>
      </c>
      <c r="W1331">
        <f>River_data[[#This Row],[BOD Min]]*River_data[[#This Row],[BOD Max]]/2</f>
        <v>1.4</v>
      </c>
      <c r="X1331">
        <f>AVERAGE(River_data[[#This Row],[pH Max]]-River_data[[#This Row],[pH Min]])</f>
        <v>0.70000000000000107</v>
      </c>
    </row>
    <row r="1332" spans="1:24" x14ac:dyDescent="0.3">
      <c r="A1332">
        <v>1324</v>
      </c>
      <c r="B1332" s="1" t="s">
        <v>1358</v>
      </c>
      <c r="C1332" s="1" t="s">
        <v>1354</v>
      </c>
      <c r="D1332">
        <v>3</v>
      </c>
      <c r="E1332">
        <v>33</v>
      </c>
      <c r="F1332">
        <v>5.5</v>
      </c>
      <c r="G1332">
        <v>6.7</v>
      </c>
      <c r="H1332">
        <v>7.6</v>
      </c>
      <c r="I1332">
        <v>8.6</v>
      </c>
      <c r="J1332">
        <v>500</v>
      </c>
      <c r="K1332">
        <v>1336</v>
      </c>
      <c r="L1332">
        <v>1</v>
      </c>
      <c r="M1332">
        <v>2.7</v>
      </c>
      <c r="N1332">
        <v>0.32</v>
      </c>
      <c r="O1332">
        <v>0.92</v>
      </c>
      <c r="P1332">
        <v>9</v>
      </c>
      <c r="Q1332">
        <v>24</v>
      </c>
      <c r="R1332">
        <v>17</v>
      </c>
      <c r="S1332">
        <v>39</v>
      </c>
      <c r="V1332">
        <f>River_data[[#This Row],[Dissolved Oxygen Min]]*River_data[[#This Row],[Dissolved Oxygen Max]]/2</f>
        <v>18.425000000000001</v>
      </c>
      <c r="W1332">
        <f>River_data[[#This Row],[BOD Min]]*River_data[[#This Row],[BOD Max]]/2</f>
        <v>1.35</v>
      </c>
      <c r="X1332">
        <f>AVERAGE(River_data[[#This Row],[pH Max]]-River_data[[#This Row],[pH Min]])</f>
        <v>1</v>
      </c>
    </row>
    <row r="1333" spans="1:24" x14ac:dyDescent="0.3">
      <c r="A1333">
        <v>1451</v>
      </c>
      <c r="B1333" s="1" t="s">
        <v>1359</v>
      </c>
      <c r="C1333" s="1" t="s">
        <v>1354</v>
      </c>
      <c r="D1333">
        <v>26</v>
      </c>
      <c r="E1333">
        <v>34</v>
      </c>
      <c r="F1333">
        <v>5.6</v>
      </c>
      <c r="G1333">
        <v>6.8</v>
      </c>
      <c r="H1333">
        <v>7.5</v>
      </c>
      <c r="I1333">
        <v>8.4</v>
      </c>
      <c r="J1333">
        <v>373</v>
      </c>
      <c r="K1333">
        <v>1260</v>
      </c>
      <c r="L1333">
        <v>1</v>
      </c>
      <c r="M1333">
        <v>2.5</v>
      </c>
      <c r="N1333">
        <v>0.32</v>
      </c>
      <c r="O1333">
        <v>1.21</v>
      </c>
      <c r="P1333">
        <v>2</v>
      </c>
      <c r="Q1333">
        <v>27</v>
      </c>
      <c r="R1333">
        <v>5</v>
      </c>
      <c r="S1333">
        <v>130</v>
      </c>
      <c r="V1333">
        <f>River_data[[#This Row],[Dissolved Oxygen Min]]*River_data[[#This Row],[Dissolved Oxygen Max]]/2</f>
        <v>19.04</v>
      </c>
      <c r="W1333">
        <f>River_data[[#This Row],[BOD Min]]*River_data[[#This Row],[BOD Max]]/2</f>
        <v>1.25</v>
      </c>
      <c r="X1333">
        <f>AVERAGE(River_data[[#This Row],[pH Max]]-River_data[[#This Row],[pH Min]])</f>
        <v>0.90000000000000036</v>
      </c>
    </row>
    <row r="1334" spans="1:24" x14ac:dyDescent="0.3">
      <c r="A1334">
        <v>31</v>
      </c>
      <c r="B1334" s="1" t="s">
        <v>1360</v>
      </c>
      <c r="C1334" s="1" t="s">
        <v>1354</v>
      </c>
      <c r="D1334">
        <v>25</v>
      </c>
      <c r="E1334">
        <v>31</v>
      </c>
      <c r="F1334">
        <v>6.4</v>
      </c>
      <c r="G1334">
        <v>8.8000000000000007</v>
      </c>
      <c r="H1334">
        <v>7.1</v>
      </c>
      <c r="I1334">
        <v>8.4</v>
      </c>
      <c r="J1334">
        <v>426</v>
      </c>
      <c r="K1334">
        <v>978</v>
      </c>
      <c r="L1334">
        <v>1</v>
      </c>
      <c r="M1334">
        <v>3</v>
      </c>
      <c r="N1334">
        <v>0.32</v>
      </c>
      <c r="O1334">
        <v>2.12</v>
      </c>
      <c r="P1334">
        <v>6</v>
      </c>
      <c r="Q1334">
        <v>78</v>
      </c>
      <c r="R1334">
        <v>14</v>
      </c>
      <c r="S1334">
        <v>400</v>
      </c>
      <c r="V1334">
        <f>River_data[[#This Row],[Dissolved Oxygen Min]]*River_data[[#This Row],[Dissolved Oxygen Max]]/2</f>
        <v>28.160000000000004</v>
      </c>
      <c r="W1334">
        <f>River_data[[#This Row],[BOD Min]]*River_data[[#This Row],[BOD Max]]/2</f>
        <v>1.5</v>
      </c>
      <c r="X1334">
        <f>AVERAGE(River_data[[#This Row],[pH Max]]-River_data[[#This Row],[pH Min]])</f>
        <v>1.3000000000000007</v>
      </c>
    </row>
    <row r="1335" spans="1:24" x14ac:dyDescent="0.3">
      <c r="A1335">
        <v>3016</v>
      </c>
      <c r="B1335" s="1" t="s">
        <v>1361</v>
      </c>
      <c r="C1335" s="1" t="s">
        <v>1354</v>
      </c>
      <c r="D1335">
        <v>25</v>
      </c>
      <c r="E1335">
        <v>32</v>
      </c>
      <c r="F1335">
        <v>4.5</v>
      </c>
      <c r="G1335">
        <v>7.9</v>
      </c>
      <c r="H1335">
        <v>7.2</v>
      </c>
      <c r="I1335">
        <v>8.5</v>
      </c>
      <c r="J1335">
        <v>392</v>
      </c>
      <c r="K1335">
        <v>932</v>
      </c>
      <c r="L1335">
        <v>1</v>
      </c>
      <c r="M1335">
        <v>4</v>
      </c>
      <c r="N1335">
        <v>0.32</v>
      </c>
      <c r="O1335">
        <v>2.08</v>
      </c>
      <c r="P1335">
        <v>7</v>
      </c>
      <c r="Q1335">
        <v>170</v>
      </c>
      <c r="R1335">
        <v>17</v>
      </c>
      <c r="S1335">
        <v>940</v>
      </c>
      <c r="V1335">
        <f>River_data[[#This Row],[Dissolved Oxygen Min]]*River_data[[#This Row],[Dissolved Oxygen Max]]/2</f>
        <v>17.775000000000002</v>
      </c>
      <c r="W1335">
        <f>River_data[[#This Row],[BOD Min]]*River_data[[#This Row],[BOD Max]]/2</f>
        <v>2</v>
      </c>
      <c r="X1335">
        <f>AVERAGE(River_data[[#This Row],[pH Max]]-River_data[[#This Row],[pH Min]])</f>
        <v>1.2999999999999998</v>
      </c>
    </row>
    <row r="1336" spans="1:24" x14ac:dyDescent="0.3">
      <c r="A1336">
        <v>1202</v>
      </c>
      <c r="B1336" s="1" t="s">
        <v>1362</v>
      </c>
      <c r="C1336" s="1" t="s">
        <v>1354</v>
      </c>
      <c r="D1336">
        <v>25</v>
      </c>
      <c r="E1336">
        <v>32</v>
      </c>
      <c r="F1336">
        <v>4.2</v>
      </c>
      <c r="G1336">
        <v>7.9</v>
      </c>
      <c r="H1336">
        <v>7.1</v>
      </c>
      <c r="I1336">
        <v>8.3000000000000007</v>
      </c>
      <c r="J1336">
        <v>384</v>
      </c>
      <c r="K1336">
        <v>904</v>
      </c>
      <c r="L1336">
        <v>1</v>
      </c>
      <c r="M1336">
        <v>3</v>
      </c>
      <c r="N1336">
        <v>0.32</v>
      </c>
      <c r="O1336">
        <v>2.2200000000000002</v>
      </c>
      <c r="P1336">
        <v>7</v>
      </c>
      <c r="Q1336">
        <v>45</v>
      </c>
      <c r="R1336">
        <v>24</v>
      </c>
      <c r="S1336">
        <v>140</v>
      </c>
      <c r="V1336">
        <f>River_data[[#This Row],[Dissolved Oxygen Min]]*River_data[[#This Row],[Dissolved Oxygen Max]]/2</f>
        <v>16.59</v>
      </c>
      <c r="W1336">
        <f>River_data[[#This Row],[BOD Min]]*River_data[[#This Row],[BOD Max]]/2</f>
        <v>1.5</v>
      </c>
      <c r="X1336">
        <f>AVERAGE(River_data[[#This Row],[pH Max]]-River_data[[#This Row],[pH Min]])</f>
        <v>1.2000000000000011</v>
      </c>
    </row>
    <row r="1337" spans="1:24" x14ac:dyDescent="0.3">
      <c r="A1337">
        <v>1325</v>
      </c>
      <c r="B1337" s="1" t="s">
        <v>1363</v>
      </c>
      <c r="C1337" s="1" t="s">
        <v>1354</v>
      </c>
      <c r="D1337">
        <v>24</v>
      </c>
      <c r="E1337">
        <v>31</v>
      </c>
      <c r="F1337">
        <v>5.7</v>
      </c>
      <c r="G1337">
        <v>8</v>
      </c>
      <c r="H1337">
        <v>7.3</v>
      </c>
      <c r="I1337">
        <v>8.5</v>
      </c>
      <c r="J1337">
        <v>472</v>
      </c>
      <c r="K1337">
        <v>1016</v>
      </c>
      <c r="L1337">
        <v>1</v>
      </c>
      <c r="M1337">
        <v>3</v>
      </c>
      <c r="N1337">
        <v>0.32</v>
      </c>
      <c r="O1337">
        <v>18.12</v>
      </c>
      <c r="P1337">
        <v>7</v>
      </c>
      <c r="Q1337">
        <v>93</v>
      </c>
      <c r="R1337">
        <v>21</v>
      </c>
      <c r="S1337">
        <v>330</v>
      </c>
      <c r="V1337">
        <f>River_data[[#This Row],[Dissolved Oxygen Min]]*River_data[[#This Row],[Dissolved Oxygen Max]]/2</f>
        <v>22.8</v>
      </c>
      <c r="W1337">
        <f>River_data[[#This Row],[BOD Min]]*River_data[[#This Row],[BOD Max]]/2</f>
        <v>1.5</v>
      </c>
      <c r="X1337">
        <f>AVERAGE(River_data[[#This Row],[pH Max]]-River_data[[#This Row],[pH Min]])</f>
        <v>1.2000000000000002</v>
      </c>
    </row>
    <row r="1338" spans="1:24" x14ac:dyDescent="0.3">
      <c r="A1338">
        <v>1203</v>
      </c>
      <c r="B1338" s="1" t="s">
        <v>1364</v>
      </c>
      <c r="C1338" s="1" t="s">
        <v>1354</v>
      </c>
      <c r="D1338">
        <v>23</v>
      </c>
      <c r="E1338">
        <v>28</v>
      </c>
      <c r="F1338">
        <v>4.5</v>
      </c>
      <c r="G1338">
        <v>7.9</v>
      </c>
      <c r="H1338">
        <v>7.3</v>
      </c>
      <c r="I1338">
        <v>8.1</v>
      </c>
      <c r="J1338">
        <v>472</v>
      </c>
      <c r="K1338">
        <v>946</v>
      </c>
      <c r="L1338">
        <v>1</v>
      </c>
      <c r="M1338">
        <v>2.9</v>
      </c>
      <c r="N1338">
        <v>0.32</v>
      </c>
      <c r="O1338">
        <v>6.48</v>
      </c>
      <c r="P1338">
        <v>2</v>
      </c>
      <c r="Q1338">
        <v>68</v>
      </c>
      <c r="R1338">
        <v>8</v>
      </c>
      <c r="S1338">
        <v>680</v>
      </c>
      <c r="V1338">
        <f>River_data[[#This Row],[Dissolved Oxygen Min]]*River_data[[#This Row],[Dissolved Oxygen Max]]/2</f>
        <v>17.775000000000002</v>
      </c>
      <c r="W1338">
        <f>River_data[[#This Row],[BOD Min]]*River_data[[#This Row],[BOD Max]]/2</f>
        <v>1.45</v>
      </c>
      <c r="X1338">
        <f>AVERAGE(River_data[[#This Row],[pH Max]]-River_data[[#This Row],[pH Min]])</f>
        <v>0.79999999999999982</v>
      </c>
    </row>
    <row r="1339" spans="1:24" x14ac:dyDescent="0.3">
      <c r="A1339">
        <v>1206</v>
      </c>
      <c r="B1339" s="1" t="s">
        <v>1365</v>
      </c>
      <c r="C1339" s="1" t="s">
        <v>1354</v>
      </c>
      <c r="D1339">
        <v>24</v>
      </c>
      <c r="E1339">
        <v>32</v>
      </c>
      <c r="F1339">
        <v>5.6</v>
      </c>
      <c r="G1339">
        <v>7.9</v>
      </c>
      <c r="H1339">
        <v>7.3</v>
      </c>
      <c r="I1339">
        <v>8.4</v>
      </c>
      <c r="J1339">
        <v>395</v>
      </c>
      <c r="K1339">
        <v>890</v>
      </c>
      <c r="L1339">
        <v>1</v>
      </c>
      <c r="M1339">
        <v>2.8</v>
      </c>
      <c r="N1339">
        <v>0.32</v>
      </c>
      <c r="O1339">
        <v>2.36</v>
      </c>
      <c r="P1339">
        <v>2</v>
      </c>
      <c r="Q1339">
        <v>20</v>
      </c>
      <c r="R1339">
        <v>4</v>
      </c>
      <c r="S1339">
        <v>450</v>
      </c>
      <c r="V1339">
        <f>River_data[[#This Row],[Dissolved Oxygen Min]]*River_data[[#This Row],[Dissolved Oxygen Max]]/2</f>
        <v>22.12</v>
      </c>
      <c r="W1339">
        <f>River_data[[#This Row],[BOD Min]]*River_data[[#This Row],[BOD Max]]/2</f>
        <v>1.4</v>
      </c>
      <c r="X1339">
        <f>AVERAGE(River_data[[#This Row],[pH Max]]-River_data[[#This Row],[pH Min]])</f>
        <v>1.1000000000000005</v>
      </c>
    </row>
    <row r="1340" spans="1:24" x14ac:dyDescent="0.3">
      <c r="A1340">
        <v>3018</v>
      </c>
      <c r="B1340" s="1" t="s">
        <v>1366</v>
      </c>
      <c r="C1340" s="1" t="s">
        <v>1354</v>
      </c>
      <c r="D1340">
        <v>23</v>
      </c>
      <c r="E1340">
        <v>23</v>
      </c>
      <c r="F1340">
        <v>5.9</v>
      </c>
      <c r="G1340">
        <v>6.2</v>
      </c>
      <c r="H1340">
        <v>7.8</v>
      </c>
      <c r="I1340">
        <v>8</v>
      </c>
      <c r="J1340">
        <v>583</v>
      </c>
      <c r="K1340">
        <v>627</v>
      </c>
      <c r="L1340">
        <v>1</v>
      </c>
      <c r="M1340">
        <v>1</v>
      </c>
      <c r="N1340">
        <v>0.32</v>
      </c>
      <c r="O1340">
        <v>0.5</v>
      </c>
      <c r="P1340">
        <v>14</v>
      </c>
      <c r="Q1340">
        <v>14</v>
      </c>
      <c r="R1340">
        <v>26</v>
      </c>
      <c r="S1340">
        <v>31</v>
      </c>
      <c r="V1340">
        <f>River_data[[#This Row],[Dissolved Oxygen Min]]*River_data[[#This Row],[Dissolved Oxygen Max]]/2</f>
        <v>18.290000000000003</v>
      </c>
      <c r="W1340">
        <f>River_data[[#This Row],[BOD Min]]*River_data[[#This Row],[BOD Max]]/2</f>
        <v>0.5</v>
      </c>
      <c r="X1340">
        <f>AVERAGE(River_data[[#This Row],[pH Max]]-River_data[[#This Row],[pH Min]])</f>
        <v>0.20000000000000018</v>
      </c>
    </row>
    <row r="1341" spans="1:24" x14ac:dyDescent="0.3">
      <c r="A1341">
        <v>3012</v>
      </c>
      <c r="B1341" s="1" t="s">
        <v>1367</v>
      </c>
      <c r="C1341" s="1" t="s">
        <v>1354</v>
      </c>
      <c r="D1341">
        <v>25</v>
      </c>
      <c r="E1341">
        <v>30</v>
      </c>
      <c r="F1341">
        <v>5.8</v>
      </c>
      <c r="G1341">
        <v>6.5</v>
      </c>
      <c r="H1341">
        <v>7.4</v>
      </c>
      <c r="I1341">
        <v>8.3000000000000007</v>
      </c>
      <c r="J1341">
        <v>368</v>
      </c>
      <c r="K1341">
        <v>839</v>
      </c>
      <c r="L1341">
        <v>1</v>
      </c>
      <c r="M1341">
        <v>2.4</v>
      </c>
      <c r="N1341">
        <v>0.32</v>
      </c>
      <c r="O1341">
        <v>1.49</v>
      </c>
      <c r="P1341">
        <v>11</v>
      </c>
      <c r="Q1341">
        <v>27</v>
      </c>
      <c r="R1341">
        <v>17</v>
      </c>
      <c r="S1341">
        <v>110</v>
      </c>
      <c r="V1341">
        <f>River_data[[#This Row],[Dissolved Oxygen Min]]*River_data[[#This Row],[Dissolved Oxygen Max]]/2</f>
        <v>18.849999999999998</v>
      </c>
      <c r="W1341">
        <f>River_data[[#This Row],[BOD Min]]*River_data[[#This Row],[BOD Max]]/2</f>
        <v>1.2</v>
      </c>
      <c r="X1341">
        <f>AVERAGE(River_data[[#This Row],[pH Max]]-River_data[[#This Row],[pH Min]])</f>
        <v>0.90000000000000036</v>
      </c>
    </row>
    <row r="1342" spans="1:24" x14ac:dyDescent="0.3">
      <c r="A1342">
        <v>3013</v>
      </c>
      <c r="B1342" s="1" t="s">
        <v>1368</v>
      </c>
      <c r="C1342" s="1" t="s">
        <v>1354</v>
      </c>
      <c r="D1342">
        <v>29</v>
      </c>
      <c r="E1342">
        <v>37</v>
      </c>
      <c r="F1342">
        <v>4.9000000000000004</v>
      </c>
      <c r="G1342">
        <v>6.7</v>
      </c>
      <c r="H1342">
        <v>7.7</v>
      </c>
      <c r="I1342">
        <v>8.6999999999999993</v>
      </c>
      <c r="J1342">
        <v>322</v>
      </c>
      <c r="K1342">
        <v>707</v>
      </c>
      <c r="L1342">
        <v>1</v>
      </c>
      <c r="M1342">
        <v>3</v>
      </c>
      <c r="N1342">
        <v>0.32</v>
      </c>
      <c r="O1342">
        <v>0.64</v>
      </c>
      <c r="P1342">
        <v>8</v>
      </c>
      <c r="Q1342">
        <v>27</v>
      </c>
      <c r="R1342">
        <v>17</v>
      </c>
      <c r="S1342">
        <v>47</v>
      </c>
      <c r="V1342">
        <f>River_data[[#This Row],[Dissolved Oxygen Min]]*River_data[[#This Row],[Dissolved Oxygen Max]]/2</f>
        <v>16.415000000000003</v>
      </c>
      <c r="W1342">
        <f>River_data[[#This Row],[BOD Min]]*River_data[[#This Row],[BOD Max]]/2</f>
        <v>1.5</v>
      </c>
      <c r="X1342">
        <f>AVERAGE(River_data[[#This Row],[pH Max]]-River_data[[#This Row],[pH Min]])</f>
        <v>0.99999999999999911</v>
      </c>
    </row>
    <row r="1343" spans="1:24" x14ac:dyDescent="0.3">
      <c r="A1343">
        <v>3014</v>
      </c>
      <c r="B1343" s="1" t="s">
        <v>1369</v>
      </c>
      <c r="C1343" s="1" t="s">
        <v>1354</v>
      </c>
      <c r="D1343">
        <v>25</v>
      </c>
      <c r="E1343">
        <v>30</v>
      </c>
      <c r="F1343">
        <v>5.9</v>
      </c>
      <c r="G1343">
        <v>6.5</v>
      </c>
      <c r="H1343">
        <v>7.5</v>
      </c>
      <c r="I1343">
        <v>8.4</v>
      </c>
      <c r="J1343">
        <v>350</v>
      </c>
      <c r="K1343">
        <v>903</v>
      </c>
      <c r="L1343">
        <v>1</v>
      </c>
      <c r="M1343">
        <v>2.1</v>
      </c>
      <c r="N1343">
        <v>0.32</v>
      </c>
      <c r="O1343">
        <v>0.92</v>
      </c>
      <c r="P1343">
        <v>7</v>
      </c>
      <c r="Q1343">
        <v>24</v>
      </c>
      <c r="R1343">
        <v>14</v>
      </c>
      <c r="S1343">
        <v>46</v>
      </c>
      <c r="V1343">
        <f>River_data[[#This Row],[Dissolved Oxygen Min]]*River_data[[#This Row],[Dissolved Oxygen Max]]/2</f>
        <v>19.175000000000001</v>
      </c>
      <c r="W1343">
        <f>River_data[[#This Row],[BOD Min]]*River_data[[#This Row],[BOD Max]]/2</f>
        <v>1.05</v>
      </c>
      <c r="X1343">
        <f>AVERAGE(River_data[[#This Row],[pH Max]]-River_data[[#This Row],[pH Min]])</f>
        <v>0.90000000000000036</v>
      </c>
    </row>
    <row r="1344" spans="1:24" x14ac:dyDescent="0.3">
      <c r="A1344">
        <v>4827</v>
      </c>
      <c r="B1344" s="1" t="s">
        <v>1370</v>
      </c>
      <c r="C1344" s="1" t="s">
        <v>1354</v>
      </c>
      <c r="D1344">
        <v>24</v>
      </c>
      <c r="E1344">
        <v>31</v>
      </c>
      <c r="F1344">
        <v>6.1</v>
      </c>
      <c r="G1344">
        <v>6.5</v>
      </c>
      <c r="H1344">
        <v>7.4</v>
      </c>
      <c r="I1344">
        <v>8.3000000000000007</v>
      </c>
      <c r="J1344">
        <v>325</v>
      </c>
      <c r="K1344">
        <v>1306</v>
      </c>
      <c r="L1344">
        <v>1</v>
      </c>
      <c r="M1344">
        <v>2.4</v>
      </c>
      <c r="N1344">
        <v>0.32</v>
      </c>
      <c r="O1344">
        <v>1.46</v>
      </c>
      <c r="P1344">
        <v>11</v>
      </c>
      <c r="Q1344">
        <v>40</v>
      </c>
      <c r="R1344">
        <v>22</v>
      </c>
      <c r="S1344">
        <v>220</v>
      </c>
      <c r="V1344">
        <f>River_data[[#This Row],[Dissolved Oxygen Min]]*River_data[[#This Row],[Dissolved Oxygen Max]]/2</f>
        <v>19.824999999999999</v>
      </c>
      <c r="W1344">
        <f>River_data[[#This Row],[BOD Min]]*River_data[[#This Row],[BOD Max]]/2</f>
        <v>1.2</v>
      </c>
      <c r="X1344">
        <f>AVERAGE(River_data[[#This Row],[pH Max]]-River_data[[#This Row],[pH Min]])</f>
        <v>0.90000000000000036</v>
      </c>
    </row>
    <row r="1345" spans="1:24" x14ac:dyDescent="0.3">
      <c r="A1345">
        <v>3017</v>
      </c>
      <c r="B1345" s="1" t="s">
        <v>1371</v>
      </c>
      <c r="C1345" s="1" t="s">
        <v>1354</v>
      </c>
      <c r="D1345">
        <v>27</v>
      </c>
      <c r="E1345">
        <v>31</v>
      </c>
      <c r="F1345">
        <v>5.6</v>
      </c>
      <c r="G1345">
        <v>6.7</v>
      </c>
      <c r="H1345">
        <v>7.4</v>
      </c>
      <c r="I1345">
        <v>7.9</v>
      </c>
      <c r="J1345">
        <v>340</v>
      </c>
      <c r="K1345">
        <v>533</v>
      </c>
      <c r="L1345">
        <v>2.2999999999999998</v>
      </c>
      <c r="M1345">
        <v>2.8</v>
      </c>
      <c r="N1345">
        <v>0.32</v>
      </c>
      <c r="O1345">
        <v>1.04</v>
      </c>
      <c r="P1345">
        <v>2</v>
      </c>
      <c r="Q1345">
        <v>11</v>
      </c>
      <c r="R1345">
        <v>2</v>
      </c>
      <c r="S1345">
        <v>200</v>
      </c>
      <c r="V1345">
        <f>River_data[[#This Row],[Dissolved Oxygen Min]]*River_data[[#This Row],[Dissolved Oxygen Max]]/2</f>
        <v>18.759999999999998</v>
      </c>
      <c r="W1345">
        <f>River_data[[#This Row],[BOD Min]]*River_data[[#This Row],[BOD Max]]/2</f>
        <v>3.2199999999999998</v>
      </c>
      <c r="X1345">
        <f>AVERAGE(River_data[[#This Row],[pH Max]]-River_data[[#This Row],[pH Min]])</f>
        <v>0.5</v>
      </c>
    </row>
    <row r="1346" spans="1:24" x14ac:dyDescent="0.3">
      <c r="A1346">
        <v>1326</v>
      </c>
      <c r="B1346" s="1" t="s">
        <v>1372</v>
      </c>
      <c r="C1346" s="1" t="s">
        <v>1354</v>
      </c>
      <c r="D1346">
        <v>24</v>
      </c>
      <c r="E1346">
        <v>34</v>
      </c>
      <c r="F1346">
        <v>5.2</v>
      </c>
      <c r="G1346">
        <v>6.5</v>
      </c>
      <c r="H1346">
        <v>7.7</v>
      </c>
      <c r="I1346">
        <v>8.6</v>
      </c>
      <c r="J1346">
        <v>819</v>
      </c>
      <c r="K1346">
        <v>37450</v>
      </c>
      <c r="L1346">
        <v>2.1</v>
      </c>
      <c r="M1346">
        <v>16</v>
      </c>
      <c r="N1346">
        <v>0</v>
      </c>
      <c r="O1346">
        <v>1.79</v>
      </c>
      <c r="P1346">
        <v>9</v>
      </c>
      <c r="Q1346">
        <v>26</v>
      </c>
      <c r="R1346">
        <v>17</v>
      </c>
      <c r="S1346">
        <v>140</v>
      </c>
      <c r="V1346">
        <f>River_data[[#This Row],[Dissolved Oxygen Min]]*River_data[[#This Row],[Dissolved Oxygen Max]]/2</f>
        <v>16.900000000000002</v>
      </c>
      <c r="W1346">
        <f>River_data[[#This Row],[BOD Min]]*River_data[[#This Row],[BOD Max]]/2</f>
        <v>16.8</v>
      </c>
      <c r="X1346">
        <f>AVERAGE(River_data[[#This Row],[pH Max]]-River_data[[#This Row],[pH Min]])</f>
        <v>0.89999999999999947</v>
      </c>
    </row>
    <row r="1347" spans="1:24" x14ac:dyDescent="0.3">
      <c r="A1347">
        <v>1327</v>
      </c>
      <c r="B1347" s="1" t="s">
        <v>1373</v>
      </c>
      <c r="C1347" s="1" t="s">
        <v>1354</v>
      </c>
      <c r="D1347">
        <v>22</v>
      </c>
      <c r="E1347">
        <v>34</v>
      </c>
      <c r="F1347">
        <v>5.2</v>
      </c>
      <c r="G1347">
        <v>6.5</v>
      </c>
      <c r="H1347">
        <v>7.7</v>
      </c>
      <c r="I1347">
        <v>8.4</v>
      </c>
      <c r="J1347">
        <v>777</v>
      </c>
      <c r="K1347">
        <v>44100</v>
      </c>
      <c r="L1347">
        <v>2.1</v>
      </c>
      <c r="M1347">
        <v>8</v>
      </c>
      <c r="N1347">
        <v>0</v>
      </c>
      <c r="O1347">
        <v>7.32</v>
      </c>
      <c r="P1347">
        <v>9</v>
      </c>
      <c r="Q1347">
        <v>21</v>
      </c>
      <c r="R1347">
        <v>17</v>
      </c>
      <c r="S1347">
        <v>47</v>
      </c>
      <c r="V1347">
        <f>River_data[[#This Row],[Dissolved Oxygen Min]]*River_data[[#This Row],[Dissolved Oxygen Max]]/2</f>
        <v>16.900000000000002</v>
      </c>
      <c r="W1347">
        <f>River_data[[#This Row],[BOD Min]]*River_data[[#This Row],[BOD Max]]/2</f>
        <v>8.4</v>
      </c>
      <c r="X1347">
        <f>AVERAGE(River_data[[#This Row],[pH Max]]-River_data[[#This Row],[pH Min]])</f>
        <v>0.70000000000000018</v>
      </c>
    </row>
    <row r="1348" spans="1:24" x14ac:dyDescent="0.3">
      <c r="A1348">
        <v>1322</v>
      </c>
      <c r="B1348" s="1" t="s">
        <v>1374</v>
      </c>
      <c r="C1348" s="1" t="s">
        <v>1354</v>
      </c>
      <c r="D1348">
        <v>26</v>
      </c>
      <c r="E1348">
        <v>37</v>
      </c>
      <c r="F1348">
        <v>5.2</v>
      </c>
      <c r="G1348">
        <v>6.5</v>
      </c>
      <c r="H1348">
        <v>7.3</v>
      </c>
      <c r="I1348">
        <v>8.6999999999999993</v>
      </c>
      <c r="J1348">
        <v>331</v>
      </c>
      <c r="K1348">
        <v>959</v>
      </c>
      <c r="L1348">
        <v>1</v>
      </c>
      <c r="M1348">
        <v>3</v>
      </c>
      <c r="N1348">
        <v>0.32</v>
      </c>
      <c r="O1348">
        <v>2.92</v>
      </c>
      <c r="P1348">
        <v>11</v>
      </c>
      <c r="Q1348">
        <v>26</v>
      </c>
      <c r="R1348">
        <v>17</v>
      </c>
      <c r="S1348">
        <v>70</v>
      </c>
      <c r="V1348">
        <f>River_data[[#This Row],[Dissolved Oxygen Min]]*River_data[[#This Row],[Dissolved Oxygen Max]]/2</f>
        <v>16.900000000000002</v>
      </c>
      <c r="W1348">
        <f>River_data[[#This Row],[BOD Min]]*River_data[[#This Row],[BOD Max]]/2</f>
        <v>1.5</v>
      </c>
      <c r="X1348">
        <f>AVERAGE(River_data[[#This Row],[pH Max]]-River_data[[#This Row],[pH Min]])</f>
        <v>1.3999999999999995</v>
      </c>
    </row>
    <row r="1349" spans="1:24" x14ac:dyDescent="0.3">
      <c r="A1349">
        <v>10064</v>
      </c>
      <c r="B1349" s="1" t="s">
        <v>1375</v>
      </c>
      <c r="C1349" s="1" t="s">
        <v>1354</v>
      </c>
      <c r="D1349">
        <v>28</v>
      </c>
      <c r="E1349">
        <v>37</v>
      </c>
      <c r="F1349">
        <v>5.6</v>
      </c>
      <c r="G1349">
        <v>6.7</v>
      </c>
      <c r="H1349">
        <v>7.6</v>
      </c>
      <c r="I1349">
        <v>8.5</v>
      </c>
      <c r="J1349">
        <v>352</v>
      </c>
      <c r="K1349">
        <v>681</v>
      </c>
      <c r="L1349">
        <v>1</v>
      </c>
      <c r="M1349">
        <v>2.7</v>
      </c>
      <c r="N1349">
        <v>0</v>
      </c>
      <c r="O1349">
        <v>0.46</v>
      </c>
      <c r="P1349">
        <v>2</v>
      </c>
      <c r="Q1349">
        <v>24</v>
      </c>
      <c r="R1349">
        <v>14</v>
      </c>
      <c r="S1349">
        <v>70</v>
      </c>
      <c r="V1349">
        <f>River_data[[#This Row],[Dissolved Oxygen Min]]*River_data[[#This Row],[Dissolved Oxygen Max]]/2</f>
        <v>18.759999999999998</v>
      </c>
      <c r="W1349">
        <f>River_data[[#This Row],[BOD Min]]*River_data[[#This Row],[BOD Max]]/2</f>
        <v>1.35</v>
      </c>
      <c r="X1349">
        <f>AVERAGE(River_data[[#This Row],[pH Max]]-River_data[[#This Row],[pH Min]])</f>
        <v>0.90000000000000036</v>
      </c>
    </row>
    <row r="1350" spans="1:24" x14ac:dyDescent="0.3">
      <c r="A1350">
        <v>10065</v>
      </c>
      <c r="B1350" s="1" t="s">
        <v>1376</v>
      </c>
      <c r="C1350" s="1" t="s">
        <v>1354</v>
      </c>
      <c r="D1350">
        <v>28.9</v>
      </c>
      <c r="E1350">
        <v>37</v>
      </c>
      <c r="F1350">
        <v>5.7</v>
      </c>
      <c r="G1350">
        <v>6.7</v>
      </c>
      <c r="H1350">
        <v>7.7</v>
      </c>
      <c r="I1350">
        <v>8.6</v>
      </c>
      <c r="J1350">
        <v>366</v>
      </c>
      <c r="K1350">
        <v>578</v>
      </c>
      <c r="L1350">
        <v>1</v>
      </c>
      <c r="M1350">
        <v>2.8</v>
      </c>
      <c r="N1350">
        <v>0</v>
      </c>
      <c r="O1350">
        <v>1.82</v>
      </c>
      <c r="P1350">
        <v>11</v>
      </c>
      <c r="Q1350">
        <v>26</v>
      </c>
      <c r="R1350">
        <v>21</v>
      </c>
      <c r="S1350">
        <v>48</v>
      </c>
      <c r="V1350">
        <f>River_data[[#This Row],[Dissolved Oxygen Min]]*River_data[[#This Row],[Dissolved Oxygen Max]]/2</f>
        <v>19.095000000000002</v>
      </c>
      <c r="W1350">
        <f>River_data[[#This Row],[BOD Min]]*River_data[[#This Row],[BOD Max]]/2</f>
        <v>1.4</v>
      </c>
      <c r="X1350">
        <f>AVERAGE(River_data[[#This Row],[pH Max]]-River_data[[#This Row],[pH Min]])</f>
        <v>0.89999999999999947</v>
      </c>
    </row>
    <row r="1351" spans="1:24" x14ac:dyDescent="0.3">
      <c r="A1351">
        <v>10067</v>
      </c>
      <c r="B1351" s="1" t="s">
        <v>1377</v>
      </c>
      <c r="C1351" s="1" t="s">
        <v>1354</v>
      </c>
      <c r="D1351">
        <v>24</v>
      </c>
      <c r="E1351">
        <v>29</v>
      </c>
      <c r="F1351">
        <v>5.7</v>
      </c>
      <c r="G1351">
        <v>6.5</v>
      </c>
      <c r="H1351">
        <v>7.3</v>
      </c>
      <c r="I1351">
        <v>8.5</v>
      </c>
      <c r="J1351">
        <v>335</v>
      </c>
      <c r="K1351">
        <v>665</v>
      </c>
      <c r="L1351">
        <v>1</v>
      </c>
      <c r="M1351">
        <v>2.1</v>
      </c>
      <c r="N1351">
        <v>0.32</v>
      </c>
      <c r="O1351">
        <v>0.53</v>
      </c>
      <c r="P1351">
        <v>11</v>
      </c>
      <c r="Q1351">
        <v>21</v>
      </c>
      <c r="R1351">
        <v>17</v>
      </c>
      <c r="S1351">
        <v>47</v>
      </c>
      <c r="V1351">
        <f>River_data[[#This Row],[Dissolved Oxygen Min]]*River_data[[#This Row],[Dissolved Oxygen Max]]/2</f>
        <v>18.525000000000002</v>
      </c>
      <c r="W1351">
        <f>River_data[[#This Row],[BOD Min]]*River_data[[#This Row],[BOD Max]]/2</f>
        <v>1.05</v>
      </c>
      <c r="X1351">
        <f>AVERAGE(River_data[[#This Row],[pH Max]]-River_data[[#This Row],[pH Min]])</f>
        <v>1.2000000000000002</v>
      </c>
    </row>
    <row r="1352" spans="1:24" x14ac:dyDescent="0.3">
      <c r="A1352">
        <v>10070</v>
      </c>
      <c r="B1352" s="1" t="s">
        <v>1378</v>
      </c>
      <c r="C1352" s="1" t="s">
        <v>1354</v>
      </c>
      <c r="D1352">
        <v>23</v>
      </c>
      <c r="E1352">
        <v>29</v>
      </c>
      <c r="F1352">
        <v>5.7</v>
      </c>
      <c r="G1352">
        <v>6.8</v>
      </c>
      <c r="H1352">
        <v>7.3</v>
      </c>
      <c r="I1352">
        <v>8.4</v>
      </c>
      <c r="J1352">
        <v>317</v>
      </c>
      <c r="K1352">
        <v>912</v>
      </c>
      <c r="L1352">
        <v>1</v>
      </c>
      <c r="M1352">
        <v>2.7</v>
      </c>
      <c r="N1352">
        <v>0.32</v>
      </c>
      <c r="O1352">
        <v>1.71</v>
      </c>
      <c r="P1352">
        <v>9</v>
      </c>
      <c r="Q1352">
        <v>47</v>
      </c>
      <c r="R1352">
        <v>21</v>
      </c>
      <c r="S1352">
        <v>280</v>
      </c>
      <c r="V1352">
        <f>River_data[[#This Row],[Dissolved Oxygen Min]]*River_data[[#This Row],[Dissolved Oxygen Max]]/2</f>
        <v>19.38</v>
      </c>
      <c r="W1352">
        <f>River_data[[#This Row],[BOD Min]]*River_data[[#This Row],[BOD Max]]/2</f>
        <v>1.35</v>
      </c>
      <c r="X1352">
        <f>AVERAGE(River_data[[#This Row],[pH Max]]-River_data[[#This Row],[pH Min]])</f>
        <v>1.1000000000000005</v>
      </c>
    </row>
    <row r="1353" spans="1:24" x14ac:dyDescent="0.3">
      <c r="A1353">
        <v>10073</v>
      </c>
      <c r="B1353" s="1" t="s">
        <v>1379</v>
      </c>
      <c r="C1353" s="1" t="s">
        <v>1354</v>
      </c>
      <c r="D1353">
        <v>26</v>
      </c>
      <c r="E1353">
        <v>34</v>
      </c>
      <c r="F1353">
        <v>5.6</v>
      </c>
      <c r="G1353">
        <v>6.8</v>
      </c>
      <c r="H1353">
        <v>7.5</v>
      </c>
      <c r="I1353">
        <v>8.8000000000000007</v>
      </c>
      <c r="J1353">
        <v>462</v>
      </c>
      <c r="K1353">
        <v>1134</v>
      </c>
      <c r="L1353">
        <v>1</v>
      </c>
      <c r="M1353">
        <v>2.6</v>
      </c>
      <c r="N1353">
        <v>0.32</v>
      </c>
      <c r="O1353">
        <v>1.1299999999999999</v>
      </c>
      <c r="P1353">
        <v>6</v>
      </c>
      <c r="Q1353">
        <v>24</v>
      </c>
      <c r="R1353">
        <v>14</v>
      </c>
      <c r="S1353">
        <v>48</v>
      </c>
      <c r="V1353">
        <f>River_data[[#This Row],[Dissolved Oxygen Min]]*River_data[[#This Row],[Dissolved Oxygen Max]]/2</f>
        <v>19.04</v>
      </c>
      <c r="W1353">
        <f>River_data[[#This Row],[BOD Min]]*River_data[[#This Row],[BOD Max]]/2</f>
        <v>1.3</v>
      </c>
      <c r="X1353">
        <f>AVERAGE(River_data[[#This Row],[pH Max]]-River_data[[#This Row],[pH Min]])</f>
        <v>1.3000000000000007</v>
      </c>
    </row>
    <row r="1354" spans="1:24" x14ac:dyDescent="0.3">
      <c r="A1354">
        <v>10078</v>
      </c>
      <c r="B1354" s="1" t="s">
        <v>1380</v>
      </c>
      <c r="C1354" s="1" t="s">
        <v>1354</v>
      </c>
      <c r="D1354">
        <v>20</v>
      </c>
      <c r="E1354">
        <v>20</v>
      </c>
      <c r="F1354">
        <v>5.6</v>
      </c>
      <c r="G1354">
        <v>6.2</v>
      </c>
      <c r="H1354">
        <v>8.1</v>
      </c>
      <c r="I1354">
        <v>8.1999999999999993</v>
      </c>
      <c r="J1354">
        <v>567</v>
      </c>
      <c r="K1354">
        <v>583</v>
      </c>
      <c r="L1354">
        <v>1</v>
      </c>
      <c r="M1354">
        <v>1</v>
      </c>
      <c r="N1354">
        <v>0.54</v>
      </c>
      <c r="O1354">
        <v>0.54</v>
      </c>
      <c r="P1354">
        <v>17</v>
      </c>
      <c r="Q1354">
        <v>20</v>
      </c>
      <c r="R1354">
        <v>39</v>
      </c>
      <c r="S1354">
        <v>47</v>
      </c>
      <c r="V1354">
        <f>River_data[[#This Row],[Dissolved Oxygen Min]]*River_data[[#This Row],[Dissolved Oxygen Max]]/2</f>
        <v>17.36</v>
      </c>
      <c r="W1354">
        <f>River_data[[#This Row],[BOD Min]]*River_data[[#This Row],[BOD Max]]/2</f>
        <v>0.5</v>
      </c>
      <c r="X1354">
        <f>AVERAGE(River_data[[#This Row],[pH Max]]-River_data[[#This Row],[pH Min]])</f>
        <v>9.9999999999999645E-2</v>
      </c>
    </row>
    <row r="1355" spans="1:24" x14ac:dyDescent="0.3">
      <c r="A1355">
        <v>3580</v>
      </c>
      <c r="B1355" s="1" t="s">
        <v>1381</v>
      </c>
      <c r="C1355" s="1" t="s">
        <v>1138</v>
      </c>
      <c r="D1355">
        <v>18</v>
      </c>
      <c r="E1355">
        <v>28</v>
      </c>
      <c r="F1355">
        <v>6.1</v>
      </c>
      <c r="G1355">
        <v>7.3</v>
      </c>
      <c r="H1355">
        <v>7.6</v>
      </c>
      <c r="I1355">
        <v>8.6</v>
      </c>
      <c r="J1355">
        <v>219</v>
      </c>
      <c r="K1355">
        <v>482</v>
      </c>
      <c r="L1355">
        <v>1</v>
      </c>
      <c r="M1355">
        <v>3</v>
      </c>
      <c r="N1355">
        <v>0.88</v>
      </c>
      <c r="O1355">
        <v>2.6</v>
      </c>
      <c r="P1355">
        <v>68</v>
      </c>
      <c r="Q1355">
        <v>120</v>
      </c>
      <c r="R1355">
        <v>630</v>
      </c>
      <c r="S1355">
        <v>1300</v>
      </c>
      <c r="V1355">
        <f>River_data[[#This Row],[Dissolved Oxygen Min]]*River_data[[#This Row],[Dissolved Oxygen Max]]/2</f>
        <v>22.264999999999997</v>
      </c>
      <c r="W1355">
        <f>River_data[[#This Row],[BOD Min]]*River_data[[#This Row],[BOD Max]]/2</f>
        <v>1.5</v>
      </c>
      <c r="X1355">
        <f>AVERAGE(River_data[[#This Row],[pH Max]]-River_data[[#This Row],[pH Min]])</f>
        <v>1</v>
      </c>
    </row>
    <row r="1356" spans="1:24" x14ac:dyDescent="0.3">
      <c r="A1356">
        <v>5587</v>
      </c>
      <c r="B1356" s="1" t="s">
        <v>1382</v>
      </c>
      <c r="C1356" s="1" t="s">
        <v>1138</v>
      </c>
      <c r="D1356">
        <v>17</v>
      </c>
      <c r="E1356">
        <v>20</v>
      </c>
      <c r="F1356">
        <v>6.7</v>
      </c>
      <c r="G1356">
        <v>7.3</v>
      </c>
      <c r="H1356">
        <v>7.3</v>
      </c>
      <c r="I1356">
        <v>8</v>
      </c>
      <c r="J1356">
        <v>40</v>
      </c>
      <c r="K1356">
        <v>91</v>
      </c>
      <c r="L1356">
        <v>1</v>
      </c>
      <c r="M1356">
        <v>2</v>
      </c>
      <c r="N1356">
        <v>0.3</v>
      </c>
      <c r="O1356">
        <v>0.64</v>
      </c>
      <c r="P1356">
        <v>17</v>
      </c>
      <c r="Q1356">
        <v>41</v>
      </c>
      <c r="R1356">
        <v>220</v>
      </c>
      <c r="S1356">
        <v>350</v>
      </c>
      <c r="V1356">
        <f>River_data[[#This Row],[Dissolved Oxygen Min]]*River_data[[#This Row],[Dissolved Oxygen Max]]/2</f>
        <v>24.454999999999998</v>
      </c>
      <c r="W1356">
        <f>River_data[[#This Row],[BOD Min]]*River_data[[#This Row],[BOD Max]]/2</f>
        <v>1</v>
      </c>
      <c r="X1356">
        <f>AVERAGE(River_data[[#This Row],[pH Max]]-River_data[[#This Row],[pH Min]])</f>
        <v>0.70000000000000018</v>
      </c>
    </row>
    <row r="1357" spans="1:24" x14ac:dyDescent="0.3">
      <c r="A1357">
        <v>1205</v>
      </c>
      <c r="B1357" s="1" t="s">
        <v>1383</v>
      </c>
      <c r="C1357" s="1" t="s">
        <v>1354</v>
      </c>
      <c r="D1357">
        <v>28.7</v>
      </c>
      <c r="E1357">
        <v>37</v>
      </c>
      <c r="F1357">
        <v>5.3</v>
      </c>
      <c r="G1357">
        <v>6.7</v>
      </c>
      <c r="H1357">
        <v>7.6</v>
      </c>
      <c r="I1357">
        <v>8.5</v>
      </c>
      <c r="J1357">
        <v>342</v>
      </c>
      <c r="K1357">
        <v>968</v>
      </c>
      <c r="L1357">
        <v>1</v>
      </c>
      <c r="M1357">
        <v>2.4</v>
      </c>
      <c r="N1357">
        <v>0.32</v>
      </c>
      <c r="O1357">
        <v>3.92</v>
      </c>
      <c r="P1357">
        <v>7</v>
      </c>
      <c r="Q1357">
        <v>24</v>
      </c>
      <c r="R1357">
        <v>12</v>
      </c>
      <c r="S1357">
        <v>39</v>
      </c>
      <c r="V1357">
        <f>River_data[[#This Row],[Dissolved Oxygen Min]]*River_data[[#This Row],[Dissolved Oxygen Max]]/2</f>
        <v>17.754999999999999</v>
      </c>
      <c r="W1357">
        <f>River_data[[#This Row],[BOD Min]]*River_data[[#This Row],[BOD Max]]/2</f>
        <v>1.2</v>
      </c>
      <c r="X1357">
        <f>AVERAGE(River_data[[#This Row],[pH Max]]-River_data[[#This Row],[pH Min]])</f>
        <v>0.90000000000000036</v>
      </c>
    </row>
    <row r="1358" spans="1:24" x14ac:dyDescent="0.3">
      <c r="A1358">
        <v>1201</v>
      </c>
      <c r="B1358" s="1" t="s">
        <v>1384</v>
      </c>
      <c r="C1358" s="1" t="s">
        <v>1354</v>
      </c>
      <c r="D1358">
        <v>19</v>
      </c>
      <c r="E1358">
        <v>30</v>
      </c>
      <c r="F1358">
        <v>5.6</v>
      </c>
      <c r="G1358">
        <v>6.6</v>
      </c>
      <c r="H1358">
        <v>6.9</v>
      </c>
      <c r="I1358">
        <v>8</v>
      </c>
      <c r="J1358">
        <v>93</v>
      </c>
      <c r="K1358">
        <v>409</v>
      </c>
      <c r="L1358">
        <v>1</v>
      </c>
      <c r="M1358">
        <v>2.7</v>
      </c>
      <c r="N1358">
        <v>0.32</v>
      </c>
      <c r="O1358">
        <v>0.74</v>
      </c>
      <c r="P1358">
        <v>7</v>
      </c>
      <c r="Q1358">
        <v>140</v>
      </c>
      <c r="R1358">
        <v>14</v>
      </c>
      <c r="S1358">
        <v>320</v>
      </c>
      <c r="V1358">
        <f>River_data[[#This Row],[Dissolved Oxygen Min]]*River_data[[#This Row],[Dissolved Oxygen Max]]/2</f>
        <v>18.479999999999997</v>
      </c>
      <c r="W1358">
        <f>River_data[[#This Row],[BOD Min]]*River_data[[#This Row],[BOD Max]]/2</f>
        <v>1.35</v>
      </c>
      <c r="X1358">
        <f>AVERAGE(River_data[[#This Row],[pH Max]]-River_data[[#This Row],[pH Min]])</f>
        <v>1.0999999999999996</v>
      </c>
    </row>
    <row r="1359" spans="1:24" x14ac:dyDescent="0.3">
      <c r="A1359">
        <v>1204</v>
      </c>
      <c r="B1359" s="1" t="s">
        <v>1385</v>
      </c>
      <c r="C1359" s="1" t="s">
        <v>1354</v>
      </c>
      <c r="D1359">
        <v>20</v>
      </c>
      <c r="E1359">
        <v>30</v>
      </c>
      <c r="F1359">
        <v>5.6</v>
      </c>
      <c r="G1359">
        <v>6.9</v>
      </c>
      <c r="H1359">
        <v>7</v>
      </c>
      <c r="I1359">
        <v>8.4</v>
      </c>
      <c r="J1359">
        <v>128</v>
      </c>
      <c r="K1359">
        <v>391</v>
      </c>
      <c r="L1359">
        <v>1</v>
      </c>
      <c r="M1359">
        <v>2.4</v>
      </c>
      <c r="N1359">
        <v>0.32</v>
      </c>
      <c r="O1359">
        <v>1.25</v>
      </c>
      <c r="P1359">
        <v>8</v>
      </c>
      <c r="Q1359">
        <v>68</v>
      </c>
      <c r="R1359">
        <v>14</v>
      </c>
      <c r="S1359">
        <v>200</v>
      </c>
      <c r="V1359">
        <f>River_data[[#This Row],[Dissolved Oxygen Min]]*River_data[[#This Row],[Dissolved Oxygen Max]]/2</f>
        <v>19.32</v>
      </c>
      <c r="W1359">
        <f>River_data[[#This Row],[BOD Min]]*River_data[[#This Row],[BOD Max]]/2</f>
        <v>1.2</v>
      </c>
      <c r="X1359">
        <f>AVERAGE(River_data[[#This Row],[pH Max]]-River_data[[#This Row],[pH Min]])</f>
        <v>1.4000000000000004</v>
      </c>
    </row>
    <row r="1360" spans="1:24" x14ac:dyDescent="0.3">
      <c r="A1360">
        <v>1321</v>
      </c>
      <c r="B1360" s="1" t="s">
        <v>1386</v>
      </c>
      <c r="C1360" s="1" t="s">
        <v>1354</v>
      </c>
      <c r="D1360">
        <v>26</v>
      </c>
      <c r="E1360">
        <v>34</v>
      </c>
      <c r="F1360">
        <v>5.2</v>
      </c>
      <c r="G1360">
        <v>6.5</v>
      </c>
      <c r="H1360">
        <v>7.2</v>
      </c>
      <c r="I1360">
        <v>8.6</v>
      </c>
      <c r="J1360">
        <v>184</v>
      </c>
      <c r="K1360">
        <v>579</v>
      </c>
      <c r="L1360">
        <v>1</v>
      </c>
      <c r="M1360">
        <v>2.9</v>
      </c>
      <c r="N1360">
        <v>0.32</v>
      </c>
      <c r="O1360">
        <v>1.47</v>
      </c>
      <c r="P1360">
        <v>11</v>
      </c>
      <c r="Q1360">
        <v>17</v>
      </c>
      <c r="R1360">
        <v>20</v>
      </c>
      <c r="S1360">
        <v>40</v>
      </c>
      <c r="V1360">
        <f>River_data[[#This Row],[Dissolved Oxygen Min]]*River_data[[#This Row],[Dissolved Oxygen Max]]/2</f>
        <v>16.900000000000002</v>
      </c>
      <c r="W1360">
        <f>River_data[[#This Row],[BOD Min]]*River_data[[#This Row],[BOD Max]]/2</f>
        <v>1.45</v>
      </c>
      <c r="X1360">
        <f>AVERAGE(River_data[[#This Row],[pH Max]]-River_data[[#This Row],[pH Min]])</f>
        <v>1.3999999999999995</v>
      </c>
    </row>
    <row r="1361" spans="1:24" x14ac:dyDescent="0.3">
      <c r="A1361">
        <v>3019</v>
      </c>
      <c r="B1361" s="1" t="s">
        <v>1387</v>
      </c>
      <c r="C1361" s="1" t="s">
        <v>1354</v>
      </c>
      <c r="D1361">
        <v>27</v>
      </c>
      <c r="E1361">
        <v>34</v>
      </c>
      <c r="F1361">
        <v>5.8</v>
      </c>
      <c r="G1361">
        <v>6.9</v>
      </c>
      <c r="H1361">
        <v>7.3</v>
      </c>
      <c r="I1361">
        <v>8.1</v>
      </c>
      <c r="J1361">
        <v>159</v>
      </c>
      <c r="K1361">
        <v>436</v>
      </c>
      <c r="L1361">
        <v>1</v>
      </c>
      <c r="M1361">
        <v>2.7</v>
      </c>
      <c r="N1361">
        <v>0.32</v>
      </c>
      <c r="O1361">
        <v>2.95</v>
      </c>
      <c r="P1361">
        <v>9</v>
      </c>
      <c r="Q1361">
        <v>68</v>
      </c>
      <c r="R1361">
        <v>14</v>
      </c>
      <c r="S1361">
        <v>170</v>
      </c>
      <c r="V1361">
        <f>River_data[[#This Row],[Dissolved Oxygen Min]]*River_data[[#This Row],[Dissolved Oxygen Max]]/2</f>
        <v>20.010000000000002</v>
      </c>
      <c r="W1361">
        <f>River_data[[#This Row],[BOD Min]]*River_data[[#This Row],[BOD Max]]/2</f>
        <v>1.35</v>
      </c>
      <c r="X1361">
        <f>AVERAGE(River_data[[#This Row],[pH Max]]-River_data[[#This Row],[pH Min]])</f>
        <v>0.79999999999999982</v>
      </c>
    </row>
    <row r="1362" spans="1:24" x14ac:dyDescent="0.3">
      <c r="A1362">
        <v>3020</v>
      </c>
      <c r="B1362" s="1" t="s">
        <v>1388</v>
      </c>
      <c r="C1362" s="1" t="s">
        <v>1354</v>
      </c>
      <c r="D1362">
        <v>29</v>
      </c>
      <c r="E1362">
        <v>37</v>
      </c>
      <c r="F1362">
        <v>5.2</v>
      </c>
      <c r="G1362">
        <v>6.7</v>
      </c>
      <c r="H1362">
        <v>7.7</v>
      </c>
      <c r="I1362">
        <v>8.6</v>
      </c>
      <c r="J1362">
        <v>336</v>
      </c>
      <c r="K1362">
        <v>955</v>
      </c>
      <c r="L1362">
        <v>1</v>
      </c>
      <c r="M1362">
        <v>3</v>
      </c>
      <c r="N1362">
        <v>0.32</v>
      </c>
      <c r="O1362">
        <v>2.63</v>
      </c>
      <c r="P1362">
        <v>8</v>
      </c>
      <c r="Q1362">
        <v>21</v>
      </c>
      <c r="R1362">
        <v>20</v>
      </c>
      <c r="S1362">
        <v>48</v>
      </c>
      <c r="V1362">
        <f>River_data[[#This Row],[Dissolved Oxygen Min]]*River_data[[#This Row],[Dissolved Oxygen Max]]/2</f>
        <v>17.420000000000002</v>
      </c>
      <c r="W1362">
        <f>River_data[[#This Row],[BOD Min]]*River_data[[#This Row],[BOD Max]]/2</f>
        <v>1.5</v>
      </c>
      <c r="X1362">
        <f>AVERAGE(River_data[[#This Row],[pH Max]]-River_data[[#This Row],[pH Min]])</f>
        <v>0.89999999999999947</v>
      </c>
    </row>
    <row r="1363" spans="1:24" x14ac:dyDescent="0.3">
      <c r="A1363">
        <v>3021</v>
      </c>
      <c r="B1363" s="1" t="s">
        <v>1389</v>
      </c>
      <c r="C1363" s="1" t="s">
        <v>1354</v>
      </c>
      <c r="D1363">
        <v>28</v>
      </c>
      <c r="E1363">
        <v>37</v>
      </c>
      <c r="F1363">
        <v>5.7</v>
      </c>
      <c r="G1363">
        <v>6.7</v>
      </c>
      <c r="H1363">
        <v>7.8</v>
      </c>
      <c r="I1363">
        <v>8.8000000000000007</v>
      </c>
      <c r="J1363">
        <v>341</v>
      </c>
      <c r="K1363">
        <v>947</v>
      </c>
      <c r="L1363">
        <v>1</v>
      </c>
      <c r="M1363">
        <v>2.7</v>
      </c>
      <c r="N1363">
        <v>0.32</v>
      </c>
      <c r="O1363">
        <v>0.89</v>
      </c>
      <c r="P1363">
        <v>11</v>
      </c>
      <c r="Q1363">
        <v>22</v>
      </c>
      <c r="R1363">
        <v>21</v>
      </c>
      <c r="S1363">
        <v>49</v>
      </c>
      <c r="V1363">
        <f>River_data[[#This Row],[Dissolved Oxygen Min]]*River_data[[#This Row],[Dissolved Oxygen Max]]/2</f>
        <v>19.095000000000002</v>
      </c>
      <c r="W1363">
        <f>River_data[[#This Row],[BOD Min]]*River_data[[#This Row],[BOD Max]]/2</f>
        <v>1.35</v>
      </c>
      <c r="X1363">
        <f>AVERAGE(River_data[[#This Row],[pH Max]]-River_data[[#This Row],[pH Min]])</f>
        <v>1.0000000000000009</v>
      </c>
    </row>
    <row r="1364" spans="1:24" x14ac:dyDescent="0.3">
      <c r="A1364">
        <v>1893</v>
      </c>
      <c r="B1364" s="1" t="s">
        <v>1390</v>
      </c>
      <c r="C1364" s="1" t="s">
        <v>1138</v>
      </c>
      <c r="D1364">
        <v>23</v>
      </c>
      <c r="E1364">
        <v>28</v>
      </c>
      <c r="F1364">
        <v>5</v>
      </c>
      <c r="G1364">
        <v>7.1</v>
      </c>
      <c r="H1364">
        <v>7.4</v>
      </c>
      <c r="I1364">
        <v>8.3000000000000007</v>
      </c>
      <c r="J1364">
        <v>220</v>
      </c>
      <c r="K1364">
        <v>590</v>
      </c>
      <c r="L1364">
        <v>2</v>
      </c>
      <c r="M1364">
        <v>3</v>
      </c>
      <c r="N1364">
        <v>0.2</v>
      </c>
      <c r="O1364">
        <v>0.87</v>
      </c>
      <c r="P1364">
        <v>110</v>
      </c>
      <c r="Q1364">
        <v>470</v>
      </c>
      <c r="R1364">
        <v>920</v>
      </c>
      <c r="S1364">
        <v>3500</v>
      </c>
      <c r="T1364">
        <v>11</v>
      </c>
      <c r="U1364">
        <v>17</v>
      </c>
      <c r="V1364">
        <f>River_data[[#This Row],[Dissolved Oxygen Min]]*River_data[[#This Row],[Dissolved Oxygen Max]]/2</f>
        <v>17.75</v>
      </c>
      <c r="W1364">
        <f>River_data[[#This Row],[BOD Min]]*River_data[[#This Row],[BOD Max]]/2</f>
        <v>3</v>
      </c>
      <c r="X1364">
        <f>AVERAGE(River_data[[#This Row],[pH Max]]-River_data[[#This Row],[pH Min]])</f>
        <v>0.90000000000000036</v>
      </c>
    </row>
    <row r="1365" spans="1:24" x14ac:dyDescent="0.3">
      <c r="A1365">
        <v>1199</v>
      </c>
      <c r="B1365" s="1" t="s">
        <v>1391</v>
      </c>
      <c r="C1365" s="1" t="s">
        <v>1138</v>
      </c>
      <c r="D1365">
        <v>22</v>
      </c>
      <c r="E1365">
        <v>27</v>
      </c>
      <c r="F1365">
        <v>6.4</v>
      </c>
      <c r="G1365">
        <v>7.7</v>
      </c>
      <c r="H1365">
        <v>7.4</v>
      </c>
      <c r="I1365">
        <v>8.1999999999999993</v>
      </c>
      <c r="J1365">
        <v>120</v>
      </c>
      <c r="K1365">
        <v>280</v>
      </c>
      <c r="L1365">
        <v>2</v>
      </c>
      <c r="M1365">
        <v>2.2000000000000002</v>
      </c>
      <c r="N1365">
        <v>0.3</v>
      </c>
      <c r="O1365">
        <v>0.63</v>
      </c>
      <c r="P1365">
        <v>70</v>
      </c>
      <c r="Q1365">
        <v>120</v>
      </c>
      <c r="R1365">
        <v>540</v>
      </c>
      <c r="S1365">
        <v>1100</v>
      </c>
      <c r="V1365">
        <f>River_data[[#This Row],[Dissolved Oxygen Min]]*River_data[[#This Row],[Dissolved Oxygen Max]]/2</f>
        <v>24.64</v>
      </c>
      <c r="W1365">
        <f>River_data[[#This Row],[BOD Min]]*River_data[[#This Row],[BOD Max]]/2</f>
        <v>2.2000000000000002</v>
      </c>
      <c r="X1365">
        <f>AVERAGE(River_data[[#This Row],[pH Max]]-River_data[[#This Row],[pH Min]])</f>
        <v>0.79999999999999893</v>
      </c>
    </row>
    <row r="1366" spans="1:24" x14ac:dyDescent="0.3">
      <c r="A1366">
        <v>1166</v>
      </c>
      <c r="B1366" s="1" t="s">
        <v>1392</v>
      </c>
      <c r="C1366" s="1" t="s">
        <v>1138</v>
      </c>
      <c r="D1366">
        <v>21</v>
      </c>
      <c r="E1366">
        <v>27</v>
      </c>
      <c r="F1366">
        <v>5.3</v>
      </c>
      <c r="G1366">
        <v>6.5</v>
      </c>
      <c r="H1366">
        <v>7.8</v>
      </c>
      <c r="I1366">
        <v>8.6</v>
      </c>
      <c r="J1366">
        <v>568</v>
      </c>
      <c r="K1366">
        <v>737</v>
      </c>
      <c r="L1366">
        <v>2.5</v>
      </c>
      <c r="M1366">
        <v>4.5</v>
      </c>
      <c r="N1366">
        <v>1.2</v>
      </c>
      <c r="O1366">
        <v>4.8</v>
      </c>
      <c r="P1366">
        <v>140</v>
      </c>
      <c r="Q1366">
        <v>390</v>
      </c>
      <c r="R1366">
        <v>1500</v>
      </c>
      <c r="S1366">
        <v>4300</v>
      </c>
      <c r="V1366">
        <f>River_data[[#This Row],[Dissolved Oxygen Min]]*River_data[[#This Row],[Dissolved Oxygen Max]]/2</f>
        <v>17.224999999999998</v>
      </c>
      <c r="W1366">
        <f>River_data[[#This Row],[BOD Min]]*River_data[[#This Row],[BOD Max]]/2</f>
        <v>5.625</v>
      </c>
      <c r="X1366">
        <f>AVERAGE(River_data[[#This Row],[pH Max]]-River_data[[#This Row],[pH Min]])</f>
        <v>0.79999999999999982</v>
      </c>
    </row>
    <row r="1367" spans="1:24" x14ac:dyDescent="0.3">
      <c r="A1367">
        <v>1200</v>
      </c>
      <c r="B1367" s="1" t="s">
        <v>1393</v>
      </c>
      <c r="C1367" s="1" t="s">
        <v>1138</v>
      </c>
      <c r="D1367">
        <v>23</v>
      </c>
      <c r="E1367">
        <v>31</v>
      </c>
      <c r="F1367">
        <v>2.1</v>
      </c>
      <c r="G1367">
        <v>6.3</v>
      </c>
      <c r="H1367">
        <v>6.7</v>
      </c>
      <c r="I1367">
        <v>7.4</v>
      </c>
      <c r="J1367">
        <v>194</v>
      </c>
      <c r="K1367">
        <v>578</v>
      </c>
      <c r="L1367">
        <v>4</v>
      </c>
      <c r="M1367">
        <v>18</v>
      </c>
      <c r="N1367">
        <v>0.6</v>
      </c>
      <c r="O1367">
        <v>7</v>
      </c>
      <c r="P1367">
        <v>40</v>
      </c>
      <c r="Q1367">
        <v>17000</v>
      </c>
      <c r="R1367">
        <v>350</v>
      </c>
      <c r="S1367">
        <v>160000</v>
      </c>
      <c r="T1367">
        <v>11</v>
      </c>
      <c r="U1367">
        <v>920</v>
      </c>
      <c r="V1367">
        <f>River_data[[#This Row],[Dissolved Oxygen Min]]*River_data[[#This Row],[Dissolved Oxygen Max]]/2</f>
        <v>6.6150000000000002</v>
      </c>
      <c r="W1367">
        <f>River_data[[#This Row],[BOD Min]]*River_data[[#This Row],[BOD Max]]/2</f>
        <v>36</v>
      </c>
      <c r="X1367">
        <f>AVERAGE(River_data[[#This Row],[pH Max]]-River_data[[#This Row],[pH Min]])</f>
        <v>0.70000000000000018</v>
      </c>
    </row>
    <row r="1368" spans="1:24" x14ac:dyDescent="0.3">
      <c r="A1368">
        <v>3567</v>
      </c>
      <c r="B1368" s="1" t="s">
        <v>1394</v>
      </c>
      <c r="C1368" s="1" t="s">
        <v>1138</v>
      </c>
      <c r="D1368">
        <v>23</v>
      </c>
      <c r="E1368">
        <v>30</v>
      </c>
      <c r="F1368">
        <v>4.5999999999999996</v>
      </c>
      <c r="G1368">
        <v>6.4</v>
      </c>
      <c r="H1368">
        <v>7.8</v>
      </c>
      <c r="I1368">
        <v>8.6</v>
      </c>
      <c r="J1368">
        <v>622</v>
      </c>
      <c r="K1368">
        <v>740</v>
      </c>
      <c r="L1368">
        <v>2.5</v>
      </c>
      <c r="M1368">
        <v>5</v>
      </c>
      <c r="N1368">
        <v>2.2999999999999998</v>
      </c>
      <c r="O1368">
        <v>3.5</v>
      </c>
      <c r="P1368">
        <v>150</v>
      </c>
      <c r="Q1368">
        <v>400</v>
      </c>
      <c r="R1368">
        <v>1500</v>
      </c>
      <c r="S1368">
        <v>3500</v>
      </c>
      <c r="V1368">
        <f>River_data[[#This Row],[Dissolved Oxygen Min]]*River_data[[#This Row],[Dissolved Oxygen Max]]/2</f>
        <v>14.719999999999999</v>
      </c>
      <c r="W1368">
        <f>River_data[[#This Row],[BOD Min]]*River_data[[#This Row],[BOD Max]]/2</f>
        <v>6.25</v>
      </c>
      <c r="X1368">
        <f>AVERAGE(River_data[[#This Row],[pH Max]]-River_data[[#This Row],[pH Min]])</f>
        <v>0.79999999999999982</v>
      </c>
    </row>
    <row r="1369" spans="1:24" x14ac:dyDescent="0.3">
      <c r="A1369">
        <v>3022</v>
      </c>
      <c r="B1369" s="1" t="s">
        <v>1395</v>
      </c>
      <c r="C1369" s="1" t="s">
        <v>1354</v>
      </c>
      <c r="D1369">
        <v>25</v>
      </c>
      <c r="E1369">
        <v>32</v>
      </c>
      <c r="F1369">
        <v>0.3</v>
      </c>
      <c r="G1369">
        <v>5.2</v>
      </c>
      <c r="H1369">
        <v>7</v>
      </c>
      <c r="I1369">
        <v>7.9</v>
      </c>
      <c r="J1369">
        <v>1075</v>
      </c>
      <c r="K1369">
        <v>2250</v>
      </c>
      <c r="L1369">
        <v>2.1</v>
      </c>
      <c r="M1369">
        <v>27</v>
      </c>
      <c r="N1369">
        <v>0.32</v>
      </c>
      <c r="O1369">
        <v>1.36</v>
      </c>
      <c r="P1369">
        <v>7</v>
      </c>
      <c r="Q1369">
        <v>21000</v>
      </c>
      <c r="R1369">
        <v>14</v>
      </c>
      <c r="S1369">
        <v>47000</v>
      </c>
      <c r="V1369">
        <f>River_data[[#This Row],[Dissolved Oxygen Min]]*River_data[[#This Row],[Dissolved Oxygen Max]]/2</f>
        <v>0.78</v>
      </c>
      <c r="W1369">
        <f>River_data[[#This Row],[BOD Min]]*River_data[[#This Row],[BOD Max]]/2</f>
        <v>28.35</v>
      </c>
      <c r="X1369">
        <f>AVERAGE(River_data[[#This Row],[pH Max]]-River_data[[#This Row],[pH Min]])</f>
        <v>0.90000000000000036</v>
      </c>
    </row>
    <row r="1370" spans="1:24" x14ac:dyDescent="0.3">
      <c r="A1370">
        <v>3023</v>
      </c>
      <c r="B1370" s="1" t="s">
        <v>1396</v>
      </c>
      <c r="C1370" s="1" t="s">
        <v>1354</v>
      </c>
      <c r="D1370">
        <v>26</v>
      </c>
      <c r="E1370">
        <v>31</v>
      </c>
      <c r="F1370">
        <v>0.3</v>
      </c>
      <c r="G1370">
        <v>6</v>
      </c>
      <c r="H1370">
        <v>6.9</v>
      </c>
      <c r="I1370">
        <v>8</v>
      </c>
      <c r="J1370">
        <v>878</v>
      </c>
      <c r="K1370">
        <v>2350</v>
      </c>
      <c r="L1370">
        <v>2.7</v>
      </c>
      <c r="M1370">
        <v>120</v>
      </c>
      <c r="N1370">
        <v>0.32</v>
      </c>
      <c r="O1370">
        <v>4.43</v>
      </c>
      <c r="P1370">
        <v>9</v>
      </c>
      <c r="Q1370">
        <v>390000</v>
      </c>
      <c r="R1370">
        <v>20</v>
      </c>
      <c r="S1370">
        <v>470000</v>
      </c>
      <c r="V1370">
        <f>River_data[[#This Row],[Dissolved Oxygen Min]]*River_data[[#This Row],[Dissolved Oxygen Max]]/2</f>
        <v>0.89999999999999991</v>
      </c>
      <c r="W1370">
        <f>River_data[[#This Row],[BOD Min]]*River_data[[#This Row],[BOD Max]]/2</f>
        <v>162</v>
      </c>
      <c r="X1370">
        <f>AVERAGE(River_data[[#This Row],[pH Max]]-River_data[[#This Row],[pH Min]])</f>
        <v>1.0999999999999996</v>
      </c>
    </row>
    <row r="1371" spans="1:24" x14ac:dyDescent="0.3">
      <c r="A1371">
        <v>1319</v>
      </c>
      <c r="B1371" s="1" t="s">
        <v>1397</v>
      </c>
      <c r="C1371" s="1" t="s">
        <v>1354</v>
      </c>
      <c r="D1371">
        <v>22</v>
      </c>
      <c r="E1371">
        <v>32</v>
      </c>
      <c r="F1371">
        <v>5.2</v>
      </c>
      <c r="G1371">
        <v>7.5</v>
      </c>
      <c r="H1371">
        <v>7</v>
      </c>
      <c r="I1371">
        <v>8.1</v>
      </c>
      <c r="J1371">
        <v>84</v>
      </c>
      <c r="K1371">
        <v>395</v>
      </c>
      <c r="L1371">
        <v>1</v>
      </c>
      <c r="M1371">
        <v>2.4</v>
      </c>
      <c r="N1371">
        <v>0.32</v>
      </c>
      <c r="O1371">
        <v>0.82</v>
      </c>
      <c r="P1371">
        <v>2</v>
      </c>
      <c r="Q1371">
        <v>17</v>
      </c>
      <c r="R1371">
        <v>11</v>
      </c>
      <c r="S1371">
        <v>39</v>
      </c>
      <c r="V1371">
        <f>River_data[[#This Row],[Dissolved Oxygen Min]]*River_data[[#This Row],[Dissolved Oxygen Max]]/2</f>
        <v>19.5</v>
      </c>
      <c r="W1371">
        <f>River_data[[#This Row],[BOD Min]]*River_data[[#This Row],[BOD Max]]/2</f>
        <v>1.2</v>
      </c>
      <c r="X1371">
        <f>AVERAGE(River_data[[#This Row],[pH Max]]-River_data[[#This Row],[pH Min]])</f>
        <v>1.0999999999999996</v>
      </c>
    </row>
    <row r="1372" spans="1:24" x14ac:dyDescent="0.3">
      <c r="A1372">
        <v>4812</v>
      </c>
      <c r="B1372" s="1" t="s">
        <v>1398</v>
      </c>
      <c r="C1372" s="1" t="s">
        <v>1354</v>
      </c>
      <c r="D1372">
        <v>3</v>
      </c>
      <c r="E1372">
        <v>31</v>
      </c>
      <c r="F1372">
        <v>5.2</v>
      </c>
      <c r="G1372">
        <v>6.7</v>
      </c>
      <c r="H1372">
        <v>7.3</v>
      </c>
      <c r="I1372">
        <v>8.1999999999999993</v>
      </c>
      <c r="J1372">
        <v>2612</v>
      </c>
      <c r="K1372">
        <v>3550</v>
      </c>
      <c r="L1372">
        <v>1</v>
      </c>
      <c r="M1372">
        <v>3</v>
      </c>
      <c r="N1372">
        <v>0.32</v>
      </c>
      <c r="O1372">
        <v>2.69</v>
      </c>
      <c r="P1372">
        <v>2</v>
      </c>
      <c r="Q1372">
        <v>17</v>
      </c>
      <c r="R1372">
        <v>2</v>
      </c>
      <c r="S1372">
        <v>49</v>
      </c>
      <c r="V1372">
        <f>River_data[[#This Row],[Dissolved Oxygen Min]]*River_data[[#This Row],[Dissolved Oxygen Max]]/2</f>
        <v>17.420000000000002</v>
      </c>
      <c r="W1372">
        <f>River_data[[#This Row],[BOD Min]]*River_data[[#This Row],[BOD Max]]/2</f>
        <v>1.5</v>
      </c>
      <c r="X1372">
        <f>AVERAGE(River_data[[#This Row],[pH Max]]-River_data[[#This Row],[pH Min]])</f>
        <v>0.89999999999999947</v>
      </c>
    </row>
    <row r="1373" spans="1:24" x14ac:dyDescent="0.3">
      <c r="A1373">
        <v>4813</v>
      </c>
      <c r="B1373" s="1" t="s">
        <v>1399</v>
      </c>
      <c r="C1373" s="1" t="s">
        <v>1354</v>
      </c>
      <c r="D1373">
        <v>25</v>
      </c>
      <c r="E1373">
        <v>34</v>
      </c>
      <c r="F1373">
        <v>5.5</v>
      </c>
      <c r="G1373">
        <v>6.8</v>
      </c>
      <c r="H1373">
        <v>7.1</v>
      </c>
      <c r="I1373">
        <v>7.9</v>
      </c>
      <c r="J1373">
        <v>1769</v>
      </c>
      <c r="K1373">
        <v>2850</v>
      </c>
      <c r="L1373">
        <v>1</v>
      </c>
      <c r="M1373">
        <v>2.8</v>
      </c>
      <c r="N1373">
        <v>0.32</v>
      </c>
      <c r="O1373">
        <v>3.52</v>
      </c>
      <c r="P1373">
        <v>4</v>
      </c>
      <c r="Q1373">
        <v>40</v>
      </c>
      <c r="R1373">
        <v>17</v>
      </c>
      <c r="S1373">
        <v>540</v>
      </c>
      <c r="V1373">
        <f>River_data[[#This Row],[Dissolved Oxygen Min]]*River_data[[#This Row],[Dissolved Oxygen Max]]/2</f>
        <v>18.7</v>
      </c>
      <c r="W1373">
        <f>River_data[[#This Row],[BOD Min]]*River_data[[#This Row],[BOD Max]]/2</f>
        <v>1.4</v>
      </c>
      <c r="X1373">
        <f>AVERAGE(River_data[[#This Row],[pH Max]]-River_data[[#This Row],[pH Min]])</f>
        <v>0.80000000000000071</v>
      </c>
    </row>
    <row r="1374" spans="1:24" x14ac:dyDescent="0.3">
      <c r="A1374">
        <v>1165</v>
      </c>
      <c r="B1374" s="1" t="s">
        <v>1400</v>
      </c>
      <c r="C1374" s="1" t="s">
        <v>1138</v>
      </c>
      <c r="D1374">
        <v>25</v>
      </c>
      <c r="E1374">
        <v>35</v>
      </c>
      <c r="F1374">
        <v>3.2</v>
      </c>
      <c r="G1374">
        <v>7</v>
      </c>
      <c r="H1374">
        <v>6.7</v>
      </c>
      <c r="I1374">
        <v>7.9</v>
      </c>
      <c r="J1374">
        <v>499</v>
      </c>
      <c r="K1374">
        <v>1520</v>
      </c>
      <c r="L1374">
        <v>4</v>
      </c>
      <c r="M1374">
        <v>18</v>
      </c>
      <c r="N1374">
        <v>1.9</v>
      </c>
      <c r="O1374">
        <v>5.8</v>
      </c>
      <c r="P1374">
        <v>40</v>
      </c>
      <c r="Q1374">
        <v>15000</v>
      </c>
      <c r="R1374">
        <v>540</v>
      </c>
      <c r="S1374">
        <v>160000</v>
      </c>
      <c r="T1374">
        <v>70</v>
      </c>
      <c r="U1374">
        <v>2400</v>
      </c>
      <c r="V1374">
        <f>River_data[[#This Row],[Dissolved Oxygen Min]]*River_data[[#This Row],[Dissolved Oxygen Max]]/2</f>
        <v>11.200000000000001</v>
      </c>
      <c r="W1374">
        <f>River_data[[#This Row],[BOD Min]]*River_data[[#This Row],[BOD Max]]/2</f>
        <v>36</v>
      </c>
      <c r="X1374">
        <f>AVERAGE(River_data[[#This Row],[pH Max]]-River_data[[#This Row],[pH Min]])</f>
        <v>1.2000000000000002</v>
      </c>
    </row>
    <row r="1375" spans="1:24" x14ac:dyDescent="0.3">
      <c r="A1375">
        <v>2778</v>
      </c>
      <c r="B1375" s="1" t="s">
        <v>1401</v>
      </c>
      <c r="C1375" s="1" t="s">
        <v>1138</v>
      </c>
      <c r="D1375">
        <v>25</v>
      </c>
      <c r="E1375">
        <v>31</v>
      </c>
      <c r="F1375">
        <v>1.8</v>
      </c>
      <c r="G1375">
        <v>6.1</v>
      </c>
      <c r="H1375">
        <v>6.6</v>
      </c>
      <c r="I1375">
        <v>8.1</v>
      </c>
      <c r="J1375">
        <v>664</v>
      </c>
      <c r="K1375">
        <v>2082</v>
      </c>
      <c r="L1375">
        <v>4</v>
      </c>
      <c r="M1375">
        <v>21</v>
      </c>
      <c r="N1375">
        <v>2</v>
      </c>
      <c r="O1375">
        <v>16</v>
      </c>
      <c r="P1375">
        <v>31</v>
      </c>
      <c r="Q1375">
        <v>84000</v>
      </c>
      <c r="R1375">
        <v>140</v>
      </c>
      <c r="S1375">
        <v>920000</v>
      </c>
      <c r="T1375">
        <v>23</v>
      </c>
      <c r="U1375">
        <v>1600</v>
      </c>
      <c r="V1375">
        <f>River_data[[#This Row],[Dissolved Oxygen Min]]*River_data[[#This Row],[Dissolved Oxygen Max]]/2</f>
        <v>5.49</v>
      </c>
      <c r="W1375">
        <f>River_data[[#This Row],[BOD Min]]*River_data[[#This Row],[BOD Max]]/2</f>
        <v>42</v>
      </c>
      <c r="X1375">
        <f>AVERAGE(River_data[[#This Row],[pH Max]]-River_data[[#This Row],[pH Min]])</f>
        <v>1.5</v>
      </c>
    </row>
    <row r="1376" spans="1:24" x14ac:dyDescent="0.3">
      <c r="A1376">
        <v>2779</v>
      </c>
      <c r="B1376" s="1" t="s">
        <v>1402</v>
      </c>
      <c r="C1376" s="1" t="s">
        <v>1138</v>
      </c>
      <c r="D1376">
        <v>24</v>
      </c>
      <c r="E1376">
        <v>27</v>
      </c>
      <c r="F1376">
        <v>0.3</v>
      </c>
      <c r="G1376">
        <v>6.1</v>
      </c>
      <c r="H1376">
        <v>6</v>
      </c>
      <c r="I1376">
        <v>7.1</v>
      </c>
      <c r="J1376">
        <v>280</v>
      </c>
      <c r="K1376">
        <v>976</v>
      </c>
      <c r="L1376">
        <v>4</v>
      </c>
      <c r="M1376">
        <v>72</v>
      </c>
      <c r="N1376">
        <v>0.9</v>
      </c>
      <c r="O1376">
        <v>3.74</v>
      </c>
      <c r="P1376">
        <v>14</v>
      </c>
      <c r="Q1376">
        <v>4900</v>
      </c>
      <c r="R1376">
        <v>170</v>
      </c>
      <c r="S1376">
        <v>35000</v>
      </c>
      <c r="V1376">
        <f>River_data[[#This Row],[Dissolved Oxygen Min]]*River_data[[#This Row],[Dissolved Oxygen Max]]/2</f>
        <v>0.91499999999999992</v>
      </c>
      <c r="W1376">
        <f>River_data[[#This Row],[BOD Min]]*River_data[[#This Row],[BOD Max]]/2</f>
        <v>144</v>
      </c>
      <c r="X1376">
        <f>AVERAGE(River_data[[#This Row],[pH Max]]-River_data[[#This Row],[pH Min]])</f>
        <v>1.0999999999999996</v>
      </c>
    </row>
    <row r="1377" spans="1:24" x14ac:dyDescent="0.3">
      <c r="A1377">
        <v>4108</v>
      </c>
      <c r="B1377" s="1" t="s">
        <v>1403</v>
      </c>
      <c r="C1377" s="1" t="s">
        <v>1138</v>
      </c>
      <c r="D1377">
        <v>25</v>
      </c>
      <c r="E1377">
        <v>36</v>
      </c>
      <c r="F1377">
        <v>3.1</v>
      </c>
      <c r="G1377">
        <v>6.3</v>
      </c>
      <c r="H1377">
        <v>6.7</v>
      </c>
      <c r="I1377">
        <v>8.1999999999999993</v>
      </c>
      <c r="J1377">
        <v>396</v>
      </c>
      <c r="K1377">
        <v>1418</v>
      </c>
      <c r="L1377">
        <v>4</v>
      </c>
      <c r="M1377">
        <v>20</v>
      </c>
      <c r="N1377">
        <v>1.7</v>
      </c>
      <c r="O1377">
        <v>5</v>
      </c>
      <c r="P1377">
        <v>21</v>
      </c>
      <c r="Q1377">
        <v>11000</v>
      </c>
      <c r="R1377">
        <v>110</v>
      </c>
      <c r="S1377">
        <v>160000</v>
      </c>
      <c r="V1377">
        <f>River_data[[#This Row],[Dissolved Oxygen Min]]*River_data[[#This Row],[Dissolved Oxygen Max]]/2</f>
        <v>9.7650000000000006</v>
      </c>
      <c r="W1377">
        <f>River_data[[#This Row],[BOD Min]]*River_data[[#This Row],[BOD Max]]/2</f>
        <v>40</v>
      </c>
      <c r="X1377">
        <f>AVERAGE(River_data[[#This Row],[pH Max]]-River_data[[#This Row],[pH Min]])</f>
        <v>1.4999999999999991</v>
      </c>
    </row>
    <row r="1378" spans="1:24" x14ac:dyDescent="0.3">
      <c r="A1378">
        <v>41</v>
      </c>
      <c r="B1378" s="1" t="s">
        <v>1404</v>
      </c>
      <c r="C1378" s="1" t="s">
        <v>1138</v>
      </c>
      <c r="D1378">
        <v>20</v>
      </c>
      <c r="E1378">
        <v>29</v>
      </c>
      <c r="F1378">
        <v>5.0999999999999996</v>
      </c>
      <c r="G1378">
        <v>6.9</v>
      </c>
      <c r="H1378">
        <v>7.7</v>
      </c>
      <c r="I1378">
        <v>8.3000000000000007</v>
      </c>
      <c r="J1378">
        <v>197</v>
      </c>
      <c r="K1378">
        <v>555</v>
      </c>
      <c r="L1378">
        <v>2</v>
      </c>
      <c r="M1378">
        <v>4</v>
      </c>
      <c r="N1378">
        <v>0.32</v>
      </c>
      <c r="O1378">
        <v>3.2</v>
      </c>
      <c r="P1378">
        <v>110</v>
      </c>
      <c r="Q1378">
        <v>220</v>
      </c>
      <c r="R1378">
        <v>1100</v>
      </c>
      <c r="S1378">
        <v>1700</v>
      </c>
      <c r="V1378">
        <f>River_data[[#This Row],[Dissolved Oxygen Min]]*River_data[[#This Row],[Dissolved Oxygen Max]]/2</f>
        <v>17.594999999999999</v>
      </c>
      <c r="W1378">
        <f>River_data[[#This Row],[BOD Min]]*River_data[[#This Row],[BOD Max]]/2</f>
        <v>4</v>
      </c>
      <c r="X1378">
        <f>AVERAGE(River_data[[#This Row],[pH Max]]-River_data[[#This Row],[pH Min]])</f>
        <v>0.60000000000000053</v>
      </c>
    </row>
    <row r="1379" spans="1:24" x14ac:dyDescent="0.3">
      <c r="A1379">
        <v>1197</v>
      </c>
      <c r="B1379" s="1" t="s">
        <v>1405</v>
      </c>
      <c r="C1379" s="1" t="s">
        <v>1138</v>
      </c>
      <c r="D1379">
        <v>22</v>
      </c>
      <c r="E1379">
        <v>30</v>
      </c>
      <c r="F1379">
        <v>5.6</v>
      </c>
      <c r="G1379">
        <v>6.8</v>
      </c>
      <c r="H1379">
        <v>7.4</v>
      </c>
      <c r="I1379">
        <v>8.4</v>
      </c>
      <c r="J1379">
        <v>152</v>
      </c>
      <c r="K1379">
        <v>360</v>
      </c>
      <c r="L1379">
        <v>2</v>
      </c>
      <c r="M1379">
        <v>4</v>
      </c>
      <c r="N1379">
        <v>0.3</v>
      </c>
      <c r="O1379">
        <v>2.1</v>
      </c>
      <c r="P1379">
        <v>93</v>
      </c>
      <c r="Q1379">
        <v>320</v>
      </c>
      <c r="R1379">
        <v>1100</v>
      </c>
      <c r="S1379">
        <v>1700</v>
      </c>
      <c r="V1379">
        <f>River_data[[#This Row],[Dissolved Oxygen Min]]*River_data[[#This Row],[Dissolved Oxygen Max]]/2</f>
        <v>19.04</v>
      </c>
      <c r="W1379">
        <f>River_data[[#This Row],[BOD Min]]*River_data[[#This Row],[BOD Max]]/2</f>
        <v>4</v>
      </c>
      <c r="X1379">
        <f>AVERAGE(River_data[[#This Row],[pH Max]]-River_data[[#This Row],[pH Min]])</f>
        <v>1</v>
      </c>
    </row>
    <row r="1380" spans="1:24" x14ac:dyDescent="0.3">
      <c r="A1380">
        <v>1207</v>
      </c>
      <c r="B1380" s="1" t="s">
        <v>1406</v>
      </c>
      <c r="C1380" s="1" t="s">
        <v>1407</v>
      </c>
      <c r="D1380">
        <v>24</v>
      </c>
      <c r="E1380">
        <v>32</v>
      </c>
      <c r="F1380">
        <v>6.1</v>
      </c>
      <c r="G1380">
        <v>7.7</v>
      </c>
      <c r="H1380">
        <v>6.5</v>
      </c>
      <c r="I1380">
        <v>7.3</v>
      </c>
      <c r="J1380">
        <v>65</v>
      </c>
      <c r="K1380">
        <v>169</v>
      </c>
      <c r="L1380">
        <v>1</v>
      </c>
      <c r="M1380">
        <v>1.2</v>
      </c>
      <c r="N1380">
        <v>0.3</v>
      </c>
      <c r="O1380">
        <v>0.3</v>
      </c>
      <c r="P1380">
        <v>8</v>
      </c>
      <c r="Q1380">
        <v>130</v>
      </c>
      <c r="R1380">
        <v>22</v>
      </c>
      <c r="S1380">
        <v>150</v>
      </c>
      <c r="T1380">
        <v>2</v>
      </c>
      <c r="U1380">
        <v>58</v>
      </c>
      <c r="V1380">
        <f>River_data[[#This Row],[Dissolved Oxygen Min]]*River_data[[#This Row],[Dissolved Oxygen Max]]/2</f>
        <v>23.484999999999999</v>
      </c>
      <c r="W1380">
        <f>River_data[[#This Row],[BOD Min]]*River_data[[#This Row],[BOD Max]]/2</f>
        <v>0.6</v>
      </c>
      <c r="X1380">
        <f>AVERAGE(River_data[[#This Row],[pH Max]]-River_data[[#This Row],[pH Min]])</f>
        <v>0.79999999999999982</v>
      </c>
    </row>
    <row r="1381" spans="1:24" x14ac:dyDescent="0.3">
      <c r="A1381">
        <v>1445</v>
      </c>
      <c r="B1381" s="1" t="s">
        <v>1408</v>
      </c>
      <c r="C1381" s="1" t="s">
        <v>1138</v>
      </c>
      <c r="D1381">
        <v>19</v>
      </c>
      <c r="E1381">
        <v>29</v>
      </c>
      <c r="F1381">
        <v>6.3</v>
      </c>
      <c r="G1381">
        <v>7.3</v>
      </c>
      <c r="H1381">
        <v>7.8</v>
      </c>
      <c r="I1381">
        <v>8.4</v>
      </c>
      <c r="J1381">
        <v>159</v>
      </c>
      <c r="K1381">
        <v>358</v>
      </c>
      <c r="L1381">
        <v>1</v>
      </c>
      <c r="M1381">
        <v>3</v>
      </c>
      <c r="N1381">
        <v>0.32</v>
      </c>
      <c r="O1381">
        <v>2.2999999999999998</v>
      </c>
      <c r="P1381">
        <v>65</v>
      </c>
      <c r="Q1381">
        <v>120</v>
      </c>
      <c r="R1381">
        <v>700</v>
      </c>
      <c r="S1381">
        <v>1200</v>
      </c>
      <c r="V1381">
        <f>River_data[[#This Row],[Dissolved Oxygen Min]]*River_data[[#This Row],[Dissolved Oxygen Max]]/2</f>
        <v>22.994999999999997</v>
      </c>
      <c r="W1381">
        <f>River_data[[#This Row],[BOD Min]]*River_data[[#This Row],[BOD Max]]/2</f>
        <v>1.5</v>
      </c>
      <c r="X1381">
        <f>AVERAGE(River_data[[#This Row],[pH Max]]-River_data[[#This Row],[pH Min]])</f>
        <v>0.60000000000000053</v>
      </c>
    </row>
    <row r="1382" spans="1:24" x14ac:dyDescent="0.3">
      <c r="A1382">
        <v>2775</v>
      </c>
      <c r="B1382" s="1" t="s">
        <v>1409</v>
      </c>
      <c r="C1382" s="1" t="s">
        <v>1138</v>
      </c>
      <c r="D1382">
        <v>19</v>
      </c>
      <c r="E1382">
        <v>30</v>
      </c>
      <c r="F1382">
        <v>5</v>
      </c>
      <c r="G1382">
        <v>6.6</v>
      </c>
      <c r="H1382">
        <v>7.6</v>
      </c>
      <c r="I1382">
        <v>8.6</v>
      </c>
      <c r="J1382">
        <v>259</v>
      </c>
      <c r="K1382">
        <v>555</v>
      </c>
      <c r="L1382">
        <v>3</v>
      </c>
      <c r="M1382">
        <v>4.5</v>
      </c>
      <c r="N1382">
        <v>0.3</v>
      </c>
      <c r="O1382">
        <v>4.2</v>
      </c>
      <c r="P1382">
        <v>150</v>
      </c>
      <c r="Q1382">
        <v>390</v>
      </c>
      <c r="R1382">
        <v>1500</v>
      </c>
      <c r="S1382">
        <v>2400</v>
      </c>
      <c r="V1382">
        <f>River_data[[#This Row],[Dissolved Oxygen Min]]*River_data[[#This Row],[Dissolved Oxygen Max]]/2</f>
        <v>16.5</v>
      </c>
      <c r="W1382">
        <f>River_data[[#This Row],[BOD Min]]*River_data[[#This Row],[BOD Max]]/2</f>
        <v>6.75</v>
      </c>
      <c r="X1382">
        <f>AVERAGE(River_data[[#This Row],[pH Max]]-River_data[[#This Row],[pH Min]])</f>
        <v>1</v>
      </c>
    </row>
    <row r="1383" spans="1:24" x14ac:dyDescent="0.3">
      <c r="A1383">
        <v>3575</v>
      </c>
      <c r="B1383" s="1" t="s">
        <v>1410</v>
      </c>
      <c r="C1383" s="1" t="s">
        <v>1138</v>
      </c>
      <c r="D1383">
        <v>19</v>
      </c>
      <c r="E1383">
        <v>30</v>
      </c>
      <c r="F1383">
        <v>5.8</v>
      </c>
      <c r="G1383">
        <v>7.2</v>
      </c>
      <c r="H1383">
        <v>7.7</v>
      </c>
      <c r="I1383">
        <v>8.4</v>
      </c>
      <c r="J1383">
        <v>174</v>
      </c>
      <c r="K1383">
        <v>460</v>
      </c>
      <c r="L1383">
        <v>1</v>
      </c>
      <c r="M1383">
        <v>3.5</v>
      </c>
      <c r="N1383">
        <v>0.3</v>
      </c>
      <c r="O1383">
        <v>2.9</v>
      </c>
      <c r="P1383">
        <v>93</v>
      </c>
      <c r="Q1383">
        <v>320</v>
      </c>
      <c r="R1383">
        <v>1100</v>
      </c>
      <c r="S1383">
        <v>2300</v>
      </c>
      <c r="V1383">
        <f>River_data[[#This Row],[Dissolved Oxygen Min]]*River_data[[#This Row],[Dissolved Oxygen Max]]/2</f>
        <v>20.88</v>
      </c>
      <c r="W1383">
        <f>River_data[[#This Row],[BOD Min]]*River_data[[#This Row],[BOD Max]]/2</f>
        <v>1.75</v>
      </c>
      <c r="X1383">
        <f>AVERAGE(River_data[[#This Row],[pH Max]]-River_data[[#This Row],[pH Min]])</f>
        <v>0.70000000000000018</v>
      </c>
    </row>
    <row r="1384" spans="1:24" x14ac:dyDescent="0.3">
      <c r="A1384">
        <v>3577</v>
      </c>
      <c r="B1384" s="1" t="s">
        <v>1411</v>
      </c>
      <c r="C1384" s="1" t="s">
        <v>1138</v>
      </c>
      <c r="D1384">
        <v>21</v>
      </c>
      <c r="E1384">
        <v>29</v>
      </c>
      <c r="F1384">
        <v>4.4000000000000004</v>
      </c>
      <c r="G1384">
        <v>6.5</v>
      </c>
      <c r="H1384">
        <v>7.9</v>
      </c>
      <c r="I1384">
        <v>8.5</v>
      </c>
      <c r="J1384">
        <v>258</v>
      </c>
      <c r="K1384">
        <v>564</v>
      </c>
      <c r="L1384">
        <v>2.5</v>
      </c>
      <c r="M1384">
        <v>6</v>
      </c>
      <c r="N1384">
        <v>0.56000000000000005</v>
      </c>
      <c r="O1384">
        <v>4.8</v>
      </c>
      <c r="P1384">
        <v>130</v>
      </c>
      <c r="Q1384">
        <v>340</v>
      </c>
      <c r="R1384">
        <v>1500</v>
      </c>
      <c r="S1384">
        <v>2400</v>
      </c>
      <c r="V1384">
        <f>River_data[[#This Row],[Dissolved Oxygen Min]]*River_data[[#This Row],[Dissolved Oxygen Max]]/2</f>
        <v>14.3</v>
      </c>
      <c r="W1384">
        <f>River_data[[#This Row],[BOD Min]]*River_data[[#This Row],[BOD Max]]/2</f>
        <v>7.5</v>
      </c>
      <c r="X1384">
        <f>AVERAGE(River_data[[#This Row],[pH Max]]-River_data[[#This Row],[pH Min]])</f>
        <v>0.59999999999999964</v>
      </c>
    </row>
    <row r="1385" spans="1:24" x14ac:dyDescent="0.3">
      <c r="A1385">
        <v>1196</v>
      </c>
      <c r="B1385" s="1" t="s">
        <v>1412</v>
      </c>
      <c r="C1385" s="1" t="s">
        <v>1138</v>
      </c>
      <c r="D1385">
        <v>22</v>
      </c>
      <c r="E1385">
        <v>31</v>
      </c>
      <c r="F1385">
        <v>2.5</v>
      </c>
      <c r="G1385">
        <v>6.2</v>
      </c>
      <c r="H1385">
        <v>7.3</v>
      </c>
      <c r="I1385">
        <v>8.4</v>
      </c>
      <c r="J1385">
        <v>319</v>
      </c>
      <c r="K1385">
        <v>859</v>
      </c>
      <c r="L1385">
        <v>3</v>
      </c>
      <c r="M1385">
        <v>8</v>
      </c>
      <c r="N1385">
        <v>1.5</v>
      </c>
      <c r="O1385">
        <v>5.4</v>
      </c>
      <c r="P1385">
        <v>140</v>
      </c>
      <c r="Q1385">
        <v>680</v>
      </c>
      <c r="R1385">
        <v>2100</v>
      </c>
      <c r="S1385">
        <v>4100</v>
      </c>
      <c r="V1385">
        <f>River_data[[#This Row],[Dissolved Oxygen Min]]*River_data[[#This Row],[Dissolved Oxygen Max]]/2</f>
        <v>7.75</v>
      </c>
      <c r="W1385">
        <f>River_data[[#This Row],[BOD Min]]*River_data[[#This Row],[BOD Max]]/2</f>
        <v>12</v>
      </c>
      <c r="X1385">
        <f>AVERAGE(River_data[[#This Row],[pH Max]]-River_data[[#This Row],[pH Min]])</f>
        <v>1.1000000000000005</v>
      </c>
    </row>
    <row r="1386" spans="1:24" x14ac:dyDescent="0.3">
      <c r="A1386">
        <v>2772</v>
      </c>
      <c r="B1386" s="1" t="s">
        <v>1413</v>
      </c>
      <c r="C1386" s="1" t="s">
        <v>1138</v>
      </c>
      <c r="D1386">
        <v>22</v>
      </c>
      <c r="E1386">
        <v>31</v>
      </c>
      <c r="F1386">
        <v>3</v>
      </c>
      <c r="G1386">
        <v>6.4</v>
      </c>
      <c r="H1386">
        <v>7.2</v>
      </c>
      <c r="I1386">
        <v>8.5</v>
      </c>
      <c r="J1386">
        <v>318</v>
      </c>
      <c r="K1386">
        <v>767</v>
      </c>
      <c r="L1386">
        <v>3</v>
      </c>
      <c r="M1386">
        <v>8</v>
      </c>
      <c r="N1386">
        <v>1.4</v>
      </c>
      <c r="O1386">
        <v>5.6</v>
      </c>
      <c r="P1386">
        <v>140</v>
      </c>
      <c r="Q1386">
        <v>480</v>
      </c>
      <c r="R1386">
        <v>2100</v>
      </c>
      <c r="S1386">
        <v>4300</v>
      </c>
      <c r="V1386">
        <f>River_data[[#This Row],[Dissolved Oxygen Min]]*River_data[[#This Row],[Dissolved Oxygen Max]]/2</f>
        <v>9.6000000000000014</v>
      </c>
      <c r="W1386">
        <f>River_data[[#This Row],[BOD Min]]*River_data[[#This Row],[BOD Max]]/2</f>
        <v>12</v>
      </c>
      <c r="X1386">
        <f>AVERAGE(River_data[[#This Row],[pH Max]]-River_data[[#This Row],[pH Min]])</f>
        <v>1.2999999999999998</v>
      </c>
    </row>
    <row r="1387" spans="1:24" x14ac:dyDescent="0.3">
      <c r="A1387">
        <v>3572</v>
      </c>
      <c r="B1387" s="1" t="s">
        <v>1414</v>
      </c>
      <c r="C1387" s="1" t="s">
        <v>1138</v>
      </c>
      <c r="D1387">
        <v>22</v>
      </c>
      <c r="E1387">
        <v>31</v>
      </c>
      <c r="F1387">
        <v>4.4000000000000004</v>
      </c>
      <c r="G1387">
        <v>6.4</v>
      </c>
      <c r="H1387">
        <v>7.6</v>
      </c>
      <c r="I1387">
        <v>8.5</v>
      </c>
      <c r="J1387">
        <v>290</v>
      </c>
      <c r="K1387">
        <v>660</v>
      </c>
      <c r="L1387">
        <v>3</v>
      </c>
      <c r="M1387">
        <v>6</v>
      </c>
      <c r="N1387">
        <v>1.2</v>
      </c>
      <c r="O1387">
        <v>3.9</v>
      </c>
      <c r="P1387">
        <v>120</v>
      </c>
      <c r="Q1387">
        <v>410</v>
      </c>
      <c r="R1387">
        <v>2100</v>
      </c>
      <c r="S1387">
        <v>3500</v>
      </c>
      <c r="V1387">
        <f>River_data[[#This Row],[Dissolved Oxygen Min]]*River_data[[#This Row],[Dissolved Oxygen Max]]/2</f>
        <v>14.080000000000002</v>
      </c>
      <c r="W1387">
        <f>River_data[[#This Row],[BOD Min]]*River_data[[#This Row],[BOD Max]]/2</f>
        <v>9</v>
      </c>
      <c r="X1387">
        <f>AVERAGE(River_data[[#This Row],[pH Max]]-River_data[[#This Row],[pH Min]])</f>
        <v>0.90000000000000036</v>
      </c>
    </row>
    <row r="1388" spans="1:24" x14ac:dyDescent="0.3">
      <c r="A1388">
        <v>3024</v>
      </c>
      <c r="B1388" s="1" t="s">
        <v>1415</v>
      </c>
      <c r="C1388" s="1" t="s">
        <v>1354</v>
      </c>
      <c r="D1388">
        <v>23</v>
      </c>
      <c r="E1388">
        <v>30</v>
      </c>
      <c r="F1388">
        <v>0.3</v>
      </c>
      <c r="G1388">
        <v>5.9</v>
      </c>
      <c r="H1388">
        <v>6.8</v>
      </c>
      <c r="I1388">
        <v>8.1999999999999993</v>
      </c>
      <c r="J1388">
        <v>1413</v>
      </c>
      <c r="K1388">
        <v>3710</v>
      </c>
      <c r="L1388">
        <v>1.8</v>
      </c>
      <c r="M1388">
        <v>36</v>
      </c>
      <c r="N1388">
        <v>0.32</v>
      </c>
      <c r="O1388">
        <v>1.53</v>
      </c>
      <c r="P1388">
        <v>14</v>
      </c>
      <c r="Q1388">
        <v>26000</v>
      </c>
      <c r="R1388">
        <v>26</v>
      </c>
      <c r="S1388">
        <v>220000</v>
      </c>
      <c r="V1388">
        <f>River_data[[#This Row],[Dissolved Oxygen Min]]*River_data[[#This Row],[Dissolved Oxygen Max]]/2</f>
        <v>0.88500000000000001</v>
      </c>
      <c r="W1388">
        <f>River_data[[#This Row],[BOD Min]]*River_data[[#This Row],[BOD Max]]/2</f>
        <v>32.4</v>
      </c>
      <c r="X1388">
        <f>AVERAGE(River_data[[#This Row],[pH Max]]-River_data[[#This Row],[pH Min]])</f>
        <v>1.3999999999999995</v>
      </c>
    </row>
    <row r="1389" spans="1:24" x14ac:dyDescent="0.3">
      <c r="A1389">
        <v>10034</v>
      </c>
      <c r="B1389" s="1" t="s">
        <v>1416</v>
      </c>
      <c r="C1389" s="1" t="s">
        <v>1354</v>
      </c>
      <c r="D1389">
        <v>27</v>
      </c>
      <c r="E1389">
        <v>31</v>
      </c>
      <c r="F1389">
        <v>0.3</v>
      </c>
      <c r="G1389">
        <v>3.6</v>
      </c>
      <c r="H1389">
        <v>6.8</v>
      </c>
      <c r="I1389">
        <v>7.8</v>
      </c>
      <c r="J1389">
        <v>490</v>
      </c>
      <c r="K1389">
        <v>2120</v>
      </c>
      <c r="L1389">
        <v>4.2</v>
      </c>
      <c r="M1389">
        <v>25</v>
      </c>
      <c r="N1389">
        <v>1.22</v>
      </c>
      <c r="O1389">
        <v>32</v>
      </c>
      <c r="P1389">
        <v>18</v>
      </c>
      <c r="Q1389">
        <v>470</v>
      </c>
      <c r="R1389">
        <v>310</v>
      </c>
      <c r="S1389">
        <v>1400</v>
      </c>
      <c r="V1389">
        <f>River_data[[#This Row],[Dissolved Oxygen Min]]*River_data[[#This Row],[Dissolved Oxygen Max]]/2</f>
        <v>0.54</v>
      </c>
      <c r="W1389">
        <f>River_data[[#This Row],[BOD Min]]*River_data[[#This Row],[BOD Max]]/2</f>
        <v>52.5</v>
      </c>
      <c r="X1389">
        <f>AVERAGE(River_data[[#This Row],[pH Max]]-River_data[[#This Row],[pH Min]])</f>
        <v>1</v>
      </c>
    </row>
    <row r="1390" spans="1:24" x14ac:dyDescent="0.3">
      <c r="A1390">
        <v>10035</v>
      </c>
      <c r="B1390" s="1" t="s">
        <v>1417</v>
      </c>
      <c r="C1390" s="1" t="s">
        <v>1354</v>
      </c>
      <c r="D1390">
        <v>27</v>
      </c>
      <c r="E1390">
        <v>31</v>
      </c>
      <c r="F1390">
        <v>0.3</v>
      </c>
      <c r="G1390">
        <v>2.9</v>
      </c>
      <c r="H1390">
        <v>6.7</v>
      </c>
      <c r="I1390">
        <v>7.5</v>
      </c>
      <c r="J1390">
        <v>476</v>
      </c>
      <c r="K1390">
        <v>2040</v>
      </c>
      <c r="L1390">
        <v>5.3</v>
      </c>
      <c r="M1390">
        <v>25</v>
      </c>
      <c r="N1390">
        <v>1.06</v>
      </c>
      <c r="O1390">
        <v>31</v>
      </c>
      <c r="P1390">
        <v>18</v>
      </c>
      <c r="Q1390">
        <v>330</v>
      </c>
      <c r="R1390">
        <v>360</v>
      </c>
      <c r="S1390">
        <v>1400</v>
      </c>
      <c r="V1390">
        <f>River_data[[#This Row],[Dissolved Oxygen Min]]*River_data[[#This Row],[Dissolved Oxygen Max]]/2</f>
        <v>0.435</v>
      </c>
      <c r="W1390">
        <f>River_data[[#This Row],[BOD Min]]*River_data[[#This Row],[BOD Max]]/2</f>
        <v>66.25</v>
      </c>
      <c r="X1390">
        <f>AVERAGE(River_data[[#This Row],[pH Max]]-River_data[[#This Row],[pH Min]])</f>
        <v>0.79999999999999982</v>
      </c>
    </row>
    <row r="1391" spans="1:24" x14ac:dyDescent="0.3">
      <c r="A1391">
        <v>10036</v>
      </c>
      <c r="B1391" s="1" t="s">
        <v>1418</v>
      </c>
      <c r="C1391" s="1" t="s">
        <v>1354</v>
      </c>
      <c r="D1391">
        <v>27</v>
      </c>
      <c r="E1391">
        <v>32</v>
      </c>
      <c r="F1391">
        <v>0.3</v>
      </c>
      <c r="G1391">
        <v>3.9</v>
      </c>
      <c r="H1391">
        <v>6.9</v>
      </c>
      <c r="I1391">
        <v>7.4</v>
      </c>
      <c r="J1391">
        <v>398</v>
      </c>
      <c r="K1391">
        <v>1986</v>
      </c>
      <c r="L1391">
        <v>4.5</v>
      </c>
      <c r="M1391">
        <v>20</v>
      </c>
      <c r="N1391">
        <v>0.32</v>
      </c>
      <c r="O1391">
        <v>16.02</v>
      </c>
      <c r="P1391">
        <v>40</v>
      </c>
      <c r="Q1391">
        <v>270</v>
      </c>
      <c r="R1391">
        <v>200</v>
      </c>
      <c r="S1391">
        <v>1400</v>
      </c>
      <c r="V1391">
        <f>River_data[[#This Row],[Dissolved Oxygen Min]]*River_data[[#This Row],[Dissolved Oxygen Max]]/2</f>
        <v>0.58499999999999996</v>
      </c>
      <c r="W1391">
        <f>River_data[[#This Row],[BOD Min]]*River_data[[#This Row],[BOD Max]]/2</f>
        <v>45</v>
      </c>
      <c r="X1391">
        <f>AVERAGE(River_data[[#This Row],[pH Max]]-River_data[[#This Row],[pH Min]])</f>
        <v>0.5</v>
      </c>
    </row>
    <row r="1392" spans="1:24" x14ac:dyDescent="0.3">
      <c r="A1392">
        <v>10038</v>
      </c>
      <c r="B1392" s="1" t="s">
        <v>1419</v>
      </c>
      <c r="C1392" s="1" t="s">
        <v>1354</v>
      </c>
      <c r="D1392">
        <v>28</v>
      </c>
      <c r="E1392">
        <v>33</v>
      </c>
      <c r="F1392">
        <v>0.3</v>
      </c>
      <c r="G1392">
        <v>2.7</v>
      </c>
      <c r="H1392">
        <v>6.6</v>
      </c>
      <c r="I1392">
        <v>7.4</v>
      </c>
      <c r="J1392">
        <v>378</v>
      </c>
      <c r="K1392">
        <v>20600</v>
      </c>
      <c r="L1392">
        <v>6</v>
      </c>
      <c r="M1392">
        <v>40</v>
      </c>
      <c r="N1392">
        <v>0.32</v>
      </c>
      <c r="O1392">
        <v>18.02</v>
      </c>
      <c r="P1392">
        <v>2</v>
      </c>
      <c r="Q1392">
        <v>320</v>
      </c>
      <c r="R1392">
        <v>330</v>
      </c>
      <c r="S1392">
        <v>1700</v>
      </c>
      <c r="V1392">
        <f>River_data[[#This Row],[Dissolved Oxygen Min]]*River_data[[#This Row],[Dissolved Oxygen Max]]/2</f>
        <v>0.40500000000000003</v>
      </c>
      <c r="W1392">
        <f>River_data[[#This Row],[BOD Min]]*River_data[[#This Row],[BOD Max]]/2</f>
        <v>120</v>
      </c>
      <c r="X1392">
        <f>AVERAGE(River_data[[#This Row],[pH Max]]-River_data[[#This Row],[pH Min]])</f>
        <v>0.80000000000000071</v>
      </c>
    </row>
    <row r="1393" spans="1:24" x14ac:dyDescent="0.3">
      <c r="A1393">
        <v>10039</v>
      </c>
      <c r="B1393" s="1" t="s">
        <v>1420</v>
      </c>
      <c r="C1393" s="1" t="s">
        <v>1354</v>
      </c>
      <c r="D1393">
        <v>28</v>
      </c>
      <c r="E1393">
        <v>33</v>
      </c>
      <c r="F1393">
        <v>0.3</v>
      </c>
      <c r="G1393">
        <v>4.0999999999999996</v>
      </c>
      <c r="H1393">
        <v>6.5</v>
      </c>
      <c r="I1393">
        <v>7.3</v>
      </c>
      <c r="J1393">
        <v>426</v>
      </c>
      <c r="K1393">
        <v>16410</v>
      </c>
      <c r="L1393">
        <v>4.5999999999999996</v>
      </c>
      <c r="M1393">
        <v>38</v>
      </c>
      <c r="N1393">
        <v>1.25</v>
      </c>
      <c r="O1393">
        <v>18.5</v>
      </c>
      <c r="P1393">
        <v>40</v>
      </c>
      <c r="Q1393">
        <v>320</v>
      </c>
      <c r="R1393">
        <v>460</v>
      </c>
      <c r="S1393">
        <v>1500</v>
      </c>
      <c r="V1393">
        <f>River_data[[#This Row],[Dissolved Oxygen Min]]*River_data[[#This Row],[Dissolved Oxygen Max]]/2</f>
        <v>0.61499999999999988</v>
      </c>
      <c r="W1393">
        <f>River_data[[#This Row],[BOD Min]]*River_data[[#This Row],[BOD Max]]/2</f>
        <v>87.399999999999991</v>
      </c>
      <c r="X1393">
        <f>AVERAGE(River_data[[#This Row],[pH Max]]-River_data[[#This Row],[pH Min]])</f>
        <v>0.79999999999999982</v>
      </c>
    </row>
    <row r="1394" spans="1:24" x14ac:dyDescent="0.3">
      <c r="A1394">
        <v>10040</v>
      </c>
      <c r="B1394" s="1" t="s">
        <v>1421</v>
      </c>
      <c r="C1394" s="1" t="s">
        <v>1354</v>
      </c>
      <c r="D1394">
        <v>28</v>
      </c>
      <c r="E1394">
        <v>32</v>
      </c>
      <c r="F1394">
        <v>0.3</v>
      </c>
      <c r="G1394">
        <v>1.9</v>
      </c>
      <c r="H1394">
        <v>6.5</v>
      </c>
      <c r="I1394">
        <v>7.1</v>
      </c>
      <c r="J1394">
        <v>647</v>
      </c>
      <c r="K1394">
        <v>2270</v>
      </c>
      <c r="L1394">
        <v>7</v>
      </c>
      <c r="M1394">
        <v>33</v>
      </c>
      <c r="N1394">
        <v>0.32</v>
      </c>
      <c r="O1394">
        <v>14</v>
      </c>
      <c r="P1394">
        <v>68</v>
      </c>
      <c r="Q1394">
        <v>520</v>
      </c>
      <c r="R1394">
        <v>680</v>
      </c>
      <c r="S1394">
        <v>2200</v>
      </c>
      <c r="V1394">
        <f>River_data[[#This Row],[Dissolved Oxygen Min]]*River_data[[#This Row],[Dissolved Oxygen Max]]/2</f>
        <v>0.28499999999999998</v>
      </c>
      <c r="W1394">
        <f>River_data[[#This Row],[BOD Min]]*River_data[[#This Row],[BOD Max]]/2</f>
        <v>115.5</v>
      </c>
      <c r="X1394">
        <f>AVERAGE(River_data[[#This Row],[pH Max]]-River_data[[#This Row],[pH Min]])</f>
        <v>0.59999999999999964</v>
      </c>
    </row>
    <row r="1395" spans="1:24" x14ac:dyDescent="0.3">
      <c r="A1395">
        <v>10041</v>
      </c>
      <c r="B1395" s="1" t="s">
        <v>1422</v>
      </c>
      <c r="C1395" s="1" t="s">
        <v>1354</v>
      </c>
      <c r="D1395">
        <v>28</v>
      </c>
      <c r="E1395">
        <v>33</v>
      </c>
      <c r="F1395">
        <v>0.3</v>
      </c>
      <c r="G1395">
        <v>2.4</v>
      </c>
      <c r="H1395">
        <v>6.6</v>
      </c>
      <c r="I1395">
        <v>7.3</v>
      </c>
      <c r="J1395">
        <v>638</v>
      </c>
      <c r="K1395">
        <v>2290</v>
      </c>
      <c r="L1395">
        <v>6</v>
      </c>
      <c r="M1395">
        <v>83</v>
      </c>
      <c r="N1395">
        <v>0.32</v>
      </c>
      <c r="O1395">
        <v>16.02</v>
      </c>
      <c r="P1395">
        <v>61</v>
      </c>
      <c r="Q1395">
        <v>390</v>
      </c>
      <c r="R1395">
        <v>630</v>
      </c>
      <c r="S1395">
        <v>2000</v>
      </c>
      <c r="V1395">
        <f>River_data[[#This Row],[Dissolved Oxygen Min]]*River_data[[#This Row],[Dissolved Oxygen Max]]/2</f>
        <v>0.36</v>
      </c>
      <c r="W1395">
        <f>River_data[[#This Row],[BOD Min]]*River_data[[#This Row],[BOD Max]]/2</f>
        <v>249</v>
      </c>
      <c r="X1395">
        <f>AVERAGE(River_data[[#This Row],[pH Max]]-River_data[[#This Row],[pH Min]])</f>
        <v>0.70000000000000018</v>
      </c>
    </row>
    <row r="1396" spans="1:24" x14ac:dyDescent="0.3">
      <c r="A1396">
        <v>10042</v>
      </c>
      <c r="B1396" s="1" t="s">
        <v>1423</v>
      </c>
      <c r="C1396" s="1" t="s">
        <v>1354</v>
      </c>
      <c r="D1396">
        <v>28</v>
      </c>
      <c r="E1396">
        <v>32</v>
      </c>
      <c r="F1396">
        <v>0.3</v>
      </c>
      <c r="G1396">
        <v>4.4000000000000004</v>
      </c>
      <c r="H1396">
        <v>6.6</v>
      </c>
      <c r="I1396">
        <v>7.1</v>
      </c>
      <c r="J1396">
        <v>610</v>
      </c>
      <c r="K1396">
        <v>2310</v>
      </c>
      <c r="L1396">
        <v>5.5</v>
      </c>
      <c r="M1396">
        <v>131</v>
      </c>
      <c r="N1396">
        <v>0.32</v>
      </c>
      <c r="O1396">
        <v>15</v>
      </c>
      <c r="P1396">
        <v>81</v>
      </c>
      <c r="Q1396">
        <v>340</v>
      </c>
      <c r="R1396">
        <v>490</v>
      </c>
      <c r="S1396">
        <v>2100</v>
      </c>
      <c r="V1396">
        <f>River_data[[#This Row],[Dissolved Oxygen Min]]*River_data[[#This Row],[Dissolved Oxygen Max]]/2</f>
        <v>0.66</v>
      </c>
      <c r="W1396">
        <f>River_data[[#This Row],[BOD Min]]*River_data[[#This Row],[BOD Max]]/2</f>
        <v>360.25</v>
      </c>
      <c r="X1396">
        <f>AVERAGE(River_data[[#This Row],[pH Max]]-River_data[[#This Row],[pH Min]])</f>
        <v>0.5</v>
      </c>
    </row>
    <row r="1397" spans="1:24" x14ac:dyDescent="0.3">
      <c r="A1397">
        <v>10043</v>
      </c>
      <c r="B1397" s="1" t="s">
        <v>1424</v>
      </c>
      <c r="C1397" s="1" t="s">
        <v>1354</v>
      </c>
      <c r="D1397">
        <v>27</v>
      </c>
      <c r="E1397">
        <v>33</v>
      </c>
      <c r="F1397">
        <v>0.3</v>
      </c>
      <c r="G1397">
        <v>3.4</v>
      </c>
      <c r="H1397">
        <v>6.7</v>
      </c>
      <c r="I1397">
        <v>7.3</v>
      </c>
      <c r="J1397">
        <v>1053</v>
      </c>
      <c r="K1397">
        <v>2510</v>
      </c>
      <c r="L1397">
        <v>4</v>
      </c>
      <c r="M1397">
        <v>27</v>
      </c>
      <c r="N1397">
        <v>0.82</v>
      </c>
      <c r="O1397">
        <v>61.52</v>
      </c>
      <c r="P1397">
        <v>2</v>
      </c>
      <c r="Q1397">
        <v>330</v>
      </c>
      <c r="R1397">
        <v>310</v>
      </c>
      <c r="S1397">
        <v>1700</v>
      </c>
      <c r="V1397">
        <f>River_data[[#This Row],[Dissolved Oxygen Min]]*River_data[[#This Row],[Dissolved Oxygen Max]]/2</f>
        <v>0.51</v>
      </c>
      <c r="W1397">
        <f>River_data[[#This Row],[BOD Min]]*River_data[[#This Row],[BOD Max]]/2</f>
        <v>54</v>
      </c>
      <c r="X1397">
        <f>AVERAGE(River_data[[#This Row],[pH Max]]-River_data[[#This Row],[pH Min]])</f>
        <v>0.59999999999999964</v>
      </c>
    </row>
    <row r="1398" spans="1:24" x14ac:dyDescent="0.3">
      <c r="A1398">
        <v>10044</v>
      </c>
      <c r="B1398" s="1" t="s">
        <v>1425</v>
      </c>
      <c r="C1398" s="1" t="s">
        <v>1354</v>
      </c>
      <c r="D1398">
        <v>27</v>
      </c>
      <c r="E1398">
        <v>33</v>
      </c>
      <c r="F1398">
        <v>0.3</v>
      </c>
      <c r="G1398">
        <v>3.2</v>
      </c>
      <c r="H1398">
        <v>6.8</v>
      </c>
      <c r="I1398">
        <v>7.2</v>
      </c>
      <c r="J1398">
        <v>495</v>
      </c>
      <c r="K1398">
        <v>2460</v>
      </c>
      <c r="L1398">
        <v>5.6</v>
      </c>
      <c r="M1398">
        <v>46</v>
      </c>
      <c r="N1398">
        <v>0.32</v>
      </c>
      <c r="O1398">
        <v>23</v>
      </c>
      <c r="P1398">
        <v>45</v>
      </c>
      <c r="Q1398">
        <v>380</v>
      </c>
      <c r="R1398">
        <v>600</v>
      </c>
      <c r="S1398">
        <v>2000</v>
      </c>
      <c r="V1398">
        <f>River_data[[#This Row],[Dissolved Oxygen Min]]*River_data[[#This Row],[Dissolved Oxygen Max]]/2</f>
        <v>0.48</v>
      </c>
      <c r="W1398">
        <f>River_data[[#This Row],[BOD Min]]*River_data[[#This Row],[BOD Max]]/2</f>
        <v>128.79999999999998</v>
      </c>
      <c r="X1398">
        <f>AVERAGE(River_data[[#This Row],[pH Max]]-River_data[[#This Row],[pH Min]])</f>
        <v>0.40000000000000036</v>
      </c>
    </row>
    <row r="1399" spans="1:24" x14ac:dyDescent="0.3">
      <c r="A1399">
        <v>10045</v>
      </c>
      <c r="B1399" s="1" t="s">
        <v>1426</v>
      </c>
      <c r="C1399" s="1" t="s">
        <v>1354</v>
      </c>
      <c r="D1399">
        <v>27</v>
      </c>
      <c r="E1399">
        <v>33</v>
      </c>
      <c r="F1399">
        <v>0.3</v>
      </c>
      <c r="G1399">
        <v>1</v>
      </c>
      <c r="H1399">
        <v>6.6</v>
      </c>
      <c r="I1399">
        <v>7</v>
      </c>
      <c r="J1399">
        <v>1217</v>
      </c>
      <c r="K1399">
        <v>3240</v>
      </c>
      <c r="L1399">
        <v>13</v>
      </c>
      <c r="M1399">
        <v>36</v>
      </c>
      <c r="N1399">
        <v>1.1000000000000001</v>
      </c>
      <c r="O1399">
        <v>13.43</v>
      </c>
      <c r="P1399">
        <v>45</v>
      </c>
      <c r="Q1399">
        <v>780</v>
      </c>
      <c r="R1399">
        <v>460</v>
      </c>
      <c r="S1399">
        <v>3300</v>
      </c>
      <c r="V1399">
        <f>River_data[[#This Row],[Dissolved Oxygen Min]]*River_data[[#This Row],[Dissolved Oxygen Max]]/2</f>
        <v>0.15</v>
      </c>
      <c r="W1399">
        <f>River_data[[#This Row],[BOD Min]]*River_data[[#This Row],[BOD Max]]/2</f>
        <v>234</v>
      </c>
      <c r="X1399">
        <f>AVERAGE(River_data[[#This Row],[pH Max]]-River_data[[#This Row],[pH Min]])</f>
        <v>0.40000000000000036</v>
      </c>
    </row>
    <row r="1400" spans="1:24" x14ac:dyDescent="0.3">
      <c r="A1400">
        <v>10046</v>
      </c>
      <c r="B1400" s="1" t="s">
        <v>1427</v>
      </c>
      <c r="C1400" s="1" t="s">
        <v>1354</v>
      </c>
      <c r="D1400">
        <v>28</v>
      </c>
      <c r="E1400">
        <v>33</v>
      </c>
      <c r="F1400">
        <v>0.3</v>
      </c>
      <c r="G1400">
        <v>2.5</v>
      </c>
      <c r="H1400">
        <v>6.7</v>
      </c>
      <c r="I1400">
        <v>7.1</v>
      </c>
      <c r="J1400">
        <v>797</v>
      </c>
      <c r="K1400">
        <v>36200</v>
      </c>
      <c r="L1400">
        <v>8.1</v>
      </c>
      <c r="M1400">
        <v>52</v>
      </c>
      <c r="N1400">
        <v>0.32</v>
      </c>
      <c r="O1400">
        <v>14.49</v>
      </c>
      <c r="P1400">
        <v>2</v>
      </c>
      <c r="Q1400">
        <v>470</v>
      </c>
      <c r="R1400">
        <v>370</v>
      </c>
      <c r="S1400">
        <v>2500</v>
      </c>
      <c r="V1400">
        <f>River_data[[#This Row],[Dissolved Oxygen Min]]*River_data[[#This Row],[Dissolved Oxygen Max]]/2</f>
        <v>0.375</v>
      </c>
      <c r="W1400">
        <f>River_data[[#This Row],[BOD Min]]*River_data[[#This Row],[BOD Max]]/2</f>
        <v>210.6</v>
      </c>
      <c r="X1400">
        <f>AVERAGE(River_data[[#This Row],[pH Max]]-River_data[[#This Row],[pH Min]])</f>
        <v>0.39999999999999947</v>
      </c>
    </row>
    <row r="1401" spans="1:24" x14ac:dyDescent="0.3">
      <c r="A1401">
        <v>10059</v>
      </c>
      <c r="B1401" s="1" t="s">
        <v>1428</v>
      </c>
      <c r="C1401" s="1" t="s">
        <v>1354</v>
      </c>
      <c r="D1401">
        <v>26</v>
      </c>
      <c r="E1401">
        <v>29</v>
      </c>
      <c r="F1401">
        <v>5.3</v>
      </c>
      <c r="G1401">
        <v>6.8</v>
      </c>
      <c r="H1401">
        <v>7.3</v>
      </c>
      <c r="I1401">
        <v>7.7</v>
      </c>
      <c r="J1401">
        <v>305</v>
      </c>
      <c r="K1401">
        <v>655</v>
      </c>
      <c r="L1401">
        <v>1</v>
      </c>
      <c r="M1401">
        <v>3</v>
      </c>
      <c r="N1401">
        <v>0.32</v>
      </c>
      <c r="O1401">
        <v>0.71</v>
      </c>
      <c r="P1401">
        <v>2</v>
      </c>
      <c r="Q1401">
        <v>17</v>
      </c>
      <c r="R1401">
        <v>11</v>
      </c>
      <c r="S1401">
        <v>49</v>
      </c>
      <c r="V1401">
        <f>River_data[[#This Row],[Dissolved Oxygen Min]]*River_data[[#This Row],[Dissolved Oxygen Max]]/2</f>
        <v>18.02</v>
      </c>
      <c r="W1401">
        <f>River_data[[#This Row],[BOD Min]]*River_data[[#This Row],[BOD Max]]/2</f>
        <v>1.5</v>
      </c>
      <c r="X1401">
        <f>AVERAGE(River_data[[#This Row],[pH Max]]-River_data[[#This Row],[pH Min]])</f>
        <v>0.40000000000000036</v>
      </c>
    </row>
    <row r="1402" spans="1:24" x14ac:dyDescent="0.3">
      <c r="A1402">
        <v>10060</v>
      </c>
      <c r="B1402" s="1" t="s">
        <v>1429</v>
      </c>
      <c r="C1402" s="1" t="s">
        <v>1354</v>
      </c>
      <c r="D1402">
        <v>25</v>
      </c>
      <c r="E1402">
        <v>29</v>
      </c>
      <c r="F1402">
        <v>5.4</v>
      </c>
      <c r="G1402">
        <v>6.6</v>
      </c>
      <c r="H1402">
        <v>7.2</v>
      </c>
      <c r="I1402">
        <v>7.8</v>
      </c>
      <c r="J1402">
        <v>438</v>
      </c>
      <c r="K1402">
        <v>1721</v>
      </c>
      <c r="L1402">
        <v>1</v>
      </c>
      <c r="M1402">
        <v>6</v>
      </c>
      <c r="N1402">
        <v>0.32</v>
      </c>
      <c r="O1402">
        <v>1.41</v>
      </c>
      <c r="P1402">
        <v>17</v>
      </c>
      <c r="Q1402">
        <v>24</v>
      </c>
      <c r="R1402">
        <v>26</v>
      </c>
      <c r="S1402">
        <v>49</v>
      </c>
      <c r="V1402">
        <f>River_data[[#This Row],[Dissolved Oxygen Min]]*River_data[[#This Row],[Dissolved Oxygen Max]]/2</f>
        <v>17.82</v>
      </c>
      <c r="W1402">
        <f>River_data[[#This Row],[BOD Min]]*River_data[[#This Row],[BOD Max]]/2</f>
        <v>3</v>
      </c>
      <c r="X1402">
        <f>AVERAGE(River_data[[#This Row],[pH Max]]-River_data[[#This Row],[pH Min]])</f>
        <v>0.59999999999999964</v>
      </c>
    </row>
    <row r="1403" spans="1:24" x14ac:dyDescent="0.3">
      <c r="A1403">
        <v>10057</v>
      </c>
      <c r="B1403" s="1" t="s">
        <v>1430</v>
      </c>
      <c r="C1403" s="1" t="s">
        <v>1354</v>
      </c>
      <c r="D1403">
        <v>24</v>
      </c>
      <c r="E1403">
        <v>32</v>
      </c>
      <c r="F1403">
        <v>5.6</v>
      </c>
      <c r="G1403">
        <v>7.8</v>
      </c>
      <c r="H1403">
        <v>7.5</v>
      </c>
      <c r="I1403">
        <v>8.6999999999999993</v>
      </c>
      <c r="J1403">
        <v>395</v>
      </c>
      <c r="K1403">
        <v>1042</v>
      </c>
      <c r="L1403">
        <v>1</v>
      </c>
      <c r="M1403">
        <v>2.8</v>
      </c>
      <c r="N1403">
        <v>0.39</v>
      </c>
      <c r="O1403">
        <v>2.36</v>
      </c>
      <c r="P1403">
        <v>2</v>
      </c>
      <c r="Q1403">
        <v>18</v>
      </c>
      <c r="R1403">
        <v>4</v>
      </c>
      <c r="S1403">
        <v>39</v>
      </c>
      <c r="V1403">
        <f>River_data[[#This Row],[Dissolved Oxygen Min]]*River_data[[#This Row],[Dissolved Oxygen Max]]/2</f>
        <v>21.84</v>
      </c>
      <c r="W1403">
        <f>River_data[[#This Row],[BOD Min]]*River_data[[#This Row],[BOD Max]]/2</f>
        <v>1.4</v>
      </c>
      <c r="X1403">
        <f>AVERAGE(River_data[[#This Row],[pH Max]]-River_data[[#This Row],[pH Min]])</f>
        <v>1.1999999999999993</v>
      </c>
    </row>
    <row r="1404" spans="1:24" x14ac:dyDescent="0.3">
      <c r="A1404">
        <v>10058</v>
      </c>
      <c r="B1404" s="1" t="s">
        <v>1431</v>
      </c>
      <c r="C1404" s="1" t="s">
        <v>1354</v>
      </c>
      <c r="D1404">
        <v>23</v>
      </c>
      <c r="E1404">
        <v>32</v>
      </c>
      <c r="F1404">
        <v>5.3</v>
      </c>
      <c r="G1404">
        <v>7.9</v>
      </c>
      <c r="H1404">
        <v>7.3</v>
      </c>
      <c r="I1404">
        <v>9</v>
      </c>
      <c r="J1404">
        <v>404</v>
      </c>
      <c r="K1404">
        <v>1036</v>
      </c>
      <c r="L1404">
        <v>1</v>
      </c>
      <c r="M1404">
        <v>3</v>
      </c>
      <c r="N1404">
        <v>0.32</v>
      </c>
      <c r="O1404">
        <v>1.1499999999999999</v>
      </c>
      <c r="P1404">
        <v>2</v>
      </c>
      <c r="Q1404">
        <v>18</v>
      </c>
      <c r="R1404">
        <v>2</v>
      </c>
      <c r="S1404">
        <v>230</v>
      </c>
      <c r="V1404">
        <f>River_data[[#This Row],[Dissolved Oxygen Min]]*River_data[[#This Row],[Dissolved Oxygen Max]]/2</f>
        <v>20.934999999999999</v>
      </c>
      <c r="W1404">
        <f>River_data[[#This Row],[BOD Min]]*River_data[[#This Row],[BOD Max]]/2</f>
        <v>1.5</v>
      </c>
      <c r="X1404">
        <f>AVERAGE(River_data[[#This Row],[pH Max]]-River_data[[#This Row],[pH Min]])</f>
        <v>1.7000000000000002</v>
      </c>
    </row>
    <row r="1405" spans="1:24" x14ac:dyDescent="0.3">
      <c r="A1405">
        <v>5578</v>
      </c>
      <c r="B1405" s="1" t="s">
        <v>1432</v>
      </c>
      <c r="C1405" s="1" t="s">
        <v>1138</v>
      </c>
      <c r="D1405">
        <v>24</v>
      </c>
      <c r="E1405">
        <v>29</v>
      </c>
      <c r="F1405">
        <v>5.2</v>
      </c>
      <c r="G1405">
        <v>6.1</v>
      </c>
      <c r="H1405">
        <v>7.8</v>
      </c>
      <c r="I1405">
        <v>8.1999999999999993</v>
      </c>
      <c r="J1405">
        <v>637</v>
      </c>
      <c r="K1405">
        <v>734</v>
      </c>
      <c r="L1405">
        <v>3.5</v>
      </c>
      <c r="M1405">
        <v>6</v>
      </c>
      <c r="N1405">
        <v>2.9</v>
      </c>
      <c r="O1405">
        <v>5.0999999999999996</v>
      </c>
      <c r="P1405">
        <v>340</v>
      </c>
      <c r="Q1405">
        <v>780</v>
      </c>
      <c r="R1405">
        <v>2400</v>
      </c>
      <c r="S1405">
        <v>5800</v>
      </c>
      <c r="V1405">
        <f>River_data[[#This Row],[Dissolved Oxygen Min]]*River_data[[#This Row],[Dissolved Oxygen Max]]/2</f>
        <v>15.86</v>
      </c>
      <c r="W1405">
        <f>River_data[[#This Row],[BOD Min]]*River_data[[#This Row],[BOD Max]]/2</f>
        <v>10.5</v>
      </c>
      <c r="X1405">
        <f>AVERAGE(River_data[[#This Row],[pH Max]]-River_data[[#This Row],[pH Min]])</f>
        <v>0.39999999999999947</v>
      </c>
    </row>
    <row r="1406" spans="1:24" x14ac:dyDescent="0.3">
      <c r="A1406">
        <v>4501</v>
      </c>
      <c r="B1406" s="1" t="s">
        <v>1433</v>
      </c>
      <c r="C1406" s="1" t="s">
        <v>1138</v>
      </c>
      <c r="D1406">
        <v>25</v>
      </c>
      <c r="E1406">
        <v>35</v>
      </c>
      <c r="F1406">
        <v>2.5</v>
      </c>
      <c r="G1406">
        <v>6.1</v>
      </c>
      <c r="H1406">
        <v>6.9</v>
      </c>
      <c r="I1406">
        <v>7.5</v>
      </c>
      <c r="J1406">
        <v>582</v>
      </c>
      <c r="K1406">
        <v>1072</v>
      </c>
      <c r="L1406">
        <v>4</v>
      </c>
      <c r="M1406">
        <v>8</v>
      </c>
      <c r="N1406">
        <v>2</v>
      </c>
      <c r="O1406">
        <v>19</v>
      </c>
      <c r="P1406">
        <v>23</v>
      </c>
      <c r="Q1406">
        <v>7900</v>
      </c>
      <c r="R1406">
        <v>540</v>
      </c>
      <c r="S1406">
        <v>160000</v>
      </c>
      <c r="T1406">
        <v>1600</v>
      </c>
      <c r="U1406">
        <v>1600</v>
      </c>
      <c r="V1406">
        <f>River_data[[#This Row],[Dissolved Oxygen Min]]*River_data[[#This Row],[Dissolved Oxygen Max]]/2</f>
        <v>7.625</v>
      </c>
      <c r="W1406">
        <f>River_data[[#This Row],[BOD Min]]*River_data[[#This Row],[BOD Max]]/2</f>
        <v>16</v>
      </c>
      <c r="X1406">
        <f>AVERAGE(River_data[[#This Row],[pH Max]]-River_data[[#This Row],[pH Min]])</f>
        <v>0.59999999999999964</v>
      </c>
    </row>
    <row r="1407" spans="1:24" x14ac:dyDescent="0.3">
      <c r="A1407">
        <v>1208</v>
      </c>
      <c r="B1407" s="1" t="s">
        <v>1434</v>
      </c>
      <c r="C1407" s="1" t="s">
        <v>1407</v>
      </c>
      <c r="D1407">
        <v>23</v>
      </c>
      <c r="E1407">
        <v>30</v>
      </c>
      <c r="F1407">
        <v>7.1</v>
      </c>
      <c r="G1407">
        <v>8.3000000000000007</v>
      </c>
      <c r="H1407">
        <v>7.6</v>
      </c>
      <c r="I1407">
        <v>8.1</v>
      </c>
      <c r="J1407">
        <v>80</v>
      </c>
      <c r="K1407">
        <v>240</v>
      </c>
      <c r="L1407">
        <v>1</v>
      </c>
      <c r="M1407">
        <v>2.4</v>
      </c>
      <c r="N1407">
        <v>0.3</v>
      </c>
      <c r="O1407">
        <v>0.46</v>
      </c>
      <c r="P1407">
        <v>2</v>
      </c>
      <c r="Q1407">
        <v>400</v>
      </c>
      <c r="R1407">
        <v>100</v>
      </c>
      <c r="S1407">
        <v>800</v>
      </c>
      <c r="T1407">
        <v>2</v>
      </c>
      <c r="U1407">
        <v>60</v>
      </c>
      <c r="V1407">
        <f>River_data[[#This Row],[Dissolved Oxygen Min]]*River_data[[#This Row],[Dissolved Oxygen Max]]/2</f>
        <v>29.465</v>
      </c>
      <c r="W1407">
        <f>River_data[[#This Row],[BOD Min]]*River_data[[#This Row],[BOD Max]]/2</f>
        <v>1.2</v>
      </c>
      <c r="X1407">
        <f>AVERAGE(River_data[[#This Row],[pH Max]]-River_data[[#This Row],[pH Min]])</f>
        <v>0.5</v>
      </c>
    </row>
    <row r="1408" spans="1:24" x14ac:dyDescent="0.3">
      <c r="A1408">
        <v>5228</v>
      </c>
      <c r="B1408" s="1" t="s">
        <v>1435</v>
      </c>
      <c r="C1408" s="1" t="s">
        <v>1407</v>
      </c>
      <c r="D1408">
        <v>20</v>
      </c>
      <c r="E1408">
        <v>28</v>
      </c>
      <c r="F1408">
        <v>6.2</v>
      </c>
      <c r="G1408">
        <v>7.4</v>
      </c>
      <c r="H1408">
        <v>6.5</v>
      </c>
      <c r="I1408">
        <v>7.2</v>
      </c>
      <c r="J1408">
        <v>98</v>
      </c>
      <c r="K1408">
        <v>151</v>
      </c>
      <c r="L1408">
        <v>1</v>
      </c>
      <c r="M1408">
        <v>2</v>
      </c>
      <c r="N1408">
        <v>0.3</v>
      </c>
      <c r="O1408">
        <v>0.3</v>
      </c>
      <c r="P1408">
        <v>8</v>
      </c>
      <c r="Q1408">
        <v>63</v>
      </c>
      <c r="R1408">
        <v>26</v>
      </c>
      <c r="S1408">
        <v>170</v>
      </c>
      <c r="T1408">
        <v>2</v>
      </c>
      <c r="U1408">
        <v>55</v>
      </c>
      <c r="V1408">
        <f>River_data[[#This Row],[Dissolved Oxygen Min]]*River_data[[#This Row],[Dissolved Oxygen Max]]/2</f>
        <v>22.94</v>
      </c>
      <c r="W1408">
        <f>River_data[[#This Row],[BOD Min]]*River_data[[#This Row],[BOD Max]]/2</f>
        <v>1</v>
      </c>
      <c r="X1408">
        <f>AVERAGE(River_data[[#This Row],[pH Max]]-River_data[[#This Row],[pH Min]])</f>
        <v>0.70000000000000018</v>
      </c>
    </row>
    <row r="1409" spans="1:24" x14ac:dyDescent="0.3">
      <c r="A1409">
        <v>5229</v>
      </c>
      <c r="B1409" s="1" t="s">
        <v>1436</v>
      </c>
      <c r="C1409" s="1" t="s">
        <v>1407</v>
      </c>
      <c r="D1409">
        <v>23</v>
      </c>
      <c r="E1409">
        <v>33</v>
      </c>
      <c r="F1409">
        <v>5.6</v>
      </c>
      <c r="G1409">
        <v>8.1</v>
      </c>
      <c r="H1409">
        <v>6.5</v>
      </c>
      <c r="I1409">
        <v>7.5</v>
      </c>
      <c r="J1409">
        <v>23</v>
      </c>
      <c r="K1409">
        <v>37</v>
      </c>
      <c r="L1409">
        <v>1</v>
      </c>
      <c r="M1409">
        <v>1.6</v>
      </c>
      <c r="N1409">
        <v>0.3</v>
      </c>
      <c r="O1409">
        <v>0.3</v>
      </c>
      <c r="P1409">
        <v>2</v>
      </c>
      <c r="Q1409">
        <v>79</v>
      </c>
      <c r="R1409">
        <v>4</v>
      </c>
      <c r="S1409">
        <v>140</v>
      </c>
      <c r="T1409">
        <v>2</v>
      </c>
      <c r="U1409">
        <v>46</v>
      </c>
      <c r="V1409">
        <f>River_data[[#This Row],[Dissolved Oxygen Min]]*River_data[[#This Row],[Dissolved Oxygen Max]]/2</f>
        <v>22.679999999999996</v>
      </c>
      <c r="W1409">
        <f>River_data[[#This Row],[BOD Min]]*River_data[[#This Row],[BOD Max]]/2</f>
        <v>0.8</v>
      </c>
      <c r="X1409">
        <f>AVERAGE(River_data[[#This Row],[pH Max]]-River_data[[#This Row],[pH Min]])</f>
        <v>1</v>
      </c>
    </row>
    <row r="1410" spans="1:24" x14ac:dyDescent="0.3">
      <c r="A1410">
        <v>5227</v>
      </c>
      <c r="B1410" s="1" t="s">
        <v>1437</v>
      </c>
      <c r="C1410" s="1" t="s">
        <v>1407</v>
      </c>
      <c r="D1410">
        <v>22</v>
      </c>
      <c r="E1410">
        <v>31</v>
      </c>
      <c r="F1410">
        <v>6.2</v>
      </c>
      <c r="G1410">
        <v>8</v>
      </c>
      <c r="H1410">
        <v>6.5</v>
      </c>
      <c r="I1410">
        <v>7.3</v>
      </c>
      <c r="J1410">
        <v>68</v>
      </c>
      <c r="K1410">
        <v>201</v>
      </c>
      <c r="L1410">
        <v>1</v>
      </c>
      <c r="M1410">
        <v>1.8</v>
      </c>
      <c r="N1410">
        <v>0.3</v>
      </c>
      <c r="O1410">
        <v>0.3</v>
      </c>
      <c r="P1410">
        <v>8</v>
      </c>
      <c r="Q1410">
        <v>70</v>
      </c>
      <c r="R1410">
        <v>31</v>
      </c>
      <c r="S1410">
        <v>120</v>
      </c>
      <c r="T1410">
        <v>2</v>
      </c>
      <c r="U1410">
        <v>58</v>
      </c>
      <c r="V1410">
        <f>River_data[[#This Row],[Dissolved Oxygen Min]]*River_data[[#This Row],[Dissolved Oxygen Max]]/2</f>
        <v>24.8</v>
      </c>
      <c r="W1410">
        <f>River_data[[#This Row],[BOD Min]]*River_data[[#This Row],[BOD Max]]/2</f>
        <v>0.9</v>
      </c>
      <c r="X1410">
        <f>AVERAGE(River_data[[#This Row],[pH Max]]-River_data[[#This Row],[pH Min]])</f>
        <v>0.79999999999999982</v>
      </c>
    </row>
    <row r="1411" spans="1:24" x14ac:dyDescent="0.3">
      <c r="A1411">
        <v>5226</v>
      </c>
      <c r="B1411" s="1" t="s">
        <v>1438</v>
      </c>
      <c r="C1411" s="1" t="s">
        <v>1407</v>
      </c>
      <c r="D1411">
        <v>22</v>
      </c>
      <c r="E1411">
        <v>32</v>
      </c>
      <c r="F1411">
        <v>6.6</v>
      </c>
      <c r="G1411">
        <v>8.3000000000000007</v>
      </c>
      <c r="H1411">
        <v>6.5</v>
      </c>
      <c r="I1411">
        <v>7.2</v>
      </c>
      <c r="J1411">
        <v>41</v>
      </c>
      <c r="K1411">
        <v>111</v>
      </c>
      <c r="L1411">
        <v>1</v>
      </c>
      <c r="M1411">
        <v>1.5</v>
      </c>
      <c r="N1411">
        <v>0.3</v>
      </c>
      <c r="O1411">
        <v>0.3</v>
      </c>
      <c r="P1411">
        <v>4</v>
      </c>
      <c r="Q1411">
        <v>130</v>
      </c>
      <c r="R1411">
        <v>12</v>
      </c>
      <c r="S1411">
        <v>210</v>
      </c>
      <c r="T1411">
        <v>2</v>
      </c>
      <c r="U1411">
        <v>79</v>
      </c>
      <c r="V1411">
        <f>River_data[[#This Row],[Dissolved Oxygen Min]]*River_data[[#This Row],[Dissolved Oxygen Max]]/2</f>
        <v>27.39</v>
      </c>
      <c r="W1411">
        <f>River_data[[#This Row],[BOD Min]]*River_data[[#This Row],[BOD Max]]/2</f>
        <v>0.75</v>
      </c>
      <c r="X1411">
        <f>AVERAGE(River_data[[#This Row],[pH Max]]-River_data[[#This Row],[pH Min]])</f>
        <v>0.70000000000000018</v>
      </c>
    </row>
    <row r="1412" spans="1:24" x14ac:dyDescent="0.3">
      <c r="A1412">
        <v>30053</v>
      </c>
      <c r="B1412" s="1" t="s">
        <v>1439</v>
      </c>
      <c r="C1412" s="1" t="s">
        <v>1138</v>
      </c>
      <c r="D1412">
        <v>24</v>
      </c>
      <c r="E1412">
        <v>26</v>
      </c>
      <c r="F1412">
        <v>0.3</v>
      </c>
      <c r="G1412">
        <v>0.3</v>
      </c>
      <c r="H1412">
        <v>7.3</v>
      </c>
      <c r="I1412">
        <v>7.9</v>
      </c>
      <c r="J1412">
        <v>1192</v>
      </c>
      <c r="K1412">
        <v>1474</v>
      </c>
      <c r="L1412">
        <v>8</v>
      </c>
      <c r="M1412">
        <v>89</v>
      </c>
      <c r="N1412">
        <v>0</v>
      </c>
      <c r="O1412">
        <v>66.099999999999994</v>
      </c>
      <c r="P1412">
        <v>130000</v>
      </c>
      <c r="Q1412">
        <v>7000000</v>
      </c>
      <c r="R1412">
        <v>540000</v>
      </c>
      <c r="S1412">
        <v>92000000</v>
      </c>
      <c r="V1412">
        <f>River_data[[#This Row],[Dissolved Oxygen Min]]*River_data[[#This Row],[Dissolved Oxygen Max]]/2</f>
        <v>4.4999999999999998E-2</v>
      </c>
      <c r="W1412">
        <f>River_data[[#This Row],[BOD Min]]*River_data[[#This Row],[BOD Max]]/2</f>
        <v>356</v>
      </c>
      <c r="X1412">
        <f>AVERAGE(River_data[[#This Row],[pH Max]]-River_data[[#This Row],[pH Min]])</f>
        <v>0.60000000000000053</v>
      </c>
    </row>
    <row r="1413" spans="1:24" x14ac:dyDescent="0.3">
      <c r="A1413">
        <v>24</v>
      </c>
      <c r="B1413" s="1" t="s">
        <v>1440</v>
      </c>
      <c r="C1413" s="1" t="s">
        <v>242</v>
      </c>
      <c r="D1413">
        <v>15</v>
      </c>
      <c r="E1413">
        <v>36</v>
      </c>
      <c r="F1413">
        <v>6.8</v>
      </c>
      <c r="G1413">
        <v>10.199999999999999</v>
      </c>
      <c r="H1413">
        <v>6.9</v>
      </c>
      <c r="I1413">
        <v>8.3000000000000007</v>
      </c>
      <c r="J1413">
        <v>189</v>
      </c>
      <c r="K1413">
        <v>352</v>
      </c>
      <c r="L1413">
        <v>1.3</v>
      </c>
      <c r="M1413">
        <v>2.8</v>
      </c>
      <c r="N1413">
        <v>0</v>
      </c>
      <c r="O1413">
        <v>0</v>
      </c>
      <c r="V1413">
        <f>River_data[[#This Row],[Dissolved Oxygen Min]]*River_data[[#This Row],[Dissolved Oxygen Max]]/2</f>
        <v>34.68</v>
      </c>
      <c r="W1413">
        <f>River_data[[#This Row],[BOD Min]]*River_data[[#This Row],[BOD Max]]/2</f>
        <v>1.8199999999999998</v>
      </c>
      <c r="X1413">
        <f>AVERAGE(River_data[[#This Row],[pH Max]]-River_data[[#This Row],[pH Min]])</f>
        <v>1.4000000000000004</v>
      </c>
    </row>
    <row r="1414" spans="1:24" x14ac:dyDescent="0.3">
      <c r="A1414">
        <v>48</v>
      </c>
      <c r="B1414" s="1" t="s">
        <v>1441</v>
      </c>
      <c r="C1414" s="1" t="s">
        <v>242</v>
      </c>
      <c r="D1414">
        <v>18.5</v>
      </c>
      <c r="E1414">
        <v>33</v>
      </c>
      <c r="F1414">
        <v>6.8</v>
      </c>
      <c r="G1414">
        <v>8.8000000000000007</v>
      </c>
      <c r="H1414">
        <v>7.1</v>
      </c>
      <c r="I1414">
        <v>7.8</v>
      </c>
      <c r="J1414">
        <v>212</v>
      </c>
      <c r="K1414">
        <v>388</v>
      </c>
      <c r="L1414">
        <v>1</v>
      </c>
      <c r="M1414">
        <v>2.7</v>
      </c>
      <c r="N1414">
        <v>0</v>
      </c>
      <c r="O1414">
        <v>0</v>
      </c>
      <c r="V1414">
        <f>River_data[[#This Row],[Dissolved Oxygen Min]]*River_data[[#This Row],[Dissolved Oxygen Max]]/2</f>
        <v>29.92</v>
      </c>
      <c r="W1414">
        <f>River_data[[#This Row],[BOD Min]]*River_data[[#This Row],[BOD Max]]/2</f>
        <v>1.35</v>
      </c>
      <c r="X1414">
        <f>AVERAGE(River_data[[#This Row],[pH Max]]-River_data[[#This Row],[pH Min]])</f>
        <v>0.70000000000000018</v>
      </c>
    </row>
    <row r="1415" spans="1:24" x14ac:dyDescent="0.3">
      <c r="A1415">
        <v>49</v>
      </c>
      <c r="B1415" s="1" t="s">
        <v>1442</v>
      </c>
      <c r="C1415" s="1" t="s">
        <v>242</v>
      </c>
      <c r="D1415">
        <v>16.5</v>
      </c>
      <c r="E1415">
        <v>35</v>
      </c>
      <c r="F1415">
        <v>6</v>
      </c>
      <c r="G1415">
        <v>7.7</v>
      </c>
      <c r="H1415">
        <v>6.3</v>
      </c>
      <c r="I1415">
        <v>8.3000000000000007</v>
      </c>
      <c r="J1415">
        <v>193</v>
      </c>
      <c r="K1415">
        <v>364</v>
      </c>
      <c r="L1415">
        <v>2.1</v>
      </c>
      <c r="M1415">
        <v>5</v>
      </c>
      <c r="N1415">
        <v>0</v>
      </c>
      <c r="O1415">
        <v>0</v>
      </c>
      <c r="V1415">
        <f>River_data[[#This Row],[Dissolved Oxygen Min]]*River_data[[#This Row],[Dissolved Oxygen Max]]/2</f>
        <v>23.1</v>
      </c>
      <c r="W1415">
        <f>River_data[[#This Row],[BOD Min]]*River_data[[#This Row],[BOD Max]]/2</f>
        <v>5.25</v>
      </c>
      <c r="X1415">
        <f>AVERAGE(River_data[[#This Row],[pH Max]]-River_data[[#This Row],[pH Min]])</f>
        <v>2.0000000000000009</v>
      </c>
    </row>
    <row r="1416" spans="1:24" x14ac:dyDescent="0.3">
      <c r="A1416">
        <v>1641</v>
      </c>
      <c r="B1416" s="1" t="s">
        <v>1443</v>
      </c>
      <c r="C1416" s="1" t="s">
        <v>959</v>
      </c>
      <c r="D1416">
        <v>22</v>
      </c>
      <c r="E1416">
        <v>30</v>
      </c>
      <c r="F1416">
        <v>6</v>
      </c>
      <c r="G1416">
        <v>9.6</v>
      </c>
      <c r="H1416">
        <v>6.8</v>
      </c>
      <c r="I1416">
        <v>8.4</v>
      </c>
      <c r="J1416">
        <v>180</v>
      </c>
      <c r="K1416">
        <v>407</v>
      </c>
      <c r="L1416">
        <v>1.1000000000000001</v>
      </c>
      <c r="M1416">
        <v>1.8</v>
      </c>
      <c r="N1416">
        <v>0.32</v>
      </c>
      <c r="O1416">
        <v>0.92</v>
      </c>
      <c r="P1416">
        <v>130</v>
      </c>
      <c r="Q1416">
        <v>2300</v>
      </c>
      <c r="R1416">
        <v>700</v>
      </c>
      <c r="S1416">
        <v>4900</v>
      </c>
      <c r="V1416">
        <f>River_data[[#This Row],[Dissolved Oxygen Min]]*River_data[[#This Row],[Dissolved Oxygen Max]]/2</f>
        <v>28.799999999999997</v>
      </c>
      <c r="W1416">
        <f>River_data[[#This Row],[BOD Min]]*River_data[[#This Row],[BOD Max]]/2</f>
        <v>0.9900000000000001</v>
      </c>
      <c r="X1416">
        <f>AVERAGE(River_data[[#This Row],[pH Max]]-River_data[[#This Row],[pH Min]])</f>
        <v>1.6000000000000005</v>
      </c>
    </row>
    <row r="1417" spans="1:24" x14ac:dyDescent="0.3">
      <c r="A1417">
        <v>2387</v>
      </c>
      <c r="B1417" s="1" t="s">
        <v>1444</v>
      </c>
      <c r="C1417" s="1" t="s">
        <v>242</v>
      </c>
      <c r="D1417">
        <v>15</v>
      </c>
      <c r="E1417">
        <v>37</v>
      </c>
      <c r="F1417">
        <v>6.5</v>
      </c>
      <c r="G1417">
        <v>8.8000000000000007</v>
      </c>
      <c r="H1417">
        <v>7.3</v>
      </c>
      <c r="I1417">
        <v>8.6</v>
      </c>
      <c r="J1417">
        <v>192</v>
      </c>
      <c r="K1417">
        <v>424</v>
      </c>
      <c r="L1417">
        <v>1</v>
      </c>
      <c r="M1417">
        <v>294</v>
      </c>
      <c r="N1417">
        <v>0</v>
      </c>
      <c r="O1417">
        <v>0</v>
      </c>
      <c r="V1417">
        <f>River_data[[#This Row],[Dissolved Oxygen Min]]*River_data[[#This Row],[Dissolved Oxygen Max]]/2</f>
        <v>28.6</v>
      </c>
      <c r="W1417">
        <f>River_data[[#This Row],[BOD Min]]*River_data[[#This Row],[BOD Max]]/2</f>
        <v>147</v>
      </c>
      <c r="X1417">
        <f>AVERAGE(River_data[[#This Row],[pH Max]]-River_data[[#This Row],[pH Min]])</f>
        <v>1.2999999999999998</v>
      </c>
    </row>
    <row r="1418" spans="1:24" x14ac:dyDescent="0.3">
      <c r="A1418">
        <v>2399</v>
      </c>
      <c r="B1418" s="1" t="s">
        <v>1445</v>
      </c>
      <c r="C1418" s="1" t="s">
        <v>242</v>
      </c>
      <c r="D1418">
        <v>18.399999999999999</v>
      </c>
      <c r="E1418">
        <v>32</v>
      </c>
      <c r="F1418">
        <v>7.1</v>
      </c>
      <c r="G1418">
        <v>9.4</v>
      </c>
      <c r="H1418">
        <v>7</v>
      </c>
      <c r="I1418">
        <v>7.6</v>
      </c>
      <c r="J1418">
        <v>222</v>
      </c>
      <c r="K1418">
        <v>343</v>
      </c>
      <c r="L1418">
        <v>1</v>
      </c>
      <c r="M1418">
        <v>2.4</v>
      </c>
      <c r="N1418">
        <v>0</v>
      </c>
      <c r="O1418">
        <v>0</v>
      </c>
      <c r="V1418">
        <f>River_data[[#This Row],[Dissolved Oxygen Min]]*River_data[[#This Row],[Dissolved Oxygen Max]]/2</f>
        <v>33.369999999999997</v>
      </c>
      <c r="W1418">
        <f>River_data[[#This Row],[BOD Min]]*River_data[[#This Row],[BOD Max]]/2</f>
        <v>1.2</v>
      </c>
      <c r="X1418">
        <f>AVERAGE(River_data[[#This Row],[pH Max]]-River_data[[#This Row],[pH Min]])</f>
        <v>0.59999999999999964</v>
      </c>
    </row>
    <row r="1419" spans="1:24" x14ac:dyDescent="0.3">
      <c r="A1419">
        <v>4743</v>
      </c>
      <c r="B1419" s="1" t="s">
        <v>1446</v>
      </c>
      <c r="C1419" s="1" t="s">
        <v>242</v>
      </c>
      <c r="D1419">
        <v>15.5</v>
      </c>
      <c r="E1419">
        <v>37</v>
      </c>
      <c r="F1419">
        <v>6.6</v>
      </c>
      <c r="G1419">
        <v>8.6</v>
      </c>
      <c r="H1419">
        <v>7</v>
      </c>
      <c r="I1419">
        <v>8.1</v>
      </c>
      <c r="J1419">
        <v>198</v>
      </c>
      <c r="K1419">
        <v>309</v>
      </c>
      <c r="L1419">
        <v>1.2</v>
      </c>
      <c r="M1419">
        <v>2.8</v>
      </c>
      <c r="N1419">
        <v>0</v>
      </c>
      <c r="O1419">
        <v>0</v>
      </c>
      <c r="V1419">
        <f>River_data[[#This Row],[Dissolved Oxygen Min]]*River_data[[#This Row],[Dissolved Oxygen Max]]/2</f>
        <v>28.38</v>
      </c>
      <c r="W1419">
        <f>River_data[[#This Row],[BOD Min]]*River_data[[#This Row],[BOD Max]]/2</f>
        <v>1.68</v>
      </c>
      <c r="X1419">
        <f>AVERAGE(River_data[[#This Row],[pH Max]]-River_data[[#This Row],[pH Min]])</f>
        <v>1.0999999999999996</v>
      </c>
    </row>
    <row r="1420" spans="1:24" x14ac:dyDescent="0.3">
      <c r="A1420">
        <v>4744</v>
      </c>
      <c r="B1420" s="1" t="s">
        <v>1447</v>
      </c>
      <c r="C1420" s="1" t="s">
        <v>242</v>
      </c>
      <c r="D1420">
        <v>15.1</v>
      </c>
      <c r="E1420">
        <v>36</v>
      </c>
      <c r="F1420">
        <v>6.6</v>
      </c>
      <c r="G1420">
        <v>8.8000000000000007</v>
      </c>
      <c r="H1420">
        <v>7</v>
      </c>
      <c r="I1420">
        <v>7.8</v>
      </c>
      <c r="J1420">
        <v>228</v>
      </c>
      <c r="K1420">
        <v>349</v>
      </c>
      <c r="L1420">
        <v>1.3</v>
      </c>
      <c r="M1420">
        <v>3.3</v>
      </c>
      <c r="N1420">
        <v>0</v>
      </c>
      <c r="O1420">
        <v>0</v>
      </c>
      <c r="V1420">
        <f>River_data[[#This Row],[Dissolved Oxygen Min]]*River_data[[#This Row],[Dissolved Oxygen Max]]/2</f>
        <v>29.04</v>
      </c>
      <c r="W1420">
        <f>River_data[[#This Row],[BOD Min]]*River_data[[#This Row],[BOD Max]]/2</f>
        <v>2.145</v>
      </c>
      <c r="X1420">
        <f>AVERAGE(River_data[[#This Row],[pH Max]]-River_data[[#This Row],[pH Min]])</f>
        <v>0.79999999999999982</v>
      </c>
    </row>
    <row r="1421" spans="1:24" x14ac:dyDescent="0.3">
      <c r="A1421">
        <v>4746</v>
      </c>
      <c r="B1421" s="1" t="s">
        <v>1448</v>
      </c>
      <c r="C1421" s="1" t="s">
        <v>242</v>
      </c>
      <c r="D1421">
        <v>16.5</v>
      </c>
      <c r="E1421">
        <v>36</v>
      </c>
      <c r="F1421">
        <v>6.5</v>
      </c>
      <c r="G1421">
        <v>8.4</v>
      </c>
      <c r="H1421">
        <v>6.9</v>
      </c>
      <c r="I1421">
        <v>8.3000000000000007</v>
      </c>
      <c r="J1421">
        <v>214</v>
      </c>
      <c r="K1421">
        <v>462</v>
      </c>
      <c r="L1421">
        <v>1.3</v>
      </c>
      <c r="M1421">
        <v>4.0999999999999996</v>
      </c>
      <c r="N1421">
        <v>0</v>
      </c>
      <c r="O1421">
        <v>0</v>
      </c>
      <c r="V1421">
        <f>River_data[[#This Row],[Dissolved Oxygen Min]]*River_data[[#This Row],[Dissolved Oxygen Max]]/2</f>
        <v>27.3</v>
      </c>
      <c r="W1421">
        <f>River_data[[#This Row],[BOD Min]]*River_data[[#This Row],[BOD Max]]/2</f>
        <v>2.665</v>
      </c>
      <c r="X1421">
        <f>AVERAGE(River_data[[#This Row],[pH Max]]-River_data[[#This Row],[pH Min]])</f>
        <v>1.4000000000000004</v>
      </c>
    </row>
    <row r="1422" spans="1:24" x14ac:dyDescent="0.3">
      <c r="A1422">
        <v>4748</v>
      </c>
      <c r="B1422" s="1" t="s">
        <v>1449</v>
      </c>
      <c r="C1422" s="1" t="s">
        <v>242</v>
      </c>
      <c r="D1422">
        <v>19.5</v>
      </c>
      <c r="E1422">
        <v>31</v>
      </c>
      <c r="F1422">
        <v>7.2</v>
      </c>
      <c r="G1422">
        <v>9.6</v>
      </c>
      <c r="H1422">
        <v>7.3</v>
      </c>
      <c r="I1422">
        <v>8.3000000000000007</v>
      </c>
      <c r="J1422">
        <v>216</v>
      </c>
      <c r="K1422">
        <v>466</v>
      </c>
      <c r="L1422">
        <v>1</v>
      </c>
      <c r="M1422">
        <v>2.4</v>
      </c>
      <c r="N1422">
        <v>0</v>
      </c>
      <c r="O1422">
        <v>0</v>
      </c>
      <c r="V1422">
        <f>River_data[[#This Row],[Dissolved Oxygen Min]]*River_data[[#This Row],[Dissolved Oxygen Max]]/2</f>
        <v>34.56</v>
      </c>
      <c r="W1422">
        <f>River_data[[#This Row],[BOD Min]]*River_data[[#This Row],[BOD Max]]/2</f>
        <v>1.2</v>
      </c>
      <c r="X1422">
        <f>AVERAGE(River_data[[#This Row],[pH Max]]-River_data[[#This Row],[pH Min]])</f>
        <v>1.0000000000000009</v>
      </c>
    </row>
    <row r="1423" spans="1:24" x14ac:dyDescent="0.3">
      <c r="A1423">
        <v>30067</v>
      </c>
      <c r="B1423" s="1" t="s">
        <v>1450</v>
      </c>
      <c r="C1423" s="1" t="s">
        <v>242</v>
      </c>
      <c r="D1423">
        <v>28</v>
      </c>
      <c r="E1423">
        <v>36</v>
      </c>
      <c r="F1423">
        <v>7</v>
      </c>
      <c r="G1423">
        <v>11.5</v>
      </c>
      <c r="H1423">
        <v>7</v>
      </c>
      <c r="I1423">
        <v>9.5</v>
      </c>
      <c r="J1423">
        <v>157</v>
      </c>
      <c r="K1423">
        <v>415</v>
      </c>
      <c r="L1423">
        <v>1</v>
      </c>
      <c r="M1423">
        <v>2</v>
      </c>
      <c r="N1423">
        <v>0.32</v>
      </c>
      <c r="O1423">
        <v>0.36</v>
      </c>
      <c r="P1423">
        <v>170</v>
      </c>
      <c r="Q1423">
        <v>220000</v>
      </c>
      <c r="R1423">
        <v>1100</v>
      </c>
      <c r="S1423">
        <v>14000000</v>
      </c>
      <c r="T1423">
        <v>2</v>
      </c>
      <c r="U1423">
        <v>45</v>
      </c>
      <c r="V1423">
        <f>River_data[[#This Row],[Dissolved Oxygen Min]]*River_data[[#This Row],[Dissolved Oxygen Max]]/2</f>
        <v>40.25</v>
      </c>
      <c r="W1423">
        <f>River_data[[#This Row],[BOD Min]]*River_data[[#This Row],[BOD Max]]/2</f>
        <v>1</v>
      </c>
      <c r="X1423">
        <f>AVERAGE(River_data[[#This Row],[pH Max]]-River_data[[#This Row],[pH Min]])</f>
        <v>2.5</v>
      </c>
    </row>
    <row r="1424" spans="1:24" x14ac:dyDescent="0.3">
      <c r="A1424">
        <v>30068</v>
      </c>
      <c r="B1424" s="1" t="s">
        <v>1451</v>
      </c>
      <c r="C1424" s="1" t="s">
        <v>247</v>
      </c>
      <c r="D1424">
        <v>25</v>
      </c>
      <c r="E1424">
        <v>35</v>
      </c>
      <c r="F1424">
        <v>6.8</v>
      </c>
      <c r="G1424">
        <v>12.5</v>
      </c>
      <c r="H1424">
        <v>7</v>
      </c>
      <c r="I1424">
        <v>8.1999999999999993</v>
      </c>
      <c r="J1424">
        <v>153</v>
      </c>
      <c r="K1424">
        <v>393</v>
      </c>
      <c r="L1424">
        <v>1</v>
      </c>
      <c r="M1424">
        <v>1</v>
      </c>
      <c r="N1424">
        <v>0.32</v>
      </c>
      <c r="O1424">
        <v>0.37</v>
      </c>
      <c r="P1424">
        <v>110</v>
      </c>
      <c r="Q1424">
        <v>2200000</v>
      </c>
      <c r="R1424">
        <v>1400</v>
      </c>
      <c r="S1424">
        <v>35000000</v>
      </c>
      <c r="T1424">
        <v>2</v>
      </c>
      <c r="U1424">
        <v>78</v>
      </c>
      <c r="V1424">
        <f>River_data[[#This Row],[Dissolved Oxygen Min]]*River_data[[#This Row],[Dissolved Oxygen Max]]/2</f>
        <v>42.5</v>
      </c>
      <c r="W1424">
        <f>River_data[[#This Row],[BOD Min]]*River_data[[#This Row],[BOD Max]]/2</f>
        <v>0.5</v>
      </c>
      <c r="X1424">
        <f>AVERAGE(River_data[[#This Row],[pH Max]]-River_data[[#This Row],[pH Min]])</f>
        <v>1.1999999999999993</v>
      </c>
    </row>
    <row r="1425" spans="1:24" x14ac:dyDescent="0.3">
      <c r="A1425">
        <v>30069</v>
      </c>
      <c r="B1425" s="1" t="s">
        <v>1452</v>
      </c>
      <c r="C1425" s="1" t="s">
        <v>959</v>
      </c>
      <c r="D1425">
        <v>24</v>
      </c>
      <c r="E1425">
        <v>31</v>
      </c>
      <c r="F1425">
        <v>7.2</v>
      </c>
      <c r="G1425">
        <v>9.1999999999999993</v>
      </c>
      <c r="H1425">
        <v>7</v>
      </c>
      <c r="I1425">
        <v>8.5</v>
      </c>
      <c r="J1425">
        <v>152</v>
      </c>
      <c r="K1425">
        <v>334</v>
      </c>
      <c r="L1425">
        <v>1</v>
      </c>
      <c r="M1425">
        <v>1</v>
      </c>
      <c r="N1425">
        <v>0.32</v>
      </c>
      <c r="O1425">
        <v>0.32</v>
      </c>
      <c r="P1425">
        <v>170</v>
      </c>
      <c r="Q1425">
        <v>1100000</v>
      </c>
      <c r="R1425">
        <v>1700</v>
      </c>
      <c r="S1425">
        <v>28000000</v>
      </c>
      <c r="T1425">
        <v>2</v>
      </c>
      <c r="U1425">
        <v>78</v>
      </c>
      <c r="V1425">
        <f>River_data[[#This Row],[Dissolved Oxygen Min]]*River_data[[#This Row],[Dissolved Oxygen Max]]/2</f>
        <v>33.119999999999997</v>
      </c>
      <c r="W1425">
        <f>River_data[[#This Row],[BOD Min]]*River_data[[#This Row],[BOD Max]]/2</f>
        <v>0.5</v>
      </c>
      <c r="X1425">
        <f>AVERAGE(River_data[[#This Row],[pH Max]]-River_data[[#This Row],[pH Min]])</f>
        <v>1.5</v>
      </c>
    </row>
    <row r="1426" spans="1:24" x14ac:dyDescent="0.3">
      <c r="A1426">
        <v>2423</v>
      </c>
      <c r="B1426" s="1" t="s">
        <v>1453</v>
      </c>
      <c r="C1426" s="1" t="s">
        <v>959</v>
      </c>
      <c r="D1426">
        <v>20</v>
      </c>
      <c r="E1426">
        <v>30</v>
      </c>
      <c r="F1426">
        <v>5.2</v>
      </c>
      <c r="G1426">
        <v>9.1999999999999993</v>
      </c>
      <c r="H1426">
        <v>7.2</v>
      </c>
      <c r="I1426">
        <v>8.4</v>
      </c>
      <c r="J1426">
        <v>146</v>
      </c>
      <c r="K1426">
        <v>326</v>
      </c>
      <c r="L1426">
        <v>1.3</v>
      </c>
      <c r="M1426">
        <v>2.2000000000000002</v>
      </c>
      <c r="N1426">
        <v>0</v>
      </c>
      <c r="O1426">
        <v>0.87</v>
      </c>
      <c r="P1426">
        <v>780</v>
      </c>
      <c r="Q1426">
        <v>4900</v>
      </c>
      <c r="R1426">
        <v>2800</v>
      </c>
      <c r="S1426">
        <v>17000</v>
      </c>
      <c r="T1426">
        <v>5</v>
      </c>
      <c r="U1426">
        <v>49</v>
      </c>
      <c r="V1426">
        <f>River_data[[#This Row],[Dissolved Oxygen Min]]*River_data[[#This Row],[Dissolved Oxygen Max]]/2</f>
        <v>23.919999999999998</v>
      </c>
      <c r="W1426">
        <f>River_data[[#This Row],[BOD Min]]*River_data[[#This Row],[BOD Max]]/2</f>
        <v>1.4300000000000002</v>
      </c>
      <c r="X1426">
        <f>AVERAGE(River_data[[#This Row],[pH Max]]-River_data[[#This Row],[pH Min]])</f>
        <v>1.2000000000000002</v>
      </c>
    </row>
    <row r="1427" spans="1:24" x14ac:dyDescent="0.3">
      <c r="A1427">
        <v>3943</v>
      </c>
      <c r="B1427" s="1" t="s">
        <v>1454</v>
      </c>
      <c r="C1427" s="1" t="s">
        <v>959</v>
      </c>
      <c r="D1427">
        <v>21</v>
      </c>
      <c r="E1427">
        <v>30</v>
      </c>
      <c r="F1427">
        <v>5.6</v>
      </c>
      <c r="G1427">
        <v>9.6</v>
      </c>
      <c r="H1427">
        <v>6.9</v>
      </c>
      <c r="I1427">
        <v>8.5</v>
      </c>
      <c r="J1427">
        <v>125</v>
      </c>
      <c r="K1427">
        <v>383</v>
      </c>
      <c r="L1427">
        <v>1.1000000000000001</v>
      </c>
      <c r="M1427">
        <v>2.4</v>
      </c>
      <c r="N1427">
        <v>0.32</v>
      </c>
      <c r="O1427">
        <v>0.86</v>
      </c>
      <c r="P1427">
        <v>230</v>
      </c>
      <c r="Q1427">
        <v>2300</v>
      </c>
      <c r="R1427">
        <v>1300</v>
      </c>
      <c r="S1427">
        <v>4900</v>
      </c>
      <c r="V1427">
        <f>River_data[[#This Row],[Dissolved Oxygen Min]]*River_data[[#This Row],[Dissolved Oxygen Max]]/2</f>
        <v>26.88</v>
      </c>
      <c r="W1427">
        <f>River_data[[#This Row],[BOD Min]]*River_data[[#This Row],[BOD Max]]/2</f>
        <v>1.32</v>
      </c>
      <c r="X1427">
        <f>AVERAGE(River_data[[#This Row],[pH Max]]-River_data[[#This Row],[pH Min]])</f>
        <v>1.5999999999999996</v>
      </c>
    </row>
    <row r="1428" spans="1:24" x14ac:dyDescent="0.3">
      <c r="A1428">
        <v>3942</v>
      </c>
      <c r="B1428" s="1" t="s">
        <v>1455</v>
      </c>
      <c r="C1428" s="1" t="s">
        <v>959</v>
      </c>
      <c r="D1428">
        <v>20</v>
      </c>
      <c r="E1428">
        <v>30</v>
      </c>
      <c r="F1428">
        <v>3.2</v>
      </c>
      <c r="G1428">
        <v>9.6</v>
      </c>
      <c r="H1428">
        <v>6.9</v>
      </c>
      <c r="I1428">
        <v>8.5</v>
      </c>
      <c r="J1428">
        <v>120</v>
      </c>
      <c r="K1428">
        <v>433</v>
      </c>
      <c r="L1428">
        <v>1.1000000000000001</v>
      </c>
      <c r="M1428">
        <v>1.8</v>
      </c>
      <c r="N1428">
        <v>0.32</v>
      </c>
      <c r="O1428">
        <v>0.93</v>
      </c>
      <c r="P1428">
        <v>78</v>
      </c>
      <c r="Q1428">
        <v>13000</v>
      </c>
      <c r="R1428">
        <v>490</v>
      </c>
      <c r="S1428">
        <v>35000</v>
      </c>
      <c r="V1428">
        <f>River_data[[#This Row],[Dissolved Oxygen Min]]*River_data[[#This Row],[Dissolved Oxygen Max]]/2</f>
        <v>15.36</v>
      </c>
      <c r="W1428">
        <f>River_data[[#This Row],[BOD Min]]*River_data[[#This Row],[BOD Max]]/2</f>
        <v>0.9900000000000001</v>
      </c>
      <c r="X1428">
        <f>AVERAGE(River_data[[#This Row],[pH Max]]-River_data[[#This Row],[pH Min]])</f>
        <v>1.5999999999999996</v>
      </c>
    </row>
    <row r="1429" spans="1:24" x14ac:dyDescent="0.3">
      <c r="A1429">
        <v>2115</v>
      </c>
      <c r="B1429" s="1" t="s">
        <v>1456</v>
      </c>
      <c r="C1429" s="1" t="s">
        <v>352</v>
      </c>
      <c r="D1429">
        <v>20</v>
      </c>
      <c r="E1429">
        <v>22</v>
      </c>
      <c r="F1429">
        <v>6.6</v>
      </c>
      <c r="G1429">
        <v>7.7</v>
      </c>
      <c r="H1429">
        <v>7.7</v>
      </c>
      <c r="I1429">
        <v>8.6</v>
      </c>
      <c r="J1429">
        <v>202</v>
      </c>
      <c r="K1429">
        <v>572</v>
      </c>
      <c r="L1429">
        <v>1</v>
      </c>
      <c r="M1429">
        <v>1.8</v>
      </c>
      <c r="N1429">
        <v>0.56999999999999995</v>
      </c>
      <c r="O1429">
        <v>1.42</v>
      </c>
      <c r="P1429">
        <v>2</v>
      </c>
      <c r="Q1429">
        <v>2</v>
      </c>
      <c r="R1429">
        <v>37</v>
      </c>
      <c r="S1429">
        <v>63</v>
      </c>
      <c r="V1429">
        <f>River_data[[#This Row],[Dissolved Oxygen Min]]*River_data[[#This Row],[Dissolved Oxygen Max]]/2</f>
        <v>25.41</v>
      </c>
      <c r="W1429">
        <f>River_data[[#This Row],[BOD Min]]*River_data[[#This Row],[BOD Max]]/2</f>
        <v>0.9</v>
      </c>
      <c r="X1429">
        <f>AVERAGE(River_data[[#This Row],[pH Max]]-River_data[[#This Row],[pH Min]])</f>
        <v>0.89999999999999947</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737A0-E15D-44B1-A878-29743D8D5FCE}">
  <dimension ref="A3:I71"/>
  <sheetViews>
    <sheetView topLeftCell="A49" workbookViewId="0">
      <selection activeCell="D49" sqref="D1:D1048576"/>
    </sheetView>
  </sheetViews>
  <sheetFormatPr defaultRowHeight="14.4" x14ac:dyDescent="0.3"/>
  <cols>
    <col min="1" max="1" width="5.21875" bestFit="1" customWidth="1"/>
    <col min="2" max="2" width="6.33203125" bestFit="1" customWidth="1"/>
    <col min="3" max="3" width="18.6640625" bestFit="1" customWidth="1"/>
    <col min="4" max="4" width="24.77734375" bestFit="1" customWidth="1"/>
    <col min="5" max="5" width="16.77734375" bestFit="1" customWidth="1"/>
    <col min="6" max="6" width="25.6640625" bestFit="1" customWidth="1"/>
    <col min="7" max="7" width="26" bestFit="1" customWidth="1"/>
    <col min="8" max="8" width="26.6640625" bestFit="1" customWidth="1"/>
  </cols>
  <sheetData>
    <row r="3" spans="1:8" x14ac:dyDescent="0.3">
      <c r="A3" s="2" t="s">
        <v>1477</v>
      </c>
      <c r="B3" t="s">
        <v>1475</v>
      </c>
      <c r="C3" t="s">
        <v>1476</v>
      </c>
      <c r="D3" t="s">
        <v>1483</v>
      </c>
      <c r="F3" s="2" t="s">
        <v>1477</v>
      </c>
      <c r="G3" t="s">
        <v>1488</v>
      </c>
      <c r="H3" t="s">
        <v>1489</v>
      </c>
    </row>
    <row r="4" spans="1:8" x14ac:dyDescent="0.3">
      <c r="A4" s="3" t="s">
        <v>1209</v>
      </c>
      <c r="B4" s="1">
        <v>227.5</v>
      </c>
      <c r="C4" s="1">
        <v>59</v>
      </c>
      <c r="D4" s="1">
        <v>20.467062324929955</v>
      </c>
      <c r="F4" s="3" t="s">
        <v>0</v>
      </c>
      <c r="G4" s="1">
        <v>906.7</v>
      </c>
      <c r="H4" s="1">
        <v>1048.4000000000005</v>
      </c>
    </row>
    <row r="5" spans="1:8" x14ac:dyDescent="0.3">
      <c r="A5" s="3" t="s">
        <v>1115</v>
      </c>
      <c r="B5" s="1">
        <v>728.9666666666667</v>
      </c>
      <c r="C5" s="1">
        <v>277.63333333333333</v>
      </c>
      <c r="D5" t="s">
        <v>1484</v>
      </c>
      <c r="F5" s="3" t="s">
        <v>1138</v>
      </c>
      <c r="G5" s="1">
        <v>578.5999999999998</v>
      </c>
      <c r="H5" s="1">
        <v>820.39999999999986</v>
      </c>
    </row>
    <row r="6" spans="1:8" x14ac:dyDescent="0.3">
      <c r="A6" s="3" t="s">
        <v>647</v>
      </c>
      <c r="B6" s="1"/>
      <c r="C6" s="1"/>
      <c r="D6" s="13">
        <v>23.924789915966407</v>
      </c>
      <c r="F6" s="3" t="s">
        <v>352</v>
      </c>
      <c r="G6" s="1">
        <v>934.7000000000005</v>
      </c>
      <c r="H6" s="1">
        <v>1160.3</v>
      </c>
    </row>
    <row r="7" spans="1:8" x14ac:dyDescent="0.3">
      <c r="A7" s="3" t="s">
        <v>567</v>
      </c>
      <c r="B7" s="1">
        <v>9102.898550724638</v>
      </c>
      <c r="C7" s="1">
        <v>1040.0579710144928</v>
      </c>
      <c r="D7" t="s">
        <v>1486</v>
      </c>
      <c r="F7" s="3" t="s">
        <v>938</v>
      </c>
      <c r="G7" s="1">
        <v>559.30000000000007</v>
      </c>
      <c r="H7" s="1">
        <v>729.90000000000009</v>
      </c>
    </row>
    <row r="8" spans="1:8" x14ac:dyDescent="0.3">
      <c r="A8" s="3" t="s">
        <v>207</v>
      </c>
      <c r="B8" s="1">
        <v>170250</v>
      </c>
      <c r="C8" s="1">
        <v>5073.4375</v>
      </c>
      <c r="D8" s="13">
        <v>0.90144257703081221</v>
      </c>
      <c r="F8" s="3" t="s">
        <v>959</v>
      </c>
      <c r="G8" s="1">
        <v>570.79999999999995</v>
      </c>
      <c r="H8" s="1">
        <v>919.60000000000025</v>
      </c>
    </row>
    <row r="9" spans="1:8" x14ac:dyDescent="0.3">
      <c r="A9" s="3" t="s">
        <v>964</v>
      </c>
      <c r="B9" s="1">
        <v>1072.1666666666667</v>
      </c>
      <c r="C9" s="1">
        <v>72.611111111111114</v>
      </c>
      <c r="F9" s="3" t="s">
        <v>1478</v>
      </c>
      <c r="G9" s="1">
        <v>3550.1000000000004</v>
      </c>
      <c r="H9" s="1">
        <v>4678.6000000000004</v>
      </c>
    </row>
    <row r="10" spans="1:8" x14ac:dyDescent="0.3">
      <c r="A10" s="3" t="s">
        <v>288</v>
      </c>
      <c r="B10" s="1">
        <v>2200</v>
      </c>
      <c r="C10" s="1">
        <v>2200</v>
      </c>
    </row>
    <row r="11" spans="1:8" x14ac:dyDescent="0.3">
      <c r="A11" s="3" t="s">
        <v>822</v>
      </c>
      <c r="B11" s="1">
        <v>434</v>
      </c>
      <c r="C11" s="1">
        <v>331.88372093023258</v>
      </c>
      <c r="D11" s="4"/>
      <c r="E11" s="5"/>
      <c r="F11" s="6"/>
    </row>
    <row r="12" spans="1:8" x14ac:dyDescent="0.3">
      <c r="A12" s="3" t="s">
        <v>285</v>
      </c>
      <c r="B12" s="1">
        <v>2573750</v>
      </c>
      <c r="C12" s="1">
        <v>34292.25</v>
      </c>
      <c r="D12" s="7"/>
      <c r="E12" s="8"/>
      <c r="F12" s="9"/>
    </row>
    <row r="13" spans="1:8" x14ac:dyDescent="0.3">
      <c r="A13" s="3" t="s">
        <v>0</v>
      </c>
      <c r="B13" s="1">
        <v>4025.3050847457625</v>
      </c>
      <c r="C13" s="1">
        <v>69.70338983050847</v>
      </c>
      <c r="D13" s="7"/>
      <c r="E13" s="8"/>
      <c r="F13" s="9"/>
    </row>
    <row r="14" spans="1:8" x14ac:dyDescent="0.3">
      <c r="A14" s="3" t="s">
        <v>53</v>
      </c>
      <c r="B14" s="1">
        <v>13334941.666666666</v>
      </c>
      <c r="C14" s="1">
        <v>1175</v>
      </c>
      <c r="D14" s="7"/>
      <c r="E14" s="8"/>
      <c r="F14" s="9"/>
    </row>
    <row r="15" spans="1:8" x14ac:dyDescent="0.3">
      <c r="A15" s="3" t="s">
        <v>242</v>
      </c>
      <c r="B15" s="1">
        <v>7085000</v>
      </c>
      <c r="C15" s="1">
        <v>9050</v>
      </c>
      <c r="D15" s="7"/>
      <c r="E15" s="8"/>
      <c r="F15" s="9"/>
    </row>
    <row r="16" spans="1:8" x14ac:dyDescent="0.3">
      <c r="A16" s="3" t="s">
        <v>1138</v>
      </c>
      <c r="B16" s="1">
        <v>1459360.4901960783</v>
      </c>
      <c r="C16" s="1">
        <v>6115.7647058823532</v>
      </c>
      <c r="D16" s="7"/>
      <c r="E16" s="8"/>
      <c r="F16" s="9"/>
    </row>
    <row r="17" spans="1:6" x14ac:dyDescent="0.3">
      <c r="A17" s="3" t="s">
        <v>1407</v>
      </c>
      <c r="B17" s="1">
        <v>265</v>
      </c>
      <c r="C17" s="1">
        <v>32.5</v>
      </c>
      <c r="D17" s="7"/>
      <c r="E17" s="8"/>
      <c r="F17" s="9"/>
    </row>
    <row r="18" spans="1:6" x14ac:dyDescent="0.3">
      <c r="A18" s="3" t="s">
        <v>352</v>
      </c>
      <c r="B18" s="1">
        <v>475.50704225352115</v>
      </c>
      <c r="C18" s="1">
        <v>101.56338028169014</v>
      </c>
      <c r="D18" s="7"/>
      <c r="E18" s="8"/>
      <c r="F18" s="9"/>
    </row>
    <row r="19" spans="1:6" x14ac:dyDescent="0.3">
      <c r="A19" s="3" t="s">
        <v>938</v>
      </c>
      <c r="B19" s="1">
        <v>451.16379310344826</v>
      </c>
      <c r="C19" s="1">
        <v>143.50862068965517</v>
      </c>
      <c r="D19" s="7"/>
      <c r="E19" s="8"/>
      <c r="F19" s="9"/>
    </row>
    <row r="20" spans="1:6" x14ac:dyDescent="0.3">
      <c r="A20" s="3" t="s">
        <v>606</v>
      </c>
      <c r="B20" s="1">
        <v>232.27272727272728</v>
      </c>
      <c r="C20" s="1">
        <v>121.36363636363636</v>
      </c>
      <c r="D20" s="7"/>
      <c r="E20" s="8"/>
      <c r="F20" s="9"/>
    </row>
    <row r="21" spans="1:6" x14ac:dyDescent="0.3">
      <c r="A21" s="3" t="s">
        <v>675</v>
      </c>
      <c r="B21" s="1">
        <v>501.94736842105266</v>
      </c>
      <c r="C21" s="1">
        <v>211.57894736842104</v>
      </c>
      <c r="D21" s="7"/>
      <c r="E21" s="8"/>
      <c r="F21" s="9"/>
    </row>
    <row r="22" spans="1:6" x14ac:dyDescent="0.3">
      <c r="A22" s="3" t="s">
        <v>682</v>
      </c>
      <c r="B22" s="1">
        <v>2400</v>
      </c>
      <c r="C22" s="1">
        <v>1063</v>
      </c>
      <c r="D22" s="7"/>
      <c r="E22" s="8"/>
      <c r="F22" s="9"/>
    </row>
    <row r="23" spans="1:6" x14ac:dyDescent="0.3">
      <c r="A23" s="3" t="s">
        <v>571</v>
      </c>
      <c r="B23" s="1">
        <v>122673.33333333333</v>
      </c>
      <c r="C23" s="1">
        <v>2</v>
      </c>
      <c r="D23" s="7"/>
      <c r="E23" s="8"/>
      <c r="F23" s="9"/>
    </row>
    <row r="24" spans="1:6" x14ac:dyDescent="0.3">
      <c r="A24" s="3" t="s">
        <v>959</v>
      </c>
      <c r="B24" s="1">
        <v>289373.83177570091</v>
      </c>
      <c r="C24" s="1">
        <v>2445.1214953271028</v>
      </c>
      <c r="D24" s="7"/>
      <c r="E24" s="8"/>
      <c r="F24" s="9"/>
    </row>
    <row r="25" spans="1:6" x14ac:dyDescent="0.3">
      <c r="A25" s="3" t="s">
        <v>1329</v>
      </c>
      <c r="B25" s="1">
        <v>1600</v>
      </c>
      <c r="C25" s="1">
        <v>170</v>
      </c>
      <c r="D25" s="7"/>
      <c r="E25" s="8"/>
      <c r="F25" s="9"/>
    </row>
    <row r="26" spans="1:6" x14ac:dyDescent="0.3">
      <c r="A26" s="3" t="s">
        <v>1</v>
      </c>
      <c r="B26" s="1">
        <v>869316.07142857148</v>
      </c>
      <c r="C26" s="1">
        <v>27911.678571428572</v>
      </c>
      <c r="D26" s="7"/>
      <c r="E26" s="8"/>
      <c r="F26" s="9"/>
    </row>
    <row r="27" spans="1:6" x14ac:dyDescent="0.3">
      <c r="A27" s="3" t="s">
        <v>359</v>
      </c>
      <c r="B27" s="1">
        <v>410.66666666666669</v>
      </c>
      <c r="C27" s="1">
        <v>189.375</v>
      </c>
      <c r="D27" s="7"/>
      <c r="E27" s="8"/>
      <c r="F27" s="9"/>
    </row>
    <row r="28" spans="1:6" x14ac:dyDescent="0.3">
      <c r="A28" s="3" t="s">
        <v>756</v>
      </c>
      <c r="B28" s="1">
        <v>156.82142857142858</v>
      </c>
      <c r="C28" s="1">
        <v>60.071428571428569</v>
      </c>
      <c r="D28" s="10"/>
      <c r="E28" s="11"/>
      <c r="F28" s="12"/>
    </row>
    <row r="29" spans="1:6" x14ac:dyDescent="0.3">
      <c r="A29" s="3" t="s">
        <v>1354</v>
      </c>
      <c r="B29" s="1">
        <v>13694.946428571429</v>
      </c>
      <c r="C29" s="1">
        <v>105.25</v>
      </c>
    </row>
    <row r="30" spans="1:6" x14ac:dyDescent="0.3">
      <c r="A30" s="3" t="s">
        <v>1098</v>
      </c>
      <c r="B30" s="1">
        <v>230.63265306122449</v>
      </c>
      <c r="C30" s="1">
        <v>74.224489795918373</v>
      </c>
    </row>
    <row r="31" spans="1:6" x14ac:dyDescent="0.3">
      <c r="A31" s="3" t="s">
        <v>639</v>
      </c>
      <c r="B31" s="1">
        <v>230</v>
      </c>
      <c r="C31" s="1">
        <v>95.2</v>
      </c>
    </row>
    <row r="32" spans="1:6" x14ac:dyDescent="0.3">
      <c r="A32" s="3" t="s">
        <v>169</v>
      </c>
      <c r="B32" s="1">
        <v>314880.33333333331</v>
      </c>
      <c r="C32" s="1">
        <v>57193.022222222222</v>
      </c>
    </row>
    <row r="33" spans="1:9" x14ac:dyDescent="0.3">
      <c r="A33" s="3" t="s">
        <v>148</v>
      </c>
      <c r="B33" s="1">
        <v>222411.86363636365</v>
      </c>
      <c r="C33" s="1">
        <v>2422.8863636363635</v>
      </c>
    </row>
    <row r="34" spans="1:9" x14ac:dyDescent="0.3">
      <c r="A34" s="3" t="s">
        <v>247</v>
      </c>
      <c r="B34" s="1">
        <v>841268.96551724139</v>
      </c>
      <c r="C34" s="1">
        <v>16500.172413793105</v>
      </c>
    </row>
    <row r="35" spans="1:9" x14ac:dyDescent="0.3">
      <c r="A35" s="3" t="s">
        <v>1478</v>
      </c>
      <c r="B35" s="1">
        <v>376543.60548362526</v>
      </c>
      <c r="C35" s="1">
        <v>6632.341203351104</v>
      </c>
    </row>
    <row r="37" spans="1:9" x14ac:dyDescent="0.3">
      <c r="A37" s="2" t="s">
        <v>264</v>
      </c>
      <c r="B37" t="s">
        <v>1487</v>
      </c>
    </row>
    <row r="39" spans="1:9" x14ac:dyDescent="0.3">
      <c r="D39" t="s">
        <v>1480</v>
      </c>
      <c r="G39" s="4"/>
      <c r="H39" s="5"/>
      <c r="I39" s="6"/>
    </row>
    <row r="40" spans="1:9" x14ac:dyDescent="0.3">
      <c r="D40" s="13">
        <v>20.467062324929955</v>
      </c>
      <c r="G40" s="7"/>
      <c r="H40" s="8"/>
      <c r="I40" s="9"/>
    </row>
    <row r="41" spans="1:9" x14ac:dyDescent="0.3">
      <c r="D41" t="s">
        <v>1480</v>
      </c>
      <c r="G41" s="7"/>
      <c r="H41" s="8"/>
      <c r="I41" s="9"/>
    </row>
    <row r="42" spans="1:9" x14ac:dyDescent="0.3">
      <c r="D42" s="13">
        <v>20.467062324929955</v>
      </c>
      <c r="G42" s="7"/>
      <c r="H42" s="8"/>
      <c r="I42" s="9"/>
    </row>
    <row r="43" spans="1:9" x14ac:dyDescent="0.3">
      <c r="B43" s="3" t="s">
        <v>567</v>
      </c>
      <c r="C43" s="1">
        <v>760.72500000000036</v>
      </c>
      <c r="D43" s="2" t="s">
        <v>1477</v>
      </c>
      <c r="E43" t="s">
        <v>1479</v>
      </c>
      <c r="G43" s="7"/>
      <c r="H43" s="8"/>
      <c r="I43" s="9"/>
    </row>
    <row r="44" spans="1:9" x14ac:dyDescent="0.3">
      <c r="B44" s="3" t="s">
        <v>822</v>
      </c>
      <c r="C44" s="1">
        <v>1395.3400000000001</v>
      </c>
      <c r="D44" s="3" t="s">
        <v>567</v>
      </c>
      <c r="E44" s="1">
        <v>760.72500000000036</v>
      </c>
      <c r="G44" s="7"/>
      <c r="H44" s="8"/>
      <c r="I44" s="9"/>
    </row>
    <row r="45" spans="1:9" x14ac:dyDescent="0.3">
      <c r="B45" s="3" t="s">
        <v>285</v>
      </c>
      <c r="C45" s="1">
        <v>538.5</v>
      </c>
      <c r="D45" s="3" t="s">
        <v>822</v>
      </c>
      <c r="E45" s="1">
        <v>1395.3400000000001</v>
      </c>
      <c r="G45" s="7"/>
      <c r="H45" s="8"/>
      <c r="I45" s="9"/>
    </row>
    <row r="46" spans="1:9" x14ac:dyDescent="0.3">
      <c r="B46" s="3" t="s">
        <v>1138</v>
      </c>
      <c r="C46" s="1">
        <v>1047.6849999999999</v>
      </c>
      <c r="D46" s="3" t="s">
        <v>285</v>
      </c>
      <c r="E46" s="1">
        <v>538.5</v>
      </c>
      <c r="G46" s="7"/>
      <c r="H46" s="8"/>
      <c r="I46" s="9"/>
    </row>
    <row r="47" spans="1:9" x14ac:dyDescent="0.3">
      <c r="B47" s="3" t="s">
        <v>352</v>
      </c>
      <c r="C47" s="1">
        <v>831.2950000000003</v>
      </c>
      <c r="D47" s="3" t="s">
        <v>1138</v>
      </c>
      <c r="E47" s="1">
        <v>1047.6849999999999</v>
      </c>
      <c r="G47" s="7"/>
      <c r="H47" s="8"/>
      <c r="I47" s="9"/>
    </row>
    <row r="48" spans="1:9" x14ac:dyDescent="0.3">
      <c r="B48" s="3" t="s">
        <v>938</v>
      </c>
      <c r="C48" s="1">
        <v>3136.6900000000005</v>
      </c>
      <c r="D48" s="3" t="s">
        <v>352</v>
      </c>
      <c r="E48" s="1">
        <v>831.2950000000003</v>
      </c>
      <c r="G48" s="7"/>
      <c r="H48" s="8"/>
      <c r="I48" s="9"/>
    </row>
    <row r="49" spans="2:9" x14ac:dyDescent="0.3">
      <c r="B49" s="3" t="s">
        <v>1</v>
      </c>
      <c r="C49" s="1">
        <v>4722.4500000000007</v>
      </c>
      <c r="D49" s="3" t="s">
        <v>938</v>
      </c>
      <c r="E49" s="1">
        <v>3136.6900000000005</v>
      </c>
      <c r="G49" s="7"/>
      <c r="H49" s="8"/>
      <c r="I49" s="9"/>
    </row>
    <row r="50" spans="2:9" x14ac:dyDescent="0.3">
      <c r="B50" s="3" t="s">
        <v>1354</v>
      </c>
      <c r="C50" s="1">
        <v>2026.8699999999997</v>
      </c>
      <c r="D50" s="3" t="s">
        <v>1</v>
      </c>
      <c r="E50" s="1">
        <v>4722.4500000000007</v>
      </c>
      <c r="G50" s="7"/>
      <c r="H50" s="8"/>
      <c r="I50" s="9"/>
    </row>
    <row r="51" spans="2:9" x14ac:dyDescent="0.3">
      <c r="B51" s="3" t="s">
        <v>169</v>
      </c>
      <c r="C51" s="1">
        <v>11163.900000000001</v>
      </c>
      <c r="D51" s="3" t="s">
        <v>1354</v>
      </c>
      <c r="E51" s="1">
        <v>2026.8699999999997</v>
      </c>
      <c r="G51" s="7"/>
      <c r="H51" s="8"/>
      <c r="I51" s="9"/>
    </row>
    <row r="52" spans="2:9" x14ac:dyDescent="0.3">
      <c r="B52" s="3" t="s">
        <v>148</v>
      </c>
      <c r="C52" s="1">
        <v>1089.925</v>
      </c>
      <c r="D52" s="3" t="s">
        <v>169</v>
      </c>
      <c r="E52" s="1">
        <v>11163.900000000001</v>
      </c>
      <c r="G52" s="7"/>
      <c r="H52" s="8"/>
      <c r="I52" s="9"/>
    </row>
    <row r="53" spans="2:9" x14ac:dyDescent="0.3">
      <c r="D53" s="3" t="s">
        <v>148</v>
      </c>
      <c r="E53" s="1">
        <v>1089.925</v>
      </c>
      <c r="G53" s="7"/>
      <c r="H53" s="8"/>
      <c r="I53" s="9"/>
    </row>
    <row r="54" spans="2:9" x14ac:dyDescent="0.3">
      <c r="D54" s="3" t="s">
        <v>1478</v>
      </c>
      <c r="E54" s="1">
        <v>26713.38</v>
      </c>
      <c r="G54" s="7"/>
      <c r="H54" s="8"/>
      <c r="I54" s="9"/>
    </row>
    <row r="55" spans="2:9" x14ac:dyDescent="0.3">
      <c r="G55" s="7"/>
      <c r="H55" s="8"/>
      <c r="I55" s="9"/>
    </row>
    <row r="56" spans="2:9" x14ac:dyDescent="0.3">
      <c r="G56" s="10"/>
      <c r="H56" s="11"/>
      <c r="I56" s="12"/>
    </row>
    <row r="60" spans="2:9" x14ac:dyDescent="0.3">
      <c r="C60" s="2" t="s">
        <v>1477</v>
      </c>
      <c r="D60" t="s">
        <v>1490</v>
      </c>
      <c r="E60" s="2" t="s">
        <v>1477</v>
      </c>
      <c r="F60" t="s">
        <v>1491</v>
      </c>
      <c r="G60" t="s">
        <v>1492</v>
      </c>
    </row>
    <row r="61" spans="2:9" x14ac:dyDescent="0.3">
      <c r="C61" s="3" t="s">
        <v>0</v>
      </c>
      <c r="D61" s="1">
        <v>118</v>
      </c>
      <c r="E61" s="3" t="s">
        <v>1209</v>
      </c>
      <c r="F61" s="1">
        <v>25</v>
      </c>
      <c r="G61" s="1">
        <v>26.5</v>
      </c>
    </row>
    <row r="62" spans="2:9" x14ac:dyDescent="0.3">
      <c r="C62" s="3" t="s">
        <v>1138</v>
      </c>
      <c r="D62" s="1">
        <v>102</v>
      </c>
      <c r="E62" s="3" t="s">
        <v>1115</v>
      </c>
      <c r="F62" s="1">
        <v>22.333333333333332</v>
      </c>
      <c r="G62" s="1">
        <v>27.8</v>
      </c>
    </row>
    <row r="63" spans="2:9" x14ac:dyDescent="0.3">
      <c r="C63" s="3" t="s">
        <v>352</v>
      </c>
      <c r="D63" s="1">
        <v>142</v>
      </c>
      <c r="E63" s="3" t="s">
        <v>822</v>
      </c>
      <c r="F63" s="1">
        <v>24.790697674418606</v>
      </c>
      <c r="G63" s="1">
        <v>30.523255813953487</v>
      </c>
    </row>
    <row r="64" spans="2:9" x14ac:dyDescent="0.3">
      <c r="C64" s="3" t="s">
        <v>938</v>
      </c>
      <c r="D64" s="1">
        <v>116</v>
      </c>
      <c r="E64" s="3" t="s">
        <v>1138</v>
      </c>
      <c r="F64" s="1">
        <v>22.745098039215687</v>
      </c>
      <c r="G64" s="1">
        <v>29.058823529411764</v>
      </c>
    </row>
    <row r="65" spans="3:7" x14ac:dyDescent="0.3">
      <c r="C65" s="3" t="s">
        <v>959</v>
      </c>
      <c r="D65" s="1">
        <v>107</v>
      </c>
      <c r="E65" s="3" t="s">
        <v>1407</v>
      </c>
      <c r="F65" s="1">
        <v>22.333333333333332</v>
      </c>
      <c r="G65" s="1">
        <v>31</v>
      </c>
    </row>
    <row r="66" spans="3:7" x14ac:dyDescent="0.3">
      <c r="C66" s="3" t="s">
        <v>1478</v>
      </c>
      <c r="D66" s="1">
        <v>585</v>
      </c>
      <c r="E66" s="3" t="s">
        <v>938</v>
      </c>
      <c r="F66" s="1">
        <v>22.276724137931033</v>
      </c>
      <c r="G66" s="1">
        <v>27.46551724137931</v>
      </c>
    </row>
    <row r="67" spans="3:7" x14ac:dyDescent="0.3">
      <c r="E67" s="3" t="s">
        <v>959</v>
      </c>
      <c r="F67" s="1">
        <v>21.507476635514021</v>
      </c>
      <c r="G67" s="1">
        <v>30.571962616822429</v>
      </c>
    </row>
    <row r="68" spans="3:7" x14ac:dyDescent="0.3">
      <c r="E68" s="3" t="s">
        <v>1329</v>
      </c>
      <c r="F68" s="1">
        <v>29</v>
      </c>
      <c r="G68" s="1">
        <v>35</v>
      </c>
    </row>
    <row r="69" spans="3:7" x14ac:dyDescent="0.3">
      <c r="E69" s="3" t="s">
        <v>1354</v>
      </c>
      <c r="F69" s="1">
        <v>24.653571428571428</v>
      </c>
      <c r="G69" s="1">
        <v>32.125</v>
      </c>
    </row>
    <row r="70" spans="3:7" x14ac:dyDescent="0.3">
      <c r="E70" s="3" t="s">
        <v>1098</v>
      </c>
      <c r="F70" s="1">
        <v>22.463265306122452</v>
      </c>
      <c r="G70" s="1">
        <v>27.251020408163271</v>
      </c>
    </row>
    <row r="71" spans="3:7" x14ac:dyDescent="0.3">
      <c r="E71" s="3" t="s">
        <v>1478</v>
      </c>
      <c r="F71" s="1">
        <v>22.725976562499998</v>
      </c>
      <c r="G71" s="1">
        <v>29.250000000000004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4E95E-E5F6-45D3-BA45-AFDA6439D49E}">
  <dimension ref="A1"/>
  <sheetViews>
    <sheetView showGridLines="0" showRowColHeaders="0" tabSelected="1" workbookViewId="0">
      <selection activeCell="J28" sqref="J2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A3A76A3-6711-4678-9FFD-2DDBFFC5F45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River_quality_data </vt:lpstr>
      <vt:lpstr>Calculations </vt:lpstr>
      <vt:lpstr>Dashboard of the rivers dataset</vt:lpstr>
      <vt:lpstr>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vinay dandekar</dc:creator>
  <cp:lastModifiedBy>vinay dandekar</cp:lastModifiedBy>
  <dcterms:created xsi:type="dcterms:W3CDTF">2025-07-29T14:53:18Z</dcterms:created>
  <dcterms:modified xsi:type="dcterms:W3CDTF">2025-07-31T01:57:16Z</dcterms:modified>
</cp:coreProperties>
</file>